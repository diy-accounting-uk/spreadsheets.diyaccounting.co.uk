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<sst xmlns="http://schemas.openxmlformats.org/spreadsheetml/2006/main" count="1383" uniqueCount="138">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</sst>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46483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46484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46485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46486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46487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46488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46489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46483</v>
      </c>
      <c r="N9" s="5"/>
      <c r="O9" s="163">
        <f>Admin!I1</f>
        <v>46848</v>
      </c>
      <c r="P9" s="145"/>
      <c r="Q9" s="140"/>
      <c r="R9" s="141"/>
      <c r="S9" s="141"/>
      <c r="T9" s="80"/>
      <c r="U9" s="345"/>
      <c r="W9" s="206">
        <f>Admin!B9</f>
        <v>46490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46491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46492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46493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46494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46495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46496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46497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46498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46499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46500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46501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46502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46503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46504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46505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46506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46507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46508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46509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46510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46511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46512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46513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46514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46515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46516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46517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46518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46519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46520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46521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46522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46523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46524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46525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46526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46527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46528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46529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46530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46531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46532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46533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46534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46535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46536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46537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46538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46539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46540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46541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46542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46543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46544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46545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46546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46547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46548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46549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46550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46551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46552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46553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46554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46555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46556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46557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46558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46559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46560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46561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46562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46563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46564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46565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46566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46567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46568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46569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46570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46571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46572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46573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46574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46575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46576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46577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46578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46579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46580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46581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46582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46583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46584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46585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46586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46587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46588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46589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46590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46591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46592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46593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46594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46595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46596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46597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46598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46599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46600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46601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46602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46603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46604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46605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46606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46607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46608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46609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46610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46611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46612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46613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46614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46615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46616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46617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46618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46619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46620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46621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46622</v>
      </c>
    </row>
    <row r="142" spans="1:23" x14ac:dyDescent="0.15">
      <c r="W142" s="206">
        <f>Admin!B142</f>
        <v>46623</v>
      </c>
    </row>
    <row r="143" spans="1:23" x14ac:dyDescent="0.15">
      <c r="W143" s="206">
        <f>Admin!B143</f>
        <v>46624</v>
      </c>
    </row>
    <row r="144" spans="1:23" x14ac:dyDescent="0.15">
      <c r="W144" s="206">
        <f>Admin!B144</f>
        <v>46625</v>
      </c>
    </row>
    <row r="145" spans="23:23" x14ac:dyDescent="0.15">
      <c r="W145" s="206">
        <f>Admin!B145</f>
        <v>46626</v>
      </c>
    </row>
    <row r="146" spans="23:23" x14ac:dyDescent="0.15">
      <c r="W146" s="206">
        <f>Admin!B146</f>
        <v>46627</v>
      </c>
    </row>
    <row r="147" spans="23:23" x14ac:dyDescent="0.15">
      <c r="W147" s="206">
        <f>Admin!B147</f>
        <v>46628</v>
      </c>
    </row>
    <row r="148" spans="23:23" x14ac:dyDescent="0.15">
      <c r="W148" s="206">
        <f>Admin!B148</f>
        <v>46629</v>
      </c>
    </row>
    <row r="149" spans="23:23" x14ac:dyDescent="0.15">
      <c r="W149" s="206">
        <f>Admin!B149</f>
        <v>46630</v>
      </c>
    </row>
    <row r="150" spans="23:23" x14ac:dyDescent="0.15">
      <c r="W150" s="206">
        <f>Admin!B150</f>
        <v>46631</v>
      </c>
    </row>
    <row r="151" spans="23:23" x14ac:dyDescent="0.15">
      <c r="W151" s="206">
        <f>Admin!B151</f>
        <v>46632</v>
      </c>
    </row>
    <row r="152" spans="23:23" x14ac:dyDescent="0.15">
      <c r="W152" s="206">
        <f>Admin!B152</f>
        <v>46633</v>
      </c>
    </row>
    <row r="153" spans="23:23" x14ac:dyDescent="0.15">
      <c r="W153" s="206">
        <f>Admin!B153</f>
        <v>46634</v>
      </c>
    </row>
    <row r="154" spans="23:23" x14ac:dyDescent="0.15">
      <c r="W154" s="206">
        <f>Admin!B154</f>
        <v>46635</v>
      </c>
    </row>
    <row r="155" spans="23:23" x14ac:dyDescent="0.15">
      <c r="W155" s="206">
        <f>Admin!B155</f>
        <v>46636</v>
      </c>
    </row>
    <row r="156" spans="23:23" x14ac:dyDescent="0.15">
      <c r="W156" s="206">
        <f>Admin!B156</f>
        <v>46637</v>
      </c>
    </row>
    <row r="157" spans="23:23" x14ac:dyDescent="0.15">
      <c r="W157" s="206">
        <f>Admin!B157</f>
        <v>46638</v>
      </c>
    </row>
    <row r="158" spans="23:23" x14ac:dyDescent="0.15">
      <c r="W158" s="206">
        <f>Admin!B158</f>
        <v>46639</v>
      </c>
    </row>
    <row r="159" spans="23:23" x14ac:dyDescent="0.15">
      <c r="W159" s="206">
        <f>Admin!B159</f>
        <v>46640</v>
      </c>
    </row>
    <row r="160" spans="23:23" x14ac:dyDescent="0.15">
      <c r="W160" s="206">
        <f>Admin!B160</f>
        <v>46641</v>
      </c>
    </row>
    <row r="161" spans="23:23" x14ac:dyDescent="0.15">
      <c r="W161" s="206">
        <f>Admin!B161</f>
        <v>46642</v>
      </c>
    </row>
    <row r="162" spans="23:23" x14ac:dyDescent="0.15">
      <c r="W162" s="206">
        <f>Admin!B162</f>
        <v>46643</v>
      </c>
    </row>
    <row r="163" spans="23:23" x14ac:dyDescent="0.15">
      <c r="W163" s="206">
        <f>Admin!B163</f>
        <v>46644</v>
      </c>
    </row>
    <row r="164" spans="23:23" x14ac:dyDescent="0.15">
      <c r="W164" s="206">
        <f>Admin!B164</f>
        <v>46645</v>
      </c>
    </row>
    <row r="165" spans="23:23" x14ac:dyDescent="0.15">
      <c r="W165" s="206">
        <f>Admin!B165</f>
        <v>46646</v>
      </c>
    </row>
    <row r="166" spans="23:23" x14ac:dyDescent="0.15">
      <c r="W166" s="206">
        <f>Admin!B166</f>
        <v>46647</v>
      </c>
    </row>
    <row r="167" spans="23:23" x14ac:dyDescent="0.15">
      <c r="W167" s="206">
        <f>Admin!B167</f>
        <v>46648</v>
      </c>
    </row>
    <row r="168" spans="23:23" x14ac:dyDescent="0.15">
      <c r="W168" s="206">
        <f>Admin!B168</f>
        <v>46649</v>
      </c>
    </row>
    <row r="169" spans="23:23" x14ac:dyDescent="0.15">
      <c r="W169" s="206">
        <f>Admin!B169</f>
        <v>46650</v>
      </c>
    </row>
    <row r="170" spans="23:23" x14ac:dyDescent="0.15">
      <c r="W170" s="206">
        <f>Admin!B170</f>
        <v>46651</v>
      </c>
    </row>
    <row r="171" spans="23:23" x14ac:dyDescent="0.15">
      <c r="W171" s="206">
        <f>Admin!B171</f>
        <v>46652</v>
      </c>
    </row>
    <row r="172" spans="23:23" x14ac:dyDescent="0.15">
      <c r="W172" s="206">
        <f>Admin!B172</f>
        <v>46653</v>
      </c>
    </row>
    <row r="173" spans="23:23" x14ac:dyDescent="0.15">
      <c r="W173" s="206">
        <f>Admin!B173</f>
        <v>46654</v>
      </c>
    </row>
    <row r="174" spans="23:23" x14ac:dyDescent="0.15">
      <c r="W174" s="206">
        <f>Admin!B174</f>
        <v>46655</v>
      </c>
    </row>
    <row r="175" spans="23:23" x14ac:dyDescent="0.15">
      <c r="W175" s="206">
        <f>Admin!B175</f>
        <v>46656</v>
      </c>
    </row>
    <row r="176" spans="23:23" x14ac:dyDescent="0.15">
      <c r="W176" s="206">
        <f>Admin!B176</f>
        <v>46657</v>
      </c>
    </row>
    <row r="177" spans="23:23" x14ac:dyDescent="0.15">
      <c r="W177" s="206">
        <f>Admin!B177</f>
        <v>46658</v>
      </c>
    </row>
    <row r="178" spans="23:23" x14ac:dyDescent="0.15">
      <c r="W178" s="206">
        <f>Admin!B178</f>
        <v>46659</v>
      </c>
    </row>
    <row r="179" spans="23:23" x14ac:dyDescent="0.15">
      <c r="W179" s="206">
        <f>Admin!B179</f>
        <v>46660</v>
      </c>
    </row>
    <row r="180" spans="23:23" x14ac:dyDescent="0.15">
      <c r="W180" s="206">
        <f>Admin!B180</f>
        <v>46661</v>
      </c>
    </row>
    <row r="181" spans="23:23" x14ac:dyDescent="0.15">
      <c r="W181" s="206">
        <f>Admin!B181</f>
        <v>46662</v>
      </c>
    </row>
    <row r="182" spans="23:23" x14ac:dyDescent="0.15">
      <c r="W182" s="206">
        <f>Admin!B182</f>
        <v>46663</v>
      </c>
    </row>
    <row r="183" spans="23:23" x14ac:dyDescent="0.15">
      <c r="W183" s="206">
        <f>Admin!B183</f>
        <v>46664</v>
      </c>
    </row>
    <row r="184" spans="23:23" x14ac:dyDescent="0.15">
      <c r="W184" s="206">
        <f>Admin!B184</f>
        <v>46665</v>
      </c>
    </row>
    <row r="185" spans="23:23" x14ac:dyDescent="0.15">
      <c r="W185" s="206">
        <f>Admin!B185</f>
        <v>46666</v>
      </c>
    </row>
    <row r="186" spans="23:23" x14ac:dyDescent="0.15">
      <c r="W186" s="206">
        <f>Admin!B186</f>
        <v>46667</v>
      </c>
    </row>
    <row r="187" spans="23:23" x14ac:dyDescent="0.15">
      <c r="W187" s="206">
        <f>Admin!B187</f>
        <v>46668</v>
      </c>
    </row>
    <row r="188" spans="23:23" x14ac:dyDescent="0.15">
      <c r="W188" s="206">
        <f>Admin!B188</f>
        <v>46669</v>
      </c>
    </row>
    <row r="189" spans="23:23" x14ac:dyDescent="0.15">
      <c r="W189" s="206">
        <f>Admin!B189</f>
        <v>46670</v>
      </c>
    </row>
    <row r="190" spans="23:23" x14ac:dyDescent="0.15">
      <c r="W190" s="206">
        <f>Admin!B190</f>
        <v>46671</v>
      </c>
    </row>
    <row r="191" spans="23:23" x14ac:dyDescent="0.15">
      <c r="W191" s="206">
        <f>Admin!B191</f>
        <v>46672</v>
      </c>
    </row>
    <row r="192" spans="23:23" x14ac:dyDescent="0.15">
      <c r="W192" s="206">
        <f>Admin!B192</f>
        <v>46673</v>
      </c>
    </row>
    <row r="193" spans="23:23" x14ac:dyDescent="0.15">
      <c r="W193" s="206">
        <f>Admin!B193</f>
        <v>46674</v>
      </c>
    </row>
    <row r="194" spans="23:23" x14ac:dyDescent="0.15">
      <c r="W194" s="206">
        <f>Admin!B194</f>
        <v>46675</v>
      </c>
    </row>
    <row r="195" spans="23:23" x14ac:dyDescent="0.15">
      <c r="W195" s="206">
        <f>Admin!B195</f>
        <v>46676</v>
      </c>
    </row>
    <row r="196" spans="23:23" x14ac:dyDescent="0.15">
      <c r="W196" s="206">
        <f>Admin!B196</f>
        <v>46677</v>
      </c>
    </row>
    <row r="197" spans="23:23" x14ac:dyDescent="0.15">
      <c r="W197" s="206">
        <f>Admin!B197</f>
        <v>46678</v>
      </c>
    </row>
    <row r="198" spans="23:23" x14ac:dyDescent="0.15">
      <c r="W198" s="206">
        <f>Admin!B198</f>
        <v>46679</v>
      </c>
    </row>
    <row r="199" spans="23:23" x14ac:dyDescent="0.15">
      <c r="W199" s="206">
        <f>Admin!B199</f>
        <v>46680</v>
      </c>
    </row>
    <row r="200" spans="23:23" x14ac:dyDescent="0.15">
      <c r="W200" s="206">
        <f>Admin!B200</f>
        <v>46681</v>
      </c>
    </row>
    <row r="201" spans="23:23" x14ac:dyDescent="0.15">
      <c r="W201" s="206">
        <f>Admin!B201</f>
        <v>46682</v>
      </c>
    </row>
    <row r="202" spans="23:23" x14ac:dyDescent="0.15">
      <c r="W202" s="206">
        <f>Admin!B202</f>
        <v>46683</v>
      </c>
    </row>
    <row r="203" spans="23:23" x14ac:dyDescent="0.15">
      <c r="W203" s="206">
        <f>Admin!B203</f>
        <v>46684</v>
      </c>
    </row>
    <row r="204" spans="23:23" x14ac:dyDescent="0.15">
      <c r="W204" s="206">
        <f>Admin!B204</f>
        <v>46685</v>
      </c>
    </row>
    <row r="205" spans="23:23" x14ac:dyDescent="0.15">
      <c r="W205" s="206">
        <f>Admin!B205</f>
        <v>46686</v>
      </c>
    </row>
    <row r="206" spans="23:23" x14ac:dyDescent="0.15">
      <c r="W206" s="206">
        <f>Admin!B206</f>
        <v>46687</v>
      </c>
    </row>
    <row r="207" spans="23:23" x14ac:dyDescent="0.15">
      <c r="W207" s="206">
        <f>Admin!B207</f>
        <v>46688</v>
      </c>
    </row>
    <row r="208" spans="23:23" x14ac:dyDescent="0.15">
      <c r="W208" s="206">
        <f>Admin!B208</f>
        <v>46689</v>
      </c>
    </row>
    <row r="209" spans="23:23" x14ac:dyDescent="0.15">
      <c r="W209" s="206">
        <f>Admin!B209</f>
        <v>46690</v>
      </c>
    </row>
    <row r="210" spans="23:23" x14ac:dyDescent="0.15">
      <c r="W210" s="206">
        <f>Admin!B210</f>
        <v>46691</v>
      </c>
    </row>
    <row r="211" spans="23:23" x14ac:dyDescent="0.15">
      <c r="W211" s="206">
        <f>Admin!B211</f>
        <v>46692</v>
      </c>
    </row>
    <row r="212" spans="23:23" x14ac:dyDescent="0.15">
      <c r="W212" s="206">
        <f>Admin!B212</f>
        <v>46693</v>
      </c>
    </row>
    <row r="213" spans="23:23" x14ac:dyDescent="0.15">
      <c r="W213" s="206">
        <f>Admin!B213</f>
        <v>46694</v>
      </c>
    </row>
    <row r="214" spans="23:23" x14ac:dyDescent="0.15">
      <c r="W214" s="206">
        <f>Admin!B214</f>
        <v>46695</v>
      </c>
    </row>
    <row r="215" spans="23:23" x14ac:dyDescent="0.15">
      <c r="W215" s="206">
        <f>Admin!B215</f>
        <v>46696</v>
      </c>
    </row>
    <row r="216" spans="23:23" x14ac:dyDescent="0.15">
      <c r="W216" s="206">
        <f>Admin!B216</f>
        <v>46697</v>
      </c>
    </row>
    <row r="217" spans="23:23" x14ac:dyDescent="0.15">
      <c r="W217" s="206">
        <f>Admin!B217</f>
        <v>46698</v>
      </c>
    </row>
    <row r="218" spans="23:23" x14ac:dyDescent="0.15">
      <c r="W218" s="206">
        <f>Admin!B218</f>
        <v>46699</v>
      </c>
    </row>
    <row r="219" spans="23:23" x14ac:dyDescent="0.15">
      <c r="W219" s="206">
        <f>Admin!B219</f>
        <v>46700</v>
      </c>
    </row>
    <row r="220" spans="23:23" x14ac:dyDescent="0.15">
      <c r="W220" s="206">
        <f>Admin!B220</f>
        <v>46701</v>
      </c>
    </row>
    <row r="221" spans="23:23" x14ac:dyDescent="0.15">
      <c r="W221" s="206">
        <f>Admin!B221</f>
        <v>46702</v>
      </c>
    </row>
    <row r="222" spans="23:23" x14ac:dyDescent="0.15">
      <c r="W222" s="206">
        <f>Admin!B222</f>
        <v>46703</v>
      </c>
    </row>
    <row r="223" spans="23:23" x14ac:dyDescent="0.15">
      <c r="W223" s="206">
        <f>Admin!B223</f>
        <v>46704</v>
      </c>
    </row>
    <row r="224" spans="23:23" x14ac:dyDescent="0.15">
      <c r="W224" s="206">
        <f>Admin!B224</f>
        <v>46705</v>
      </c>
    </row>
    <row r="225" spans="23:23" x14ac:dyDescent="0.15">
      <c r="W225" s="206">
        <f>Admin!B225</f>
        <v>46706</v>
      </c>
    </row>
    <row r="226" spans="23:23" x14ac:dyDescent="0.15">
      <c r="W226" s="206">
        <f>Admin!B226</f>
        <v>46707</v>
      </c>
    </row>
    <row r="227" spans="23:23" x14ac:dyDescent="0.15">
      <c r="W227" s="206">
        <f>Admin!B227</f>
        <v>46708</v>
      </c>
    </row>
    <row r="228" spans="23:23" x14ac:dyDescent="0.15">
      <c r="W228" s="206">
        <f>Admin!B228</f>
        <v>46709</v>
      </c>
    </row>
    <row r="229" spans="23:23" x14ac:dyDescent="0.15">
      <c r="W229" s="206">
        <f>Admin!B229</f>
        <v>46710</v>
      </c>
    </row>
    <row r="230" spans="23:23" x14ac:dyDescent="0.15">
      <c r="W230" s="206">
        <f>Admin!B230</f>
        <v>46711</v>
      </c>
    </row>
    <row r="231" spans="23:23" x14ac:dyDescent="0.15">
      <c r="W231" s="206">
        <f>Admin!B231</f>
        <v>46712</v>
      </c>
    </row>
    <row r="232" spans="23:23" x14ac:dyDescent="0.15">
      <c r="W232" s="206">
        <f>Admin!B232</f>
        <v>46713</v>
      </c>
    </row>
    <row r="233" spans="23:23" x14ac:dyDescent="0.15">
      <c r="W233" s="206">
        <f>Admin!B233</f>
        <v>46714</v>
      </c>
    </row>
    <row r="234" spans="23:23" x14ac:dyDescent="0.15">
      <c r="W234" s="206">
        <f>Admin!B234</f>
        <v>46715</v>
      </c>
    </row>
    <row r="235" spans="23:23" x14ac:dyDescent="0.15">
      <c r="W235" s="206">
        <f>Admin!B235</f>
        <v>46716</v>
      </c>
    </row>
    <row r="236" spans="23:23" x14ac:dyDescent="0.15">
      <c r="W236" s="206">
        <f>Admin!B236</f>
        <v>46717</v>
      </c>
    </row>
    <row r="237" spans="23:23" x14ac:dyDescent="0.15">
      <c r="W237" s="206">
        <f>Admin!B237</f>
        <v>46718</v>
      </c>
    </row>
    <row r="238" spans="23:23" x14ac:dyDescent="0.15">
      <c r="W238" s="206">
        <f>Admin!B238</f>
        <v>46719</v>
      </c>
    </row>
    <row r="239" spans="23:23" x14ac:dyDescent="0.15">
      <c r="W239" s="206">
        <f>Admin!B239</f>
        <v>46720</v>
      </c>
    </row>
    <row r="240" spans="23:23" x14ac:dyDescent="0.15">
      <c r="W240" s="206">
        <f>Admin!B240</f>
        <v>46721</v>
      </c>
    </row>
    <row r="241" spans="23:23" x14ac:dyDescent="0.15">
      <c r="W241" s="206">
        <f>Admin!B241</f>
        <v>46722</v>
      </c>
    </row>
    <row r="242" spans="23:23" x14ac:dyDescent="0.15">
      <c r="W242" s="206">
        <f>Admin!B242</f>
        <v>46723</v>
      </c>
    </row>
    <row r="243" spans="23:23" x14ac:dyDescent="0.15">
      <c r="W243" s="206">
        <f>Admin!B243</f>
        <v>46724</v>
      </c>
    </row>
    <row r="244" spans="23:23" x14ac:dyDescent="0.15">
      <c r="W244" s="206">
        <f>Admin!B244</f>
        <v>46725</v>
      </c>
    </row>
    <row r="245" spans="23:23" x14ac:dyDescent="0.15">
      <c r="W245" s="206">
        <f>Admin!B245</f>
        <v>46726</v>
      </c>
    </row>
    <row r="246" spans="23:23" x14ac:dyDescent="0.15">
      <c r="W246" s="206">
        <f>Admin!B246</f>
        <v>46727</v>
      </c>
    </row>
    <row r="247" spans="23:23" x14ac:dyDescent="0.15">
      <c r="W247" s="206">
        <f>Admin!B247</f>
        <v>46728</v>
      </c>
    </row>
    <row r="248" spans="23:23" x14ac:dyDescent="0.15">
      <c r="W248" s="206">
        <f>Admin!B248</f>
        <v>46729</v>
      </c>
    </row>
    <row r="249" spans="23:23" x14ac:dyDescent="0.15">
      <c r="W249" s="206">
        <f>Admin!B249</f>
        <v>46730</v>
      </c>
    </row>
    <row r="250" spans="23:23" x14ac:dyDescent="0.15">
      <c r="W250" s="206">
        <f>Admin!B250</f>
        <v>46731</v>
      </c>
    </row>
    <row r="251" spans="23:23" x14ac:dyDescent="0.15">
      <c r="W251" s="206">
        <f>Admin!B251</f>
        <v>46732</v>
      </c>
    </row>
    <row r="252" spans="23:23" x14ac:dyDescent="0.15">
      <c r="W252" s="206">
        <f>Admin!B252</f>
        <v>46733</v>
      </c>
    </row>
    <row r="253" spans="23:23" x14ac:dyDescent="0.15">
      <c r="W253" s="206">
        <f>Admin!B253</f>
        <v>46734</v>
      </c>
    </row>
    <row r="254" spans="23:23" x14ac:dyDescent="0.15">
      <c r="W254" s="206">
        <f>Admin!B254</f>
        <v>46735</v>
      </c>
    </row>
    <row r="255" spans="23:23" x14ac:dyDescent="0.15">
      <c r="W255" s="206">
        <f>Admin!B255</f>
        <v>46736</v>
      </c>
    </row>
    <row r="256" spans="23:23" x14ac:dyDescent="0.15">
      <c r="W256" s="206">
        <f>Admin!B256</f>
        <v>46737</v>
      </c>
    </row>
    <row r="257" spans="23:23" x14ac:dyDescent="0.15">
      <c r="W257" s="206">
        <f>Admin!B257</f>
        <v>46738</v>
      </c>
    </row>
    <row r="258" spans="23:23" x14ac:dyDescent="0.15">
      <c r="W258" s="206">
        <f>Admin!B258</f>
        <v>46739</v>
      </c>
    </row>
    <row r="259" spans="23:23" x14ac:dyDescent="0.15">
      <c r="W259" s="206">
        <f>Admin!B259</f>
        <v>46740</v>
      </c>
    </row>
    <row r="260" spans="23:23" x14ac:dyDescent="0.15">
      <c r="W260" s="206">
        <f>Admin!B260</f>
        <v>46741</v>
      </c>
    </row>
    <row r="261" spans="23:23" x14ac:dyDescent="0.15">
      <c r="W261" s="206">
        <f>Admin!B261</f>
        <v>46742</v>
      </c>
    </row>
    <row r="262" spans="23:23" x14ac:dyDescent="0.15">
      <c r="W262" s="206">
        <f>Admin!B262</f>
        <v>46743</v>
      </c>
    </row>
    <row r="263" spans="23:23" x14ac:dyDescent="0.15">
      <c r="W263" s="206">
        <f>Admin!B263</f>
        <v>46744</v>
      </c>
    </row>
    <row r="264" spans="23:23" x14ac:dyDescent="0.15">
      <c r="W264" s="206">
        <f>Admin!B264</f>
        <v>46745</v>
      </c>
    </row>
    <row r="265" spans="23:23" x14ac:dyDescent="0.15">
      <c r="W265" s="206">
        <f>Admin!B265</f>
        <v>46746</v>
      </c>
    </row>
    <row r="266" spans="23:23" x14ac:dyDescent="0.15">
      <c r="W266" s="206">
        <f>Admin!B266</f>
        <v>46747</v>
      </c>
    </row>
    <row r="267" spans="23:23" x14ac:dyDescent="0.15">
      <c r="W267" s="206">
        <f>Admin!B267</f>
        <v>46748</v>
      </c>
    </row>
    <row r="268" spans="23:23" x14ac:dyDescent="0.15">
      <c r="W268" s="206">
        <f>Admin!B268</f>
        <v>46749</v>
      </c>
    </row>
    <row r="269" spans="23:23" x14ac:dyDescent="0.15">
      <c r="W269" s="206">
        <f>Admin!B269</f>
        <v>46750</v>
      </c>
    </row>
    <row r="270" spans="23:23" x14ac:dyDescent="0.15">
      <c r="W270" s="206">
        <f>Admin!B270</f>
        <v>46751</v>
      </c>
    </row>
    <row r="271" spans="23:23" x14ac:dyDescent="0.15">
      <c r="W271" s="206">
        <f>Admin!B271</f>
        <v>46752</v>
      </c>
    </row>
    <row r="272" spans="23:23" x14ac:dyDescent="0.15">
      <c r="W272" s="206">
        <f>Admin!B272</f>
        <v>46753</v>
      </c>
    </row>
    <row r="273" spans="23:23" x14ac:dyDescent="0.15">
      <c r="W273" s="206">
        <f>Admin!B273</f>
        <v>46754</v>
      </c>
    </row>
    <row r="274" spans="23:23" x14ac:dyDescent="0.15">
      <c r="W274" s="206">
        <f>Admin!B274</f>
        <v>46755</v>
      </c>
    </row>
    <row r="275" spans="23:23" x14ac:dyDescent="0.15">
      <c r="W275" s="206">
        <f>Admin!B275</f>
        <v>46756</v>
      </c>
    </row>
    <row r="276" spans="23:23" x14ac:dyDescent="0.15">
      <c r="W276" s="206">
        <f>Admin!B276</f>
        <v>46757</v>
      </c>
    </row>
    <row r="277" spans="23:23" x14ac:dyDescent="0.15">
      <c r="W277" s="206">
        <f>Admin!B277</f>
        <v>46758</v>
      </c>
    </row>
    <row r="278" spans="23:23" x14ac:dyDescent="0.15">
      <c r="W278" s="206">
        <f>Admin!B278</f>
        <v>46759</v>
      </c>
    </row>
    <row r="279" spans="23:23" x14ac:dyDescent="0.15">
      <c r="W279" s="206">
        <f>Admin!B279</f>
        <v>46760</v>
      </c>
    </row>
    <row r="280" spans="23:23" x14ac:dyDescent="0.15">
      <c r="W280" s="206">
        <f>Admin!B280</f>
        <v>46761</v>
      </c>
    </row>
    <row r="281" spans="23:23" x14ac:dyDescent="0.15">
      <c r="W281" s="206">
        <f>Admin!B281</f>
        <v>46762</v>
      </c>
    </row>
    <row r="282" spans="23:23" x14ac:dyDescent="0.15">
      <c r="W282" s="206">
        <f>Admin!B282</f>
        <v>46763</v>
      </c>
    </row>
    <row r="283" spans="23:23" x14ac:dyDescent="0.15">
      <c r="W283" s="206">
        <f>Admin!B283</f>
        <v>46764</v>
      </c>
    </row>
    <row r="284" spans="23:23" x14ac:dyDescent="0.15">
      <c r="W284" s="206">
        <f>Admin!B284</f>
        <v>46765</v>
      </c>
    </row>
    <row r="285" spans="23:23" x14ac:dyDescent="0.15">
      <c r="W285" s="206">
        <f>Admin!B285</f>
        <v>46766</v>
      </c>
    </row>
    <row r="286" spans="23:23" x14ac:dyDescent="0.15">
      <c r="W286" s="206">
        <f>Admin!B286</f>
        <v>46767</v>
      </c>
    </row>
    <row r="287" spans="23:23" x14ac:dyDescent="0.15">
      <c r="W287" s="206">
        <f>Admin!B287</f>
        <v>46768</v>
      </c>
    </row>
    <row r="288" spans="23:23" x14ac:dyDescent="0.15">
      <c r="W288" s="206">
        <f>Admin!B288</f>
        <v>46769</v>
      </c>
    </row>
    <row r="289" spans="23:23" x14ac:dyDescent="0.15">
      <c r="W289" s="206">
        <f>Admin!B289</f>
        <v>46770</v>
      </c>
    </row>
    <row r="290" spans="23:23" x14ac:dyDescent="0.15">
      <c r="W290" s="206">
        <f>Admin!B290</f>
        <v>46771</v>
      </c>
    </row>
    <row r="291" spans="23:23" x14ac:dyDescent="0.15">
      <c r="W291" s="206">
        <f>Admin!B291</f>
        <v>46772</v>
      </c>
    </row>
    <row r="292" spans="23:23" x14ac:dyDescent="0.15">
      <c r="W292" s="206">
        <f>Admin!B292</f>
        <v>46773</v>
      </c>
    </row>
    <row r="293" spans="23:23" x14ac:dyDescent="0.15">
      <c r="W293" s="206">
        <f>Admin!B293</f>
        <v>46774</v>
      </c>
    </row>
    <row r="294" spans="23:23" x14ac:dyDescent="0.15">
      <c r="W294" s="206">
        <f>Admin!B294</f>
        <v>46775</v>
      </c>
    </row>
    <row r="295" spans="23:23" x14ac:dyDescent="0.15">
      <c r="W295" s="206">
        <f>Admin!B295</f>
        <v>46776</v>
      </c>
    </row>
    <row r="296" spans="23:23" x14ac:dyDescent="0.15">
      <c r="W296" s="206">
        <f>Admin!B296</f>
        <v>46777</v>
      </c>
    </row>
    <row r="297" spans="23:23" x14ac:dyDescent="0.15">
      <c r="W297" s="206">
        <f>Admin!B297</f>
        <v>46778</v>
      </c>
    </row>
    <row r="298" spans="23:23" x14ac:dyDescent="0.15">
      <c r="W298" s="206">
        <f>Admin!B298</f>
        <v>46779</v>
      </c>
    </row>
    <row r="299" spans="23:23" x14ac:dyDescent="0.15">
      <c r="W299" s="206">
        <f>Admin!B299</f>
        <v>46780</v>
      </c>
    </row>
    <row r="300" spans="23:23" x14ac:dyDescent="0.15">
      <c r="W300" s="206">
        <f>Admin!B300</f>
        <v>46781</v>
      </c>
    </row>
    <row r="301" spans="23:23" x14ac:dyDescent="0.15">
      <c r="W301" s="206">
        <f>Admin!B301</f>
        <v>46782</v>
      </c>
    </row>
    <row r="302" spans="23:23" x14ac:dyDescent="0.15">
      <c r="W302" s="206">
        <f>Admin!B302</f>
        <v>46783</v>
      </c>
    </row>
    <row r="303" spans="23:23" x14ac:dyDescent="0.15">
      <c r="W303" s="206">
        <f>Admin!B303</f>
        <v>46784</v>
      </c>
    </row>
    <row r="304" spans="23:23" x14ac:dyDescent="0.15">
      <c r="W304" s="206">
        <f>Admin!B304</f>
        <v>46785</v>
      </c>
    </row>
    <row r="305" spans="23:23" x14ac:dyDescent="0.15">
      <c r="W305" s="206">
        <f>Admin!B305</f>
        <v>46786</v>
      </c>
    </row>
    <row r="306" spans="23:23" x14ac:dyDescent="0.15">
      <c r="W306" s="206">
        <f>Admin!B306</f>
        <v>46787</v>
      </c>
    </row>
    <row r="307" spans="23:23" x14ac:dyDescent="0.15">
      <c r="W307" s="206">
        <f>Admin!B307</f>
        <v>46788</v>
      </c>
    </row>
    <row r="308" spans="23:23" x14ac:dyDescent="0.15">
      <c r="W308" s="206">
        <f>Admin!B308</f>
        <v>46789</v>
      </c>
    </row>
    <row r="309" spans="23:23" x14ac:dyDescent="0.15">
      <c r="W309" s="206">
        <f>Admin!B309</f>
        <v>46790</v>
      </c>
    </row>
    <row r="310" spans="23:23" x14ac:dyDescent="0.15">
      <c r="W310" s="206">
        <f>Admin!B310</f>
        <v>46791</v>
      </c>
    </row>
    <row r="311" spans="23:23" x14ac:dyDescent="0.15">
      <c r="W311" s="206">
        <f>Admin!B311</f>
        <v>46792</v>
      </c>
    </row>
    <row r="312" spans="23:23" x14ac:dyDescent="0.15">
      <c r="W312" s="206">
        <f>Admin!B312</f>
        <v>46793</v>
      </c>
    </row>
    <row r="313" spans="23:23" x14ac:dyDescent="0.15">
      <c r="W313" s="206">
        <f>Admin!B313</f>
        <v>46794</v>
      </c>
    </row>
    <row r="314" spans="23:23" x14ac:dyDescent="0.15">
      <c r="W314" s="206">
        <f>Admin!B314</f>
        <v>46795</v>
      </c>
    </row>
    <row r="315" spans="23:23" x14ac:dyDescent="0.15">
      <c r="W315" s="206">
        <f>Admin!B315</f>
        <v>46796</v>
      </c>
    </row>
    <row r="316" spans="23:23" x14ac:dyDescent="0.15">
      <c r="W316" s="206">
        <f>Admin!B316</f>
        <v>46797</v>
      </c>
    </row>
    <row r="317" spans="23:23" x14ac:dyDescent="0.15">
      <c r="W317" s="206">
        <f>Admin!B317</f>
        <v>46798</v>
      </c>
    </row>
    <row r="318" spans="23:23" x14ac:dyDescent="0.15">
      <c r="W318" s="206">
        <f>Admin!B318</f>
        <v>46799</v>
      </c>
    </row>
    <row r="319" spans="23:23" x14ac:dyDescent="0.15">
      <c r="W319" s="206">
        <f>Admin!B319</f>
        <v>46800</v>
      </c>
    </row>
    <row r="320" spans="23:23" x14ac:dyDescent="0.15">
      <c r="W320" s="206">
        <f>Admin!B320</f>
        <v>46801</v>
      </c>
    </row>
    <row r="321" spans="23:23" x14ac:dyDescent="0.15">
      <c r="W321" s="206">
        <f>Admin!B321</f>
        <v>46802</v>
      </c>
    </row>
    <row r="322" spans="23:23" x14ac:dyDescent="0.15">
      <c r="W322" s="206">
        <f>Admin!B322</f>
        <v>46803</v>
      </c>
    </row>
    <row r="323" spans="23:23" x14ac:dyDescent="0.15">
      <c r="W323" s="206">
        <f>Admin!B323</f>
        <v>46804</v>
      </c>
    </row>
    <row r="324" spans="23:23" x14ac:dyDescent="0.15">
      <c r="W324" s="206">
        <f>Admin!B324</f>
        <v>46805</v>
      </c>
    </row>
    <row r="325" spans="23:23" x14ac:dyDescent="0.15">
      <c r="W325" s="206">
        <f>Admin!B325</f>
        <v>46806</v>
      </c>
    </row>
    <row r="326" spans="23:23" x14ac:dyDescent="0.15">
      <c r="W326" s="206">
        <f>Admin!B326</f>
        <v>46807</v>
      </c>
    </row>
    <row r="327" spans="23:23" x14ac:dyDescent="0.15">
      <c r="W327" s="206">
        <f>Admin!B327</f>
        <v>46808</v>
      </c>
    </row>
    <row r="328" spans="23:23" x14ac:dyDescent="0.15">
      <c r="W328" s="206">
        <f>Admin!B328</f>
        <v>46809</v>
      </c>
    </row>
    <row r="329" spans="23:23" x14ac:dyDescent="0.15">
      <c r="W329" s="206">
        <f>Admin!B329</f>
        <v>46810</v>
      </c>
    </row>
    <row r="330" spans="23:23" x14ac:dyDescent="0.15">
      <c r="W330" s="206">
        <f>Admin!B330</f>
        <v>46811</v>
      </c>
    </row>
    <row r="331" spans="23:23" x14ac:dyDescent="0.15">
      <c r="W331" s="206">
        <f>Admin!B331</f>
        <v>46812</v>
      </c>
    </row>
    <row r="332" spans="23:23" x14ac:dyDescent="0.15">
      <c r="W332" s="206">
        <f>Admin!B332</f>
        <v>46813</v>
      </c>
    </row>
    <row r="333" spans="23:23" x14ac:dyDescent="0.15">
      <c r="W333" s="206">
        <f>Admin!B333</f>
        <v>46814</v>
      </c>
    </row>
    <row r="334" spans="23:23" x14ac:dyDescent="0.15">
      <c r="W334" s="206">
        <f>Admin!B334</f>
        <v>46815</v>
      </c>
    </row>
    <row r="335" spans="23:23" x14ac:dyDescent="0.15">
      <c r="W335" s="206">
        <f>Admin!B335</f>
        <v>46816</v>
      </c>
    </row>
    <row r="336" spans="23:23" x14ac:dyDescent="0.15">
      <c r="W336" s="206">
        <f>Admin!B336</f>
        <v>46817</v>
      </c>
    </row>
    <row r="337" spans="23:23" x14ac:dyDescent="0.15">
      <c r="W337" s="206">
        <f>Admin!B337</f>
        <v>46818</v>
      </c>
    </row>
    <row r="338" spans="23:23" x14ac:dyDescent="0.15">
      <c r="W338" s="206">
        <f>Admin!B338</f>
        <v>46819</v>
      </c>
    </row>
    <row r="339" spans="23:23" x14ac:dyDescent="0.15">
      <c r="W339" s="206">
        <f>Admin!B339</f>
        <v>46820</v>
      </c>
    </row>
    <row r="340" spans="23:23" x14ac:dyDescent="0.15">
      <c r="W340" s="206">
        <f>Admin!B340</f>
        <v>46821</v>
      </c>
    </row>
    <row r="341" spans="23:23" x14ac:dyDescent="0.15">
      <c r="W341" s="206">
        <f>Admin!B341</f>
        <v>46822</v>
      </c>
    </row>
    <row r="342" spans="23:23" x14ac:dyDescent="0.15">
      <c r="W342" s="206">
        <f>Admin!B342</f>
        <v>46823</v>
      </c>
    </row>
    <row r="343" spans="23:23" x14ac:dyDescent="0.15">
      <c r="W343" s="206">
        <f>Admin!B343</f>
        <v>46824</v>
      </c>
    </row>
    <row r="344" spans="23:23" x14ac:dyDescent="0.15">
      <c r="W344" s="206">
        <f>Admin!B344</f>
        <v>46825</v>
      </c>
    </row>
    <row r="345" spans="23:23" x14ac:dyDescent="0.15">
      <c r="W345" s="206">
        <f>Admin!B345</f>
        <v>46826</v>
      </c>
    </row>
    <row r="346" spans="23:23" x14ac:dyDescent="0.15">
      <c r="W346" s="206">
        <f>Admin!B346</f>
        <v>46827</v>
      </c>
    </row>
    <row r="347" spans="23:23" x14ac:dyDescent="0.15">
      <c r="W347" s="206">
        <f>Admin!B347</f>
        <v>46828</v>
      </c>
    </row>
    <row r="348" spans="23:23" x14ac:dyDescent="0.15">
      <c r="W348" s="206">
        <f>Admin!B348</f>
        <v>46829</v>
      </c>
    </row>
    <row r="349" spans="23:23" x14ac:dyDescent="0.15">
      <c r="W349" s="206">
        <f>Admin!B349</f>
        <v>46830</v>
      </c>
    </row>
    <row r="350" spans="23:23" x14ac:dyDescent="0.15">
      <c r="W350" s="206">
        <f>Admin!B350</f>
        <v>46831</v>
      </c>
    </row>
    <row r="351" spans="23:23" x14ac:dyDescent="0.15">
      <c r="W351" s="206">
        <f>Admin!B351</f>
        <v>46832</v>
      </c>
    </row>
    <row r="352" spans="23:23" x14ac:dyDescent="0.15">
      <c r="W352" s="206">
        <f>Admin!B352</f>
        <v>46833</v>
      </c>
    </row>
    <row r="353" spans="23:23" x14ac:dyDescent="0.15">
      <c r="W353" s="206">
        <f>Admin!B353</f>
        <v>46834</v>
      </c>
    </row>
    <row r="354" spans="23:23" x14ac:dyDescent="0.15">
      <c r="W354" s="206">
        <f>Admin!B354</f>
        <v>46835</v>
      </c>
    </row>
    <row r="355" spans="23:23" x14ac:dyDescent="0.15">
      <c r="W355" s="206">
        <f>Admin!B355</f>
        <v>46836</v>
      </c>
    </row>
    <row r="356" spans="23:23" x14ac:dyDescent="0.15">
      <c r="W356" s="206">
        <f>Admin!B356</f>
        <v>46837</v>
      </c>
    </row>
    <row r="357" spans="23:23" x14ac:dyDescent="0.15">
      <c r="W357" s="206">
        <f>Admin!B357</f>
        <v>46838</v>
      </c>
    </row>
    <row r="358" spans="23:23" x14ac:dyDescent="0.15">
      <c r="W358" s="206">
        <f>Admin!B358</f>
        <v>46839</v>
      </c>
    </row>
    <row r="359" spans="23:23" x14ac:dyDescent="0.15">
      <c r="W359" s="206">
        <f>Admin!B359</f>
        <v>46840</v>
      </c>
    </row>
    <row r="360" spans="23:23" x14ac:dyDescent="0.15">
      <c r="W360" s="206">
        <f>Admin!B360</f>
        <v>46841</v>
      </c>
    </row>
    <row r="361" spans="23:23" x14ac:dyDescent="0.15">
      <c r="W361" s="206">
        <f>Admin!B361</f>
        <v>46842</v>
      </c>
    </row>
    <row r="362" spans="23:23" x14ac:dyDescent="0.15">
      <c r="W362" s="206">
        <f>Admin!B362</f>
        <v>46843</v>
      </c>
    </row>
    <row r="363" spans="23:23" x14ac:dyDescent="0.15">
      <c r="W363" s="206">
        <f>Admin!B363</f>
        <v>46844</v>
      </c>
    </row>
    <row r="364" spans="23:23" x14ac:dyDescent="0.15">
      <c r="W364" s="206">
        <f>Admin!B364</f>
        <v>46845</v>
      </c>
    </row>
    <row r="365" spans="23:23" x14ac:dyDescent="0.15">
      <c r="W365" s="206">
        <f>Admin!B365</f>
        <v>46846</v>
      </c>
    </row>
    <row r="366" spans="23:23" x14ac:dyDescent="0.15">
      <c r="W366" s="206">
        <f>Admin!B366</f>
        <v>46847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46483</v>
      </c>
      <c r="L9" s="200" t="s">
        <v>76</v>
      </c>
      <c r="M9" s="202">
        <f>K9+(7-WEEKDAY(K9, 2))</f>
        <v>46488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46489</v>
      </c>
      <c r="L19" s="200" t="s">
        <v>76</v>
      </c>
      <c r="M19" s="202">
        <f>K19+6</f>
        <v>46495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46496</v>
      </c>
      <c r="L29" s="200" t="s">
        <v>76</v>
      </c>
      <c r="M29" s="202">
        <f>K29+6</f>
        <v>46502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46503</v>
      </c>
      <c r="L39" s="200" t="s">
        <v>76</v>
      </c>
      <c r="M39" s="202">
        <f>K39+6</f>
        <v>46509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DATE(2026,11,1)</f>
        <v>46327</v>
      </c>
      <c r="L49" s="203" t="s">
        <v>76</v>
      </c>
      <c r="M49" s="205">
        <f>DATE(2026,11,30)</f>
        <v>46356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46510</v>
      </c>
      <c r="L9" s="203" t="s">
        <v>76</v>
      </c>
      <c r="M9" s="205">
        <f>K9+6</f>
        <v>46516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46517</v>
      </c>
      <c r="L19" s="203" t="s">
        <v>76</v>
      </c>
      <c r="M19" s="205">
        <f>K19+6</f>
        <v>46523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46524</v>
      </c>
      <c r="L29" s="203" t="s">
        <v>76</v>
      </c>
      <c r="M29" s="205">
        <f>K29+6</f>
        <v>46530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46531</v>
      </c>
      <c r="L39" s="203" t="s">
        <v>76</v>
      </c>
      <c r="M39" s="205">
        <f>K39+6</f>
        <v>46537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DATE(2026,12,1)</f>
        <v>46357</v>
      </c>
      <c r="L49" s="203" t="s">
        <v>76</v>
      </c>
      <c r="M49" s="205">
        <f>DATE(2026,12,31)</f>
        <v>46387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46538</v>
      </c>
      <c r="L9" s="203" t="s">
        <v>76</v>
      </c>
      <c r="M9" s="205">
        <f>K9+6</f>
        <v>46544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46545</v>
      </c>
      <c r="L19" s="203" t="s">
        <v>76</v>
      </c>
      <c r="M19" s="205">
        <f>K19+6</f>
        <v>46551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46552</v>
      </c>
      <c r="L29" s="203" t="s">
        <v>76</v>
      </c>
      <c r="M29" s="205">
        <f>K29+6</f>
        <v>46558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46559</v>
      </c>
      <c r="L39" s="203" t="s">
        <v>76</v>
      </c>
      <c r="M39" s="205">
        <f>K39+6</f>
        <v>46565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46566</v>
      </c>
      <c r="L49" s="203" t="s">
        <v>76</v>
      </c>
      <c r="M49" s="205">
        <f>K49+6</f>
        <v>46572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DATE(2027,1,1)</f>
        <v>46388</v>
      </c>
      <c r="L59" s="203" t="s">
        <v>76</v>
      </c>
      <c r="M59" s="205">
        <f>DATE(2027,1,31)</f>
        <v>46418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46572</v>
      </c>
      <c r="L9" s="203" t="s">
        <v>76</v>
      </c>
      <c r="M9" s="205">
        <f>K9+6</f>
        <v>46578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46579</v>
      </c>
      <c r="L19" s="203" t="s">
        <v>76</v>
      </c>
      <c r="M19" s="205">
        <f>K19+6</f>
        <v>46585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46586</v>
      </c>
      <c r="L29" s="203" t="s">
        <v>76</v>
      </c>
      <c r="M29" s="205">
        <f>K29+6</f>
        <v>46592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46593</v>
      </c>
      <c r="L39" s="203" t="s">
        <v>76</v>
      </c>
      <c r="M39" s="205">
        <f>K39+6</f>
        <v>46599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DATE(2027,2,1)</f>
        <v>46419</v>
      </c>
      <c r="L49" s="203" t="s">
        <v>76</v>
      </c>
      <c r="M49" s="205">
        <f>DATE(2027,2,28)</f>
        <v>46446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46600</v>
      </c>
      <c r="L9" s="203" t="s">
        <v>76</v>
      </c>
      <c r="M9" s="205">
        <f>K9+6</f>
        <v>46606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46607</v>
      </c>
      <c r="L19" s="203" t="s">
        <v>76</v>
      </c>
      <c r="M19" s="205">
        <f>K19+6</f>
        <v>46613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46614</v>
      </c>
      <c r="L29" s="203" t="s">
        <v>76</v>
      </c>
      <c r="M29" s="205">
        <f>K29+6</f>
        <v>46620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46621</v>
      </c>
      <c r="L39" s="203" t="s">
        <v>76</v>
      </c>
      <c r="M39" s="205">
        <f>K39+6</f>
        <v>46627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DATE(2027,3,1)</f>
        <v>46447</v>
      </c>
      <c r="L49" s="203" t="s">
        <v>76</v>
      </c>
      <c r="M49" s="205">
        <f>DATE(2027,3,31)</f>
        <v>46477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46628</v>
      </c>
      <c r="L9" s="203" t="s">
        <v>76</v>
      </c>
      <c r="M9" s="205">
        <f>K9+6</f>
        <v>46634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46635</v>
      </c>
      <c r="L19" s="203" t="s">
        <v>76</v>
      </c>
      <c r="M19" s="205">
        <f>K19+6</f>
        <v>46641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46642</v>
      </c>
      <c r="L29" s="203" t="s">
        <v>76</v>
      </c>
      <c r="M29" s="205">
        <f>K29+6</f>
        <v>46648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46649</v>
      </c>
      <c r="L39" s="203" t="s">
        <v>76</v>
      </c>
      <c r="M39" s="205">
        <f>K39+6</f>
        <v>46655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46656</v>
      </c>
      <c r="L49" s="203" t="s">
        <v>76</v>
      </c>
      <c r="M49" s="205">
        <f>K49+6</f>
        <v>46662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DATE(2027,4,1)</f>
        <v>46478</v>
      </c>
      <c r="L59" s="203" t="s">
        <v>76</v>
      </c>
      <c r="M59" s="205">
        <f>DATE(2027,4,30)</f>
        <v>46507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46663</v>
      </c>
      <c r="L9" s="203" t="s">
        <v>76</v>
      </c>
      <c r="M9" s="205">
        <f>Admin!B188</f>
        <v>46669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46670</v>
      </c>
      <c r="L19" s="203" t="s">
        <v>76</v>
      </c>
      <c r="M19" s="205">
        <f>K19+6</f>
        <v>46676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46677</v>
      </c>
      <c r="L29" s="203" t="s">
        <v>76</v>
      </c>
      <c r="M29" s="205">
        <f>K29+6</f>
        <v>46683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46684</v>
      </c>
      <c r="L39" s="203" t="s">
        <v>76</v>
      </c>
      <c r="M39" s="205">
        <f>K39+6</f>
        <v>46690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DATE(2027,5,1)</f>
        <v>46508</v>
      </c>
      <c r="L49" s="203" t="s">
        <v>76</v>
      </c>
      <c r="M49" s="205">
        <f>DATE(2027,5,31)</f>
        <v>46538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46691</v>
      </c>
      <c r="L9" s="203" t="s">
        <v>76</v>
      </c>
      <c r="M9" s="205">
        <f>K9+6</f>
        <v>46697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46698</v>
      </c>
      <c r="L19" s="203" t="s">
        <v>76</v>
      </c>
      <c r="M19" s="205">
        <f>K19+6</f>
        <v>46704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46705</v>
      </c>
      <c r="L29" s="203" t="s">
        <v>76</v>
      </c>
      <c r="M29" s="205">
        <f>K29+6</f>
        <v>46711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46712</v>
      </c>
      <c r="L39" s="203" t="s">
        <v>76</v>
      </c>
      <c r="M39" s="205">
        <f>K39+6</f>
        <v>46718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DATE(2027,6,1)</f>
        <v>46539</v>
      </c>
      <c r="L49" s="203" t="s">
        <v>76</v>
      </c>
      <c r="M49" s="205">
        <f>DATE(2027,6,30)</f>
        <v>46568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46719</v>
      </c>
      <c r="L9" s="203" t="s">
        <v>76</v>
      </c>
      <c r="M9" s="205">
        <f>K9+6</f>
        <v>46725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46726</v>
      </c>
      <c r="L19" s="203" t="s">
        <v>76</v>
      </c>
      <c r="M19" s="205">
        <f>K19+6</f>
        <v>46732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46733</v>
      </c>
      <c r="L29" s="203" t="s">
        <v>76</v>
      </c>
      <c r="M29" s="205">
        <f>K29+6</f>
        <v>46739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46740</v>
      </c>
      <c r="L39" s="203" t="s">
        <v>76</v>
      </c>
      <c r="M39" s="205">
        <f>K39+6</f>
        <v>46746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46747</v>
      </c>
      <c r="L49" s="203" t="s">
        <v>76</v>
      </c>
      <c r="M49" s="205">
        <f>K49+6</f>
        <v>46753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DATE(2027,7,1)</f>
        <v>46569</v>
      </c>
      <c r="L59" s="203" t="s">
        <v>76</v>
      </c>
      <c r="M59" s="205">
        <f>DATE(2027,7,31)</f>
        <v>46599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46754</v>
      </c>
      <c r="L9" s="203" t="s">
        <v>76</v>
      </c>
      <c r="M9" s="205">
        <f>K9+6</f>
        <v>46760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46761</v>
      </c>
      <c r="L19" s="203" t="s">
        <v>76</v>
      </c>
      <c r="M19" s="205">
        <f>K19+6</f>
        <v>46767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46768</v>
      </c>
      <c r="L29" s="203" t="s">
        <v>76</v>
      </c>
      <c r="M29" s="205">
        <f>K29+6</f>
        <v>46774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46775</v>
      </c>
      <c r="L39" s="203" t="s">
        <v>76</v>
      </c>
      <c r="M39" s="205">
        <f>K39+6</f>
        <v>46781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DATE(2027,8,1)</f>
        <v>46600</v>
      </c>
      <c r="L49" s="203" t="s">
        <v>76</v>
      </c>
      <c r="M49" s="205">
        <f>DATE(2027,8,31)</f>
        <v>46630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46782</v>
      </c>
      <c r="L9" s="203" t="s">
        <v>76</v>
      </c>
      <c r="M9" s="205">
        <f>K9+6</f>
        <v>46788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46789</v>
      </c>
      <c r="L19" s="203" t="s">
        <v>76</v>
      </c>
      <c r="M19" s="205">
        <f>K19+6</f>
        <v>46795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46796</v>
      </c>
      <c r="L29" s="203" t="s">
        <v>76</v>
      </c>
      <c r="M29" s="205">
        <f>K29+6</f>
        <v>46802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46803</v>
      </c>
      <c r="L39" s="203" t="s">
        <v>76</v>
      </c>
      <c r="M39" s="205">
        <f>K39+6</f>
        <v>46809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DATE(2027,9,1)</f>
        <v>46631</v>
      </c>
      <c r="L49" s="203" t="s">
        <v>76</v>
      </c>
      <c r="M49" s="205">
        <f>DATE(2027,9,30)</f>
        <v>46660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46810</v>
      </c>
      <c r="L9" s="203" t="s">
        <v>76</v>
      </c>
      <c r="M9" s="205">
        <f>K9+6</f>
        <v>46816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46817</v>
      </c>
      <c r="L19" s="203" t="s">
        <v>76</v>
      </c>
      <c r="M19" s="205">
        <f>K19+6</f>
        <v>46823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46824</v>
      </c>
      <c r="L29" s="203" t="s">
        <v>76</v>
      </c>
      <c r="M29" s="205">
        <f>K29+6</f>
        <v>46830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46831</v>
      </c>
      <c r="L39" s="203" t="s">
        <v>76</v>
      </c>
      <c r="M39" s="205">
        <f>K39+6</f>
        <v>46837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46838</v>
      </c>
      <c r="L49" s="203" t="s">
        <v>76</v>
      </c>
      <c r="M49" s="205">
        <f>K49+6</f>
        <v>46844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46845</v>
      </c>
      <c r="L59" s="203" t="s">
        <v>76</v>
      </c>
      <c r="M59" s="205">
        <f>K59+4</f>
        <v>46849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DATE(2027,10,1)</f>
        <v>46661</v>
      </c>
      <c r="L69" s="203" t="s">
        <v>76</v>
      </c>
      <c r="M69" s="205">
        <f>DATE(2027,10,31)</f>
        <v>46691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46488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46488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46488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46488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46488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DATE(2027,4,30)</f>
        <v>46507</v>
      </c>
      <c r="C4" s="229">
        <f>DATE(2027,5,19)</f>
        <v>46526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2801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DATE(2027,5,31)</f>
        <v>46538</v>
      </c>
      <c r="C5" s="229">
        <f>DATE(2027,6,19)</f>
        <v>46557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2802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DATE(2027,6,30)</f>
        <v>46568</v>
      </c>
      <c r="C6" s="229">
        <f>DATE(2027,7,19)</f>
        <v>46587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2803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DATE(2027,7,31)</f>
        <v>46599</v>
      </c>
      <c r="C7" s="229">
        <f>DATE(2027,8,19)</f>
        <v>46618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2804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DATE(2027,8,31)</f>
        <v>46630</v>
      </c>
      <c r="C8" s="229">
        <f>DATE(2027,9,19)</f>
        <v>46649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2805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DATE(2027,9,30)</f>
        <v>46660</v>
      </c>
      <c r="C9" s="229">
        <f>DATE(2027,10,19)</f>
        <v>46679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2806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DATE(2027,10,31)</f>
        <v>46691</v>
      </c>
      <c r="C10" s="229">
        <f>DATE(2027,11,19)</f>
        <v>46710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2807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DATE(2027,11,30)</f>
        <v>46721</v>
      </c>
      <c r="C11" s="229">
        <f>DATE(2027,12,19)</f>
        <v>46740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2808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DATE(2027,12,31)</f>
        <v>46752</v>
      </c>
      <c r="C12" s="229">
        <f>DATE(2028,1,19)</f>
        <v>46771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2809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DATE(2028,1,31)</f>
        <v>46783</v>
      </c>
      <c r="C13" s="229">
        <f>DATE(2028,2,19)</f>
        <v>46802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2810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DATE(2028,2,29)</f>
        <v>46812</v>
      </c>
      <c r="C14" s="229">
        <f>DATE(2028,3,19)</f>
        <v>46831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2811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DATE(2028,3,31)</f>
        <v>46843</v>
      </c>
      <c r="C15" s="229">
        <f>DATE(2028,4,19)</f>
        <v>46862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2812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46848</v>
      </c>
      <c r="J1" s="493"/>
      <c r="K1" s="303"/>
      <c r="L1" s="303"/>
      <c r="M1" s="304"/>
      <c r="N1" s="305" t="str">
        <f>TEXT(YEAR(I1)-1,"0") &amp; "-" &amp; TEXT(YEAR(I1)-2000,"0")</f>
        <v>2027-28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46483</v>
      </c>
      <c r="C2" s="309">
        <v>1</v>
      </c>
      <c r="D2" s="309">
        <v>1</v>
      </c>
      <c r="E2" s="310">
        <f>B2</f>
        <v>46483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46484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46485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46486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46487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46488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46489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46490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46491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46492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46493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46494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46495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46496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46497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46498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46499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46500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46501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46502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46503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46504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46505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46506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46507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46508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46509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46510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46511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46512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46513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46514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46515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46516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46517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46518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46519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46520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46521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46522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46523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46524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46525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46526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46527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46528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46529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46530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46531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46532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46533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46534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46535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46536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46537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46538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46539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46540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46541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46542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46543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46544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46545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46546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46547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46548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46549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46550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46551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46552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46553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46554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46555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46556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46557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46558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46559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46560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46561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46562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46563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46564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46565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46566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46567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46568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46569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46570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46571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46572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46573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46574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46575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46576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46577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46578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46579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46580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46581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46582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46583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46584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46585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46586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46587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46588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46589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46590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46591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46592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46593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46594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46595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46596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46597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46598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46599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46600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46601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46602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46603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46604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46605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46606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46607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46608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46609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46610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46611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46612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46613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46614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46615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46616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46617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46618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46619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46620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46621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46622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46623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46624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46625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46626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46627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46628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46629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46630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46631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46632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46633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46634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46635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46636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46637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46638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46639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46640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46641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46642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46643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46644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46645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46646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46647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46648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46649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46650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46651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46652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46653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46654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46655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46656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46657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46658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46659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46660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46661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46662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46663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46664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46665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46666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46667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46668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46669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46670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46671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46672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46673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46674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46675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46676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46677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46678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46679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46680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46681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46682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46683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46684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46685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46686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46687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46688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46689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46690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46691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46692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46693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46694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46695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46696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46697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46698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46699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46700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46701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46702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46703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46704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46705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46706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46707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46708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46709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46710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46711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46712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46713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46714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46715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46716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46717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46718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46719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46720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46721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46722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46723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46724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46725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46726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46727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46728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46729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46730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46731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46732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46733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46734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46735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46736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46737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46738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46739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46740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46741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46742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46743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46744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46745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46746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46747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46748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46749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46750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46751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46752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46753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46754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46755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46756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46757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46758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46759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46760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46761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46762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46763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46764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46765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46766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46767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46768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46769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46770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46771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46772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46773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46774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46775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46776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46777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46778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46779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46780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46781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46782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46783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46784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46785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46786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46787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46788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46789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46790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46791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46792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46793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46794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46795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46796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46797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46798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46799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46800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46801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46802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46803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46804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46805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46806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46807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46808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46809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46810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46811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46812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46813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46814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46815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46816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46817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46818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46819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46820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46821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46822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46823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46824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46825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46826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46827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46828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46829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46830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46831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46832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46833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46834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46835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46836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46837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46838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46839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46840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46841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46842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46843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46844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46845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46846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46847</v>
      </c>
      <c r="C366" s="309">
        <v>53</v>
      </c>
      <c r="D366" s="309">
        <v>12</v>
      </c>
      <c r="E366" s="310">
        <f>B366</f>
        <v>46847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46848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46849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46850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46851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46852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46853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46854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46855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46856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46857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46858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46859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46860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46861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46862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