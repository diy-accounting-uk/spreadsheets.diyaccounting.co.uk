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8CC95629-9D39-164A-9BFA-9D038F901A4E}" xr6:coauthVersionLast="47" xr6:coauthVersionMax="47" xr10:uidLastSave="{00000000-0000-0000-0000-000000000000}"/>
  <bookViews>
    <workbookView xWindow="0" yWindow="500" windowWidth="25040" windowHeight="1368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K10" i="12" s="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E110" i="11" l="1"/>
  <c r="O110" i="11"/>
  <c r="H18" i="11"/>
  <c r="H17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G57" i="11" l="1"/>
  <c r="G1" i="11" s="1"/>
  <c r="K11" i="12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K15" i="12"/>
  <c r="G15" i="12" s="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<sst xmlns="http://schemas.openxmlformats.org/spreadsheetml/2006/main" count="98" uniqueCount="73">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</sst>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3" fillId="2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2" fillId="3" borderId="24" xfId="0" applyFont="1" applyFill="1" applyBorder="1"/>
    <xf numFmtId="0" fontId="12" fillId="3" borderId="25" xfId="0" applyFont="1" applyFill="1" applyBorder="1"/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left" wrapText="1" indent="6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  <cell r="G4">
            <v>1</v>
          </cell>
        </row>
        <row r="5">
          <cell r="G5">
            <v>0.18</v>
          </cell>
        </row>
        <row r="6">
          <cell r="G6">
            <v>0.06</v>
          </cell>
        </row>
        <row r="8"/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1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9.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28" width="5.6640625" style="89" customWidth="1"/>
    <col min="29" max="29" width="10.6640625" style="2" customWidth="1"/>
    <col min="30" max="30" width="5.6640625" style="89" customWidth="1"/>
    <col min="31" max="35" width="10.6640625" style="2" customWidth="1"/>
    <col min="36" max="16384" width="9.1640625" style="5"/>
  </cols>
  <sheetData>
    <row r="1" spans="1:35" s="6" customFormat="1" ht="13.5" customHeight="1" x14ac:dyDescent="0.15">
      <c r="A1" s="123"/>
      <c r="B1" s="134" t="s">
        <v>0</v>
      </c>
      <c r="C1" s="145" t="s">
        <v>8</v>
      </c>
      <c r="D1" s="146"/>
      <c r="E1" s="62">
        <f>E57+E110</f>
        <v>0</v>
      </c>
      <c r="F1" s="20">
        <f>F57+F110</f>
        <v>0</v>
      </c>
      <c r="G1" s="20">
        <f>G57+G110</f>
        <v>0</v>
      </c>
      <c r="H1" s="125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42"/>
      <c r="M1" s="125" t="s">
        <v>6</v>
      </c>
      <c r="N1" s="142"/>
      <c r="O1" s="20">
        <f>O57+O110</f>
        <v>0</v>
      </c>
      <c r="P1" s="138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42"/>
      <c r="U1" s="13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  <c r="AB1" s="21"/>
      <c r="AC1" s="20">
        <f>AC57+AC110</f>
        <v>0</v>
      </c>
      <c r="AE1" s="20">
        <f>AE57+AE110</f>
      </c>
      <c r="AF1" s="20">
        <f>AF57+AF110</f>
      </c>
      <c r="AG1" s="20">
        <f>AG57+AG110</f>
      </c>
      <c r="AH1" s="20">
        <f>AH57+AH110</f>
      </c>
      <c r="AI1" s="20">
        <f>AI57+AI110</f>
      </c>
    </row>
    <row r="2" spans="1:35" ht="12" customHeight="1" x14ac:dyDescent="0.15">
      <c r="A2" s="124"/>
      <c r="B2" s="134"/>
      <c r="C2" s="135" t="s">
        <v>1</v>
      </c>
      <c r="D2" s="137" t="s">
        <v>2</v>
      </c>
      <c r="E2" s="132" t="s">
        <v>3</v>
      </c>
      <c r="F2" s="128" t="s">
        <v>56</v>
      </c>
      <c r="G2" s="130" t="s">
        <v>57</v>
      </c>
      <c r="H2" s="127"/>
      <c r="I2" s="147" t="s">
        <v>17</v>
      </c>
      <c r="J2" s="128" t="s">
        <v>56</v>
      </c>
      <c r="K2" s="130" t="s">
        <v>58</v>
      </c>
      <c r="L2" s="148"/>
      <c r="M2" s="126"/>
      <c r="N2" s="148"/>
      <c r="O2" s="130" t="s">
        <v>59</v>
      </c>
      <c r="P2" s="139"/>
      <c r="Q2" s="130" t="s">
        <v>4</v>
      </c>
      <c r="R2" s="132" t="s">
        <v>5</v>
      </c>
      <c r="S2" s="130" t="s">
        <v>60</v>
      </c>
      <c r="T2" s="143"/>
      <c r="U2" s="134"/>
      <c r="V2" s="144" t="s">
        <v>29</v>
      </c>
      <c r="W2" s="144" t="s">
        <v>30</v>
      </c>
      <c r="X2" s="144" t="s">
        <v>32</v>
      </c>
      <c r="Y2" s="132" t="s">
        <v>50</v>
      </c>
      <c r="Z2" s="132" t="s">
        <v>51</v>
      </c>
      <c r="AA2" s="22"/>
      <c r="AB2" s="130" t="inlineStr">
        <is>
          <t>Pool (S = special rate)</t>
        </is>
      </c>
      <c r="AC2" s="132" t="inlineStr">
        <is>
          <t>Special Rate W Down Allowance</t>
        </is>
      </c>
      <c r="AD2" s="130" t="inlineStr">
        <is>
          <t>Single asset pool (P = private use or short-life asset)</t>
        </is>
      </c>
      <c r="AE2" s="132" t="inlineStr">
        <is>
          <t>Single Asset Pool W Down Allowance main rate</t>
        </is>
      </c>
      <c r="AF2" s="132" t="inlineStr">
        <is>
          <t>Single Asset Pool W Down Allowance special rate</t>
        </is>
      </c>
      <c r="AG2" s="132" t="inlineStr">
        <is>
          <t>Single Asset Pool Written Down Tax Value</t>
        </is>
      </c>
      <c r="AH2" s="132" t="inlineStr">
        <is>
          <t>Written Down Tax Value main pool</t>
        </is>
      </c>
      <c r="AI2" s="132" t="inlineStr">
        <is>
          <t>Written Down Tax Value special rate pool</t>
        </is>
      </c>
    </row>
    <row r="3" spans="1:35" ht="12" customHeight="1" x14ac:dyDescent="0.15">
      <c r="A3" s="124"/>
      <c r="B3" s="134"/>
      <c r="C3" s="136"/>
      <c r="D3" s="137"/>
      <c r="E3" s="132"/>
      <c r="F3" s="129"/>
      <c r="G3" s="131"/>
      <c r="H3" s="127"/>
      <c r="I3" s="147"/>
      <c r="J3" s="129"/>
      <c r="K3" s="131"/>
      <c r="L3" s="148"/>
      <c r="M3" s="126"/>
      <c r="N3" s="148"/>
      <c r="O3" s="131"/>
      <c r="P3" s="139"/>
      <c r="Q3" s="150"/>
      <c r="R3" s="132"/>
      <c r="S3" s="131"/>
      <c r="T3" s="143"/>
      <c r="U3" s="134"/>
      <c r="V3" s="132"/>
      <c r="W3" s="132"/>
      <c r="X3" s="132"/>
      <c r="Y3" s="132"/>
      <c r="Z3" s="132"/>
      <c r="AA3" s="22"/>
    </row>
    <row r="4" spans="1:35" s="16" customFormat="1" ht="12.75" customHeight="1" x14ac:dyDescent="0.15">
      <c r="A4" s="124"/>
      <c r="B4" s="134"/>
      <c r="C4" s="136"/>
      <c r="D4" s="137"/>
      <c r="E4" s="132"/>
      <c r="F4" s="112">
        <f>[1]Admin!$B$4</f>
        <v>45753</v>
      </c>
      <c r="G4" s="112">
        <f>[1]Admin!$B$4</f>
        <v>45753</v>
      </c>
      <c r="H4" s="127"/>
      <c r="I4" s="147"/>
      <c r="J4" s="112">
        <f>[1]Admin!$B$17</f>
        <v>46117</v>
      </c>
      <c r="K4" s="112">
        <f>[1]Admin!$B$17</f>
        <v>46117</v>
      </c>
      <c r="L4" s="149"/>
      <c r="M4" s="126"/>
      <c r="N4" s="149"/>
      <c r="O4" s="112">
        <f>[1]Admin!$B$4</f>
        <v>45753</v>
      </c>
      <c r="P4" s="116">
        <f>[1]Admin!$G$4</f>
        <v>1</v>
      </c>
      <c r="Q4" s="151"/>
      <c r="R4" s="15">
        <f>[1]Admin!$G$5</f>
        <v>0.18</v>
      </c>
      <c r="S4" s="112">
        <f>[1]Admin!$B$17</f>
        <v>46117</v>
      </c>
      <c r="T4" s="143"/>
      <c r="U4" s="134"/>
      <c r="V4" s="132"/>
      <c r="W4" s="132"/>
      <c r="X4" s="132"/>
      <c r="Y4" s="132"/>
      <c r="Z4" s="132"/>
      <c r="AA4" s="23"/>
      <c r="AB4" s="23"/>
      <c r="AC4" s="15">
        <f>[1]Admin!$G$6</f>
        <v>0.06</v>
      </c>
    </row>
    <row r="5" spans="1:35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35" ht="13.5" customHeight="1" thickBot="1" x14ac:dyDescent="0.2">
      <c r="A6" s="101"/>
      <c r="B6" s="152" t="s">
        <v>61</v>
      </c>
      <c r="C6" s="154"/>
      <c r="D6" s="113">
        <f>[1]Admin!$B$4</f>
        <v>45753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35" ht="13.5" customHeight="1" x14ac:dyDescent="0.15">
      <c r="A7" s="101"/>
      <c r="B7" s="122" t="s">
        <v>10</v>
      </c>
      <c r="C7" s="122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35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IF(E8&gt;0,IF(V8&gt;0,0,E8-J8),"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35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IF(E9&gt;0,IF(V9&gt;0,0,E9-J9),"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35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IF(E10&gt;0,IF(V10&gt;0,0,E10-J10),"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35" x14ac:dyDescent="0.15">
      <c r="A11" s="101"/>
      <c r="B11" s="117" t="s">
        <v>67</v>
      </c>
      <c r="C11" s="118"/>
      <c r="D11" s="119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  <c r="AB11" s="22"/>
      <c r="AC11" s="17">
        <f>SUM(AC8:AC10)</f>
        <v>0</v>
      </c>
      <c r="AE11" s="17">
        <f>SUM(AE8:AE10)</f>
      </c>
      <c r="AF11" s="17">
        <f>SUM(AF8:AF10)</f>
      </c>
      <c r="AG11" s="17">
        <f>SUM(AG8:AG10)</f>
      </c>
      <c r="AH11" s="17">
        <f>SUM(AH8:AH10)</f>
      </c>
      <c r="AI11" s="17">
        <f>SUM(AI8:AI10)</f>
      </c>
    </row>
    <row r="12" spans="1:35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35" x14ac:dyDescent="0.15">
      <c r="A13" s="101"/>
      <c r="B13" s="122" t="s">
        <v>9</v>
      </c>
      <c r="C13" s="122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35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IF(E14&gt;0,IF(V14&gt;0,0,E14-J14)," ")</f>
        <v xml:space="preserve"> </v>
      </c>
      <c r="L14" s="7"/>
      <c r="M14" s="13"/>
      <c r="N14" s="7"/>
      <c r="O14" s="45"/>
      <c r="P14" s="88"/>
      <c r="Q14" s="11"/>
      <c r="R14" s="11" t="str">
        <f>IF(AND(O14&gt;0,AB14&lt;&gt;"S"),O14*R$4," ")</f>
        <v xml:space="preserve"> </v>
      </c>
      <c r="S14" s="11" t="str">
        <f>IF(O14&gt;0,O14-N(R14)-N(AC14),"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  <c r="AB14" s="42"/>
      <c r="AC14" s="11" t="str">
        <f>IF(AND(O14&gt;0,AB14="S"),O14*AC$4," ")</f>
        <v xml:space="preserve"> </v>
      </c>
      <c r="AE14" s="11" t="str">
        <f>IF(AND(AD14="P",AB14&lt;&gt;"S"),N(R14)," ")</f>
      </c>
      <c r="AF14" s="11" t="str">
        <f>IF(AND(AD14="P",AB14="S"),N(AC14)," ")</f>
      </c>
      <c r="AG14" s="11" t="str">
        <f>IF(AD14="P",N(S14)," ")</f>
      </c>
      <c r="AH14" s="11" t="str">
        <f>IF(AND(AD14&lt;&gt;"P",AB14&lt;&gt;"S"),N(S14)," ")</f>
      </c>
      <c r="AI14" s="11" t="str">
        <f>IF(AND(AD14&lt;&gt;"P",AB14="S"),N(S14)," ")</f>
      </c>
    </row>
    <row r="15" spans="1:35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IF(E15&gt;0,IF(V15&gt;0,0,E15-J15)," ")</f>
        <v xml:space="preserve"> </v>
      </c>
      <c r="L15" s="7"/>
      <c r="M15" s="13"/>
      <c r="N15" s="7"/>
      <c r="O15" s="45"/>
      <c r="P15" s="88"/>
      <c r="Q15" s="11"/>
      <c r="R15" s="11" t="str">
        <f>IF(AND(O15&gt;0,AB15&lt;&gt;"S"),O15*R$4," ")</f>
        <v xml:space="preserve"> </v>
      </c>
      <c r="S15" s="11" t="str">
        <f>IF(O15&gt;0,O15-N(R15)-N(AC15),"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  <c r="AB15" s="42"/>
      <c r="AC15" s="11" t="str">
        <f>IF(AND(O15&gt;0,AB15="S"),O15*AC$4," ")</f>
        <v xml:space="preserve"> </v>
      </c>
      <c r="AE15" s="11" t="str">
        <f>IF(AND(AD15="P",AB15&lt;&gt;"S"),N(R15)," ")</f>
      </c>
      <c r="AF15" s="11" t="str">
        <f>IF(AND(AD15="P",AB15="S"),N(AC15)," ")</f>
      </c>
      <c r="AG15" s="11" t="str">
        <f>IF(AD15="P",N(S15)," ")</f>
      </c>
      <c r="AH15" s="11" t="str">
        <f>IF(AND(AD15&lt;&gt;"P",AB15&lt;&gt;"S"),N(S15)," ")</f>
      </c>
      <c r="AI15" s="11" t="str">
        <f>IF(AND(AD15&lt;&gt;"P",AB15="S"),N(S15)," ")</f>
      </c>
    </row>
    <row r="16" spans="1:35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IF(E16&gt;0,IF(V16&gt;0,0,E16-J16)," ")</f>
        <v xml:space="preserve"> </v>
      </c>
      <c r="L16" s="7"/>
      <c r="M16" s="13"/>
      <c r="N16" s="7"/>
      <c r="O16" s="45"/>
      <c r="P16" s="88"/>
      <c r="Q16" s="11"/>
      <c r="R16" s="11" t="str">
        <f>IF(AND(O16&gt;0,AB16&lt;&gt;"S"),O16*R$4," ")</f>
        <v xml:space="preserve"> </v>
      </c>
      <c r="S16" s="11" t="str">
        <f>IF(O16&gt;0,O16-N(R16)-N(AC16),"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  <c r="AB16" s="42"/>
      <c r="AC16" s="11" t="str">
        <f>IF(AND(O16&gt;0,AB16="S"),O16*AC$4," ")</f>
        <v xml:space="preserve"> </v>
      </c>
      <c r="AE16" s="11" t="str">
        <f>IF(AND(AD16="P",AB16&lt;&gt;"S"),N(R16)," ")</f>
      </c>
      <c r="AF16" s="11" t="str">
        <f>IF(AND(AD16="P",AB16="S"),N(AC16)," ")</f>
      </c>
      <c r="AG16" s="11" t="str">
        <f>IF(AD16="P",N(S16)," ")</f>
      </c>
      <c r="AH16" s="11" t="str">
        <f>IF(AND(AD16&lt;&gt;"P",AB16&lt;&gt;"S"),N(S16)," ")</f>
      </c>
      <c r="AI16" s="11" t="str">
        <f>IF(AND(AD16&lt;&gt;"P",AB16="S"),N(S16)," ")</f>
      </c>
    </row>
    <row r="17" spans="1:35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IF(E17&gt;0,IF(V17&gt;0,0,E17-J17)," ")</f>
        <v xml:space="preserve"> </v>
      </c>
      <c r="L17" s="7"/>
      <c r="M17" s="13"/>
      <c r="N17" s="7"/>
      <c r="O17" s="45"/>
      <c r="P17" s="88"/>
      <c r="Q17" s="11"/>
      <c r="R17" s="11" t="str">
        <f>IF(AND(O17&gt;0,AB17&lt;&gt;"S"),O17*R$4," ")</f>
        <v xml:space="preserve"> </v>
      </c>
      <c r="S17" s="11" t="str">
        <f>IF(O17&gt;0,O17-N(R17)-N(AC17),"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  <c r="AB17" s="42"/>
      <c r="AC17" s="11" t="str">
        <f>IF(AND(O17&gt;0,AB17="S"),O17*AC$4," ")</f>
        <v xml:space="preserve"> </v>
      </c>
      <c r="AE17" s="11" t="str">
        <f>IF(AND(AD17="P",AB17&lt;&gt;"S"),N(R17)," ")</f>
      </c>
      <c r="AF17" s="11" t="str">
        <f>IF(AND(AD17="P",AB17="S"),N(AC17)," ")</f>
      </c>
      <c r="AG17" s="11" t="str">
        <f>IF(AD17="P",N(S17)," ")</f>
      </c>
      <c r="AH17" s="11" t="str">
        <f>IF(AND(AD17&lt;&gt;"P",AB17&lt;&gt;"S"),N(S17)," ")</f>
      </c>
      <c r="AI17" s="11" t="str">
        <f>IF(AND(AD17&lt;&gt;"P",AB17="S"),N(S17)," ")</f>
      </c>
    </row>
    <row r="18" spans="1:35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IF(E18&gt;0,IF(V18&gt;0,0,E18-J18)," ")</f>
        <v xml:space="preserve"> </v>
      </c>
      <c r="L18" s="7"/>
      <c r="M18" s="13"/>
      <c r="N18" s="7"/>
      <c r="O18" s="45"/>
      <c r="P18" s="88"/>
      <c r="Q18" s="11"/>
      <c r="R18" s="11" t="str">
        <f>IF(AND(O18&gt;0,AB18&lt;&gt;"S"),O18*R$4," ")</f>
        <v xml:space="preserve"> </v>
      </c>
      <c r="S18" s="11" t="str">
        <f>IF(O18&gt;0,O18-N(R18)-N(AC18),"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  <c r="AB18" s="42"/>
      <c r="AC18" s="11" t="str">
        <f>IF(AND(O18&gt;0,AB18="S"),O18*AC$4," ")</f>
        <v xml:space="preserve"> </v>
      </c>
      <c r="AE18" s="11" t="str">
        <f>IF(AND(AD18="P",AB18&lt;&gt;"S"),N(R18)," ")</f>
      </c>
      <c r="AF18" s="11" t="str">
        <f>IF(AND(AD18="P",AB18="S"),N(AC18)," ")</f>
      </c>
      <c r="AG18" s="11" t="str">
        <f>IF(AD18="P",N(S18)," ")</f>
      </c>
      <c r="AH18" s="11" t="str">
        <f>IF(AND(AD18&lt;&gt;"P",AB18&lt;&gt;"S"),N(S18)," ")</f>
      </c>
      <c r="AI18" s="11" t="str">
        <f>IF(AND(AD18&lt;&gt;"P",AB18="S"),N(S18)," ")</f>
      </c>
    </row>
    <row r="19" spans="1:35" x14ac:dyDescent="0.15">
      <c r="A19" s="101"/>
      <c r="B19" s="117" t="s">
        <v>68</v>
      </c>
      <c r="C19" s="118"/>
      <c r="D19" s="119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  <c r="AB19" s="22"/>
      <c r="AC19" s="17">
        <f>SUM(AC14:AC18)</f>
        <v>0</v>
      </c>
      <c r="AE19" s="17">
        <f>SUM(AE14:AE18)</f>
      </c>
      <c r="AF19" s="17">
        <f>SUM(AF14:AF18)</f>
      </c>
      <c r="AG19" s="17">
        <f>SUM(AG14:AG18)</f>
      </c>
      <c r="AH19" s="17">
        <f>SUM(AH14:AH18)</f>
      </c>
      <c r="AI19" s="17">
        <f>SUM(AI14:AI18)</f>
      </c>
    </row>
    <row r="20" spans="1:35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35" x14ac:dyDescent="0.15">
      <c r="A21" s="101"/>
      <c r="B21" s="122" t="s">
        <v>55</v>
      </c>
      <c r="C21" s="122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35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IF(E22&gt;0,IF(V22&gt;0,0,E22-J22)," ")</f>
        <v xml:space="preserve"> </v>
      </c>
      <c r="L22" s="7"/>
      <c r="M22" s="13"/>
      <c r="N22" s="7"/>
      <c r="O22" s="45"/>
      <c r="P22" s="88"/>
      <c r="Q22" s="11"/>
      <c r="R22" s="11" t="str">
        <f>IF(AND(O22&gt;0,AB22&lt;&gt;"S"),O22*R$4," ")</f>
        <v xml:space="preserve"> </v>
      </c>
      <c r="S22" s="11" t="str">
        <f>IF(O22&gt;0,O22-N(R22)-N(AC22),"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  <c r="AB22" s="42"/>
      <c r="AC22" s="11" t="str">
        <f>IF(AND(O22&gt;0,AB22="S"),O22*AC$4," ")</f>
        <v xml:space="preserve"> </v>
      </c>
      <c r="AE22" s="11" t="str">
        <f>IF(AND(AD22="P",AB22&lt;&gt;"S"),N(R22)," ")</f>
      </c>
      <c r="AF22" s="11" t="str">
        <f>IF(AND(AD22="P",AB22="S"),N(AC22)," ")</f>
      </c>
      <c r="AG22" s="11" t="str">
        <f>IF(AD22="P",N(S22)," ")</f>
      </c>
      <c r="AH22" s="11" t="str">
        <f>IF(AND(AD22&lt;&gt;"P",AB22&lt;&gt;"S"),N(S22)," ")</f>
      </c>
      <c r="AI22" s="11" t="str">
        <f>IF(AND(AD22&lt;&gt;"P",AB22="S"),N(S22)," ")</f>
      </c>
    </row>
    <row r="23" spans="1:35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IF(E23&gt;0,IF(V23&gt;0,0,E23-J23)," ")</f>
        <v xml:space="preserve"> </v>
      </c>
      <c r="L23" s="7"/>
      <c r="M23" s="13"/>
      <c r="N23" s="7"/>
      <c r="O23" s="45"/>
      <c r="P23" s="88"/>
      <c r="Q23" s="11"/>
      <c r="R23" s="11" t="str">
        <f>IF(AND(O23&gt;0,AB23&lt;&gt;"S"),O23*R$4," ")</f>
        <v xml:space="preserve"> </v>
      </c>
      <c r="S23" s="11" t="str">
        <f>IF(O23&gt;0,O23-N(R23)-N(AC23),"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  <c r="AB23" s="42"/>
      <c r="AC23" s="11" t="str">
        <f>IF(AND(O23&gt;0,AB23="S"),O23*AC$4," ")</f>
        <v xml:space="preserve"> </v>
      </c>
      <c r="AE23" s="11" t="str">
        <f>IF(AND(AD23="P",AB23&lt;&gt;"S"),N(R23)," ")</f>
      </c>
      <c r="AF23" s="11" t="str">
        <f>IF(AND(AD23="P",AB23="S"),N(AC23)," ")</f>
      </c>
      <c r="AG23" s="11" t="str">
        <f>IF(AD23="P",N(S23)," ")</f>
      </c>
      <c r="AH23" s="11" t="str">
        <f>IF(AND(AD23&lt;&gt;"P",AB23&lt;&gt;"S"),N(S23)," ")</f>
      </c>
      <c r="AI23" s="11" t="str">
        <f>IF(AND(AD23&lt;&gt;"P",AB23="S"),N(S23)," ")</f>
      </c>
    </row>
    <row r="24" spans="1:35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IF(E24&gt;0,IF(V24&gt;0,0,E24-J24)," ")</f>
        <v xml:space="preserve"> </v>
      </c>
      <c r="L24" s="7"/>
      <c r="M24" s="13"/>
      <c r="N24" s="7"/>
      <c r="O24" s="45"/>
      <c r="P24" s="88"/>
      <c r="Q24" s="11"/>
      <c r="R24" s="11" t="str">
        <f>IF(AND(O24&gt;0,AB24&lt;&gt;"S"),O24*R$4," ")</f>
        <v xml:space="preserve"> </v>
      </c>
      <c r="S24" s="11" t="str">
        <f>IF(O24&gt;0,O24-N(R24)-N(AC24),"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  <c r="AB24" s="42"/>
      <c r="AC24" s="11" t="str">
        <f>IF(AND(O24&gt;0,AB24="S"),O24*AC$4," ")</f>
        <v xml:space="preserve"> </v>
      </c>
      <c r="AE24" s="11" t="str">
        <f>IF(AND(AD24="P",AB24&lt;&gt;"S"),N(R24)," ")</f>
      </c>
      <c r="AF24" s="11" t="str">
        <f>IF(AND(AD24="P",AB24="S"),N(AC24)," ")</f>
      </c>
      <c r="AG24" s="11" t="str">
        <f>IF(AD24="P",N(S24)," ")</f>
      </c>
      <c r="AH24" s="11" t="str">
        <f>IF(AND(AD24&lt;&gt;"P",AB24&lt;&gt;"S"),N(S24)," ")</f>
      </c>
      <c r="AI24" s="11" t="str">
        <f>IF(AND(AD24&lt;&gt;"P",AB24="S"),N(S24)," ")</f>
      </c>
    </row>
    <row r="25" spans="1:35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IF(E25&gt;0,IF(V25&gt;0,0,E25-J25)," ")</f>
        <v xml:space="preserve"> </v>
      </c>
      <c r="L25" s="7"/>
      <c r="M25" s="13"/>
      <c r="N25" s="7"/>
      <c r="O25" s="45"/>
      <c r="P25" s="88"/>
      <c r="Q25" s="11"/>
      <c r="R25" s="11" t="str">
        <f>IF(AND(O25&gt;0,AB25&lt;&gt;"S"),O25*R$4," ")</f>
        <v xml:space="preserve"> </v>
      </c>
      <c r="S25" s="11" t="str">
        <f>IF(O25&gt;0,O25-N(R25)-N(AC25),"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  <c r="AB25" s="42"/>
      <c r="AC25" s="11" t="str">
        <f>IF(AND(O25&gt;0,AB25="S"),O25*AC$4," ")</f>
        <v xml:space="preserve"> </v>
      </c>
      <c r="AE25" s="11" t="str">
        <f>IF(AND(AD25="P",AB25&lt;&gt;"S"),N(R25)," ")</f>
      </c>
      <c r="AF25" s="11" t="str">
        <f>IF(AND(AD25="P",AB25="S"),N(AC25)," ")</f>
      </c>
      <c r="AG25" s="11" t="str">
        <f>IF(AD25="P",N(S25)," ")</f>
      </c>
      <c r="AH25" s="11" t="str">
        <f>IF(AND(AD25&lt;&gt;"P",AB25&lt;&gt;"S"),N(S25)," ")</f>
      </c>
      <c r="AI25" s="11" t="str">
        <f>IF(AND(AD25&lt;&gt;"P",AB25="S"),N(S25)," ")</f>
      </c>
    </row>
    <row r="26" spans="1:35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IF(E26&gt;0,IF(V26&gt;0,0,E26-J26)," ")</f>
        <v xml:space="preserve"> </v>
      </c>
      <c r="L26" s="7"/>
      <c r="M26" s="13"/>
      <c r="N26" s="7"/>
      <c r="O26" s="45"/>
      <c r="P26" s="88"/>
      <c r="Q26" s="11"/>
      <c r="R26" s="11" t="str">
        <f>IF(AND(O26&gt;0,AB26&lt;&gt;"S"),O26*R$4," ")</f>
        <v xml:space="preserve"> </v>
      </c>
      <c r="S26" s="11" t="str">
        <f>IF(O26&gt;0,O26-N(R26)-N(AC26),"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  <c r="AB26" s="42"/>
      <c r="AC26" s="11" t="str">
        <f>IF(AND(O26&gt;0,AB26="S"),O26*AC$4," ")</f>
        <v xml:space="preserve"> </v>
      </c>
      <c r="AE26" s="11" t="str">
        <f>IF(AND(AD26="P",AB26&lt;&gt;"S"),N(R26)," ")</f>
      </c>
      <c r="AF26" s="11" t="str">
        <f>IF(AND(AD26="P",AB26="S"),N(AC26)," ")</f>
      </c>
      <c r="AG26" s="11" t="str">
        <f>IF(AD26="P",N(S26)," ")</f>
      </c>
      <c r="AH26" s="11" t="str">
        <f>IF(AND(AD26&lt;&gt;"P",AB26&lt;&gt;"S"),N(S26)," ")</f>
      </c>
      <c r="AI26" s="11" t="str">
        <f>IF(AND(AD26&lt;&gt;"P",AB26="S"),N(S26)," ")</f>
      </c>
    </row>
    <row r="27" spans="1:35" x14ac:dyDescent="0.15">
      <c r="A27" s="101"/>
      <c r="B27" s="117" t="s">
        <v>69</v>
      </c>
      <c r="C27" s="118"/>
      <c r="D27" s="119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  <c r="AB27" s="22"/>
      <c r="AC27" s="17">
        <f>SUM(AC22:AC26)</f>
        <v>0</v>
      </c>
      <c r="AE27" s="17">
        <f>SUM(AE22:AE26)</f>
      </c>
      <c r="AF27" s="17">
        <f>SUM(AF22:AF26)</f>
      </c>
      <c r="AG27" s="17">
        <f>SUM(AG22:AG26)</f>
      </c>
      <c r="AH27" s="17">
        <f>SUM(AH22:AH26)</f>
      </c>
      <c r="AI27" s="17">
        <f>SUM(AI22:AI26)</f>
      </c>
    </row>
    <row r="28" spans="1:35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35" x14ac:dyDescent="0.15">
      <c r="A29" s="101"/>
      <c r="B29" s="122" t="s">
        <v>7</v>
      </c>
      <c r="C29" s="122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35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IF(E30&gt;0,IF(V30&gt;0,0,E30-J30)," ")</f>
        <v xml:space="preserve"> </v>
      </c>
      <c r="L30" s="7"/>
      <c r="M30" s="13"/>
      <c r="N30" s="7"/>
      <c r="O30" s="45"/>
      <c r="P30" s="88"/>
      <c r="Q30" s="11"/>
      <c r="R30" s="11" t="str">
        <f>IF(AND(O30&gt;0,AB30&lt;&gt;"S"),O30*R$4," ")</f>
        <v xml:space="preserve"> </v>
      </c>
      <c r="S30" s="11" t="str">
        <f>IF(O30&gt;0,O30-N(R30)-N(AC30),"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  <c r="AB30" s="42"/>
      <c r="AC30" s="11" t="str">
        <f>IF(AND(O30&gt;0,AB30="S"),O30*AC$4," ")</f>
        <v xml:space="preserve"> </v>
      </c>
      <c r="AE30" s="11" t="str">
        <f>IF(AND(AD30="P",AB30&lt;&gt;"S"),N(R30)," ")</f>
      </c>
      <c r="AF30" s="11" t="str">
        <f>IF(AND(AD30="P",AB30="S"),N(AC30)," ")</f>
      </c>
      <c r="AG30" s="11" t="str">
        <f>IF(AD30="P",N(S30)," ")</f>
      </c>
      <c r="AH30" s="11" t="str">
        <f>IF(AND(AD30&lt;&gt;"P",AB30&lt;&gt;"S"),N(S30)," ")</f>
      </c>
      <c r="AI30" s="11" t="str">
        <f>IF(AND(AD30&lt;&gt;"P",AB30="S"),N(S30)," ")</f>
      </c>
    </row>
    <row r="31" spans="1:35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IF(E31&gt;0,IF(V31&gt;0,0,E31-J31)," ")</f>
        <v xml:space="preserve"> </v>
      </c>
      <c r="L31" s="7"/>
      <c r="M31" s="13"/>
      <c r="N31" s="7"/>
      <c r="O31" s="45"/>
      <c r="P31" s="88"/>
      <c r="Q31" s="11"/>
      <c r="R31" s="11" t="str">
        <f>IF(AND(O31&gt;0,AB31&lt;&gt;"S"),O31*R$4," ")</f>
        <v xml:space="preserve"> </v>
      </c>
      <c r="S31" s="11" t="str">
        <f>IF(O31&gt;0,O31-N(R31)-N(AC31),"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  <c r="AB31" s="42"/>
      <c r="AC31" s="11" t="str">
        <f>IF(AND(O31&gt;0,AB31="S"),O31*AC$4," ")</f>
        <v xml:space="preserve"> </v>
      </c>
      <c r="AE31" s="11" t="str">
        <f>IF(AND(AD31="P",AB31&lt;&gt;"S"),N(R31)," ")</f>
      </c>
      <c r="AF31" s="11" t="str">
        <f>IF(AND(AD31="P",AB31="S"),N(AC31)," ")</f>
      </c>
      <c r="AG31" s="11" t="str">
        <f>IF(AD31="P",N(S31)," ")</f>
      </c>
      <c r="AH31" s="11" t="str">
        <f>IF(AND(AD31&lt;&gt;"P",AB31&lt;&gt;"S"),N(S31)," ")</f>
      </c>
      <c r="AI31" s="11" t="str">
        <f>IF(AND(AD31&lt;&gt;"P",AB31="S"),N(S31)," ")</f>
      </c>
    </row>
    <row r="32" spans="1:35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IF(E32&gt;0,IF(V32&gt;0,0,E32-J32)," ")</f>
        <v xml:space="preserve"> </v>
      </c>
      <c r="L32" s="7"/>
      <c r="M32" s="13"/>
      <c r="N32" s="7"/>
      <c r="O32" s="45"/>
      <c r="P32" s="88"/>
      <c r="Q32" s="11"/>
      <c r="R32" s="11" t="str">
        <f>IF(AND(O32&gt;0,AB32&lt;&gt;"S"),O32*R$4," ")</f>
        <v xml:space="preserve"> </v>
      </c>
      <c r="S32" s="11" t="str">
        <f>IF(O32&gt;0,O32-N(R32)-N(AC32),"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  <c r="AB32" s="42"/>
      <c r="AC32" s="11" t="str">
        <f>IF(AND(O32&gt;0,AB32="S"),O32*AC$4," ")</f>
        <v xml:space="preserve"> </v>
      </c>
      <c r="AE32" s="11" t="str">
        <f>IF(AND(AD32="P",AB32&lt;&gt;"S"),N(R32)," ")</f>
      </c>
      <c r="AF32" s="11" t="str">
        <f>IF(AND(AD32="P",AB32="S"),N(AC32)," ")</f>
      </c>
      <c r="AG32" s="11" t="str">
        <f>IF(AD32="P",N(S32)," ")</f>
      </c>
      <c r="AH32" s="11" t="str">
        <f>IF(AND(AD32&lt;&gt;"P",AB32&lt;&gt;"S"),N(S32)," ")</f>
      </c>
      <c r="AI32" s="11" t="str">
        <f>IF(AND(AD32&lt;&gt;"P",AB32="S"),N(S32)," ")</f>
      </c>
    </row>
    <row r="33" spans="1:35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IF(E33&gt;0,IF(V33&gt;0,0,E33-J33)," ")</f>
        <v xml:space="preserve"> </v>
      </c>
      <c r="L33" s="7"/>
      <c r="M33" s="13"/>
      <c r="N33" s="7"/>
      <c r="O33" s="45"/>
      <c r="P33" s="88"/>
      <c r="Q33" s="11"/>
      <c r="R33" s="11" t="str">
        <f>IF(AND(O33&gt;0,AB33&lt;&gt;"S"),O33*R$4," ")</f>
        <v xml:space="preserve"> </v>
      </c>
      <c r="S33" s="11" t="str">
        <f>IF(O33&gt;0,O33-N(R33)-N(AC33),"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  <c r="AB33" s="42"/>
      <c r="AC33" s="11" t="str">
        <f>IF(AND(O33&gt;0,AB33="S"),O33*AC$4," ")</f>
        <v xml:space="preserve"> </v>
      </c>
      <c r="AE33" s="11" t="str">
        <f>IF(AND(AD33="P",AB33&lt;&gt;"S"),N(R33)," ")</f>
      </c>
      <c r="AF33" s="11" t="str">
        <f>IF(AND(AD33="P",AB33="S"),N(AC33)," ")</f>
      </c>
      <c r="AG33" s="11" t="str">
        <f>IF(AD33="P",N(S33)," ")</f>
      </c>
      <c r="AH33" s="11" t="str">
        <f>IF(AND(AD33&lt;&gt;"P",AB33&lt;&gt;"S"),N(S33)," ")</f>
      </c>
      <c r="AI33" s="11" t="str">
        <f>IF(AND(AD33&lt;&gt;"P",AB33="S"),N(S33)," ")</f>
      </c>
    </row>
    <row r="34" spans="1:35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IF(E34&gt;0,IF(V34&gt;0,0,E34-J34)," ")</f>
        <v xml:space="preserve"> </v>
      </c>
      <c r="L34" s="7"/>
      <c r="M34" s="13"/>
      <c r="N34" s="7"/>
      <c r="O34" s="45"/>
      <c r="P34" s="88"/>
      <c r="Q34" s="11"/>
      <c r="R34" s="11" t="str">
        <f>IF(AND(O34&gt;0,AB34&lt;&gt;"S"),O34*R$4," ")</f>
        <v xml:space="preserve"> </v>
      </c>
      <c r="S34" s="11" t="str">
        <f>IF(O34&gt;0,O34-N(R34)-N(AC34),"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  <c r="AB34" s="42"/>
      <c r="AC34" s="11" t="str">
        <f>IF(AND(O34&gt;0,AB34="S"),O34*AC$4," ")</f>
        <v xml:space="preserve"> </v>
      </c>
      <c r="AE34" s="11" t="str">
        <f>IF(AND(AD34="P",AB34&lt;&gt;"S"),N(R34)," ")</f>
      </c>
      <c r="AF34" s="11" t="str">
        <f>IF(AND(AD34="P",AB34="S"),N(AC34)," ")</f>
      </c>
      <c r="AG34" s="11" t="str">
        <f>IF(AD34="P",N(S34)," ")</f>
      </c>
      <c r="AH34" s="11" t="str">
        <f>IF(AND(AD34&lt;&gt;"P",AB34&lt;&gt;"S"),N(S34)," ")</f>
      </c>
      <c r="AI34" s="11" t="str">
        <f>IF(AND(AD34&lt;&gt;"P",AB34="S"),N(S34)," ")</f>
      </c>
    </row>
    <row r="35" spans="1:35" x14ac:dyDescent="0.15">
      <c r="A35" s="101"/>
      <c r="B35" s="117" t="s">
        <v>70</v>
      </c>
      <c r="C35" s="118"/>
      <c r="D35" s="119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  <c r="AB35" s="22"/>
      <c r="AC35" s="17">
        <f>SUM(AC30:AC34)</f>
        <v>0</v>
      </c>
      <c r="AE35" s="17">
        <f>SUM(AE30:AE34)</f>
      </c>
      <c r="AF35" s="17">
        <f>SUM(AF30:AF34)</f>
      </c>
      <c r="AG35" s="17">
        <f>SUM(AG30:AG34)</f>
      </c>
      <c r="AH35" s="17">
        <f>SUM(AH30:AH34)</f>
      </c>
      <c r="AI35" s="17">
        <f>SUM(AI30:AI34)</f>
      </c>
    </row>
    <row r="36" spans="1:35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35" ht="13" x14ac:dyDescent="0.15">
      <c r="A37" s="101"/>
      <c r="B37" s="120" t="s">
        <v>63</v>
      </c>
      <c r="C37" s="121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35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IF(E38&gt;0,IF(V38&gt;0,0,E38-J38),"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IF(AND(O38&gt;0,AB38&lt;&gt;"S"),O38*R$4*(1-M38)," ")</f>
        <v xml:space="preserve"> </v>
      </c>
      <c r="S38" s="11" t="str">
        <f>IF(O38&gt;0,O38-N(R38)-N(AC38),"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  <c r="AB38" s="42"/>
      <c r="AC38" s="11" t="str">
        <f>IF(AND(O38&gt;0,AB38="S"),O38*AC$4*(1-M38)," ")</f>
        <v xml:space="preserve"> </v>
      </c>
      <c r="AE38" s="11" t="str">
        <f>IF(AND(AD38="P",AB38&lt;&gt;"S"),N(R38)," ")</f>
      </c>
      <c r="AF38" s="11" t="str">
        <f>IF(AND(AD38="P",AB38="S"),N(AC38)," ")</f>
      </c>
      <c r="AG38" s="11" t="str">
        <f>IF(AD38="P",N(S38)," ")</f>
      </c>
      <c r="AH38" s="11" t="str">
        <f>IF(AND(AD38&lt;&gt;"P",AB38&lt;&gt;"S"),N(S38)," ")</f>
      </c>
      <c r="AI38" s="11" t="str">
        <f>IF(AND(AD38&lt;&gt;"P",AB38="S"),N(S38)," ")</f>
      </c>
    </row>
    <row r="39" spans="1:35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IF(E39&gt;0,IF(V39&gt;0,0,E39-J39),"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IF(AND(O39&gt;0,AB39&lt;&gt;"S"),O39*R$4*(1-M39)," ")</f>
        <v xml:space="preserve"> </v>
      </c>
      <c r="S39" s="11" t="str">
        <f>IF(O39&gt;0,O39-N(R39)-N(AC39),"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  <c r="AB39" s="42"/>
      <c r="AC39" s="11" t="str">
        <f>IF(AND(O39&gt;0,AB39="S"),O39*AC$4*(1-M39)," ")</f>
        <v xml:space="preserve"> </v>
      </c>
      <c r="AE39" s="11" t="str">
        <f>IF(AND(AD39="P",AB39&lt;&gt;"S"),N(R39)," ")</f>
      </c>
      <c r="AF39" s="11" t="str">
        <f>IF(AND(AD39="P",AB39="S"),N(AC39)," ")</f>
      </c>
      <c r="AG39" s="11" t="str">
        <f>IF(AD39="P",N(S39)," ")</f>
      </c>
      <c r="AH39" s="11" t="str">
        <f>IF(AND(AD39&lt;&gt;"P",AB39&lt;&gt;"S"),N(S39)," ")</f>
      </c>
      <c r="AI39" s="11" t="str">
        <f>IF(AND(AD39&lt;&gt;"P",AB39="S"),N(S39)," ")</f>
      </c>
    </row>
    <row r="40" spans="1:35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IF(E40&gt;0,IF(V40&gt;0,0,E40-J40),"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IF(AND(O40&gt;0,AB40&lt;&gt;"S"),O40*R$4*(1-M40)," ")</f>
        <v xml:space="preserve"> </v>
      </c>
      <c r="S40" s="11" t="str">
        <f>IF(O40&gt;0,O40-N(R40)-N(AC40),"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  <c r="AB40" s="42"/>
      <c r="AC40" s="11" t="str">
        <f>IF(AND(O40&gt;0,AB40="S"),O40*AC$4*(1-M40)," ")</f>
        <v xml:space="preserve"> </v>
      </c>
      <c r="AE40" s="11" t="str">
        <f>IF(AND(AD40="P",AB40&lt;&gt;"S"),N(R40)," ")</f>
      </c>
      <c r="AF40" s="11" t="str">
        <f>IF(AND(AD40="P",AB40="S"),N(AC40)," ")</f>
      </c>
      <c r="AG40" s="11" t="str">
        <f>IF(AD40="P",N(S40)," ")</f>
      </c>
      <c r="AH40" s="11" t="str">
        <f>IF(AND(AD40&lt;&gt;"P",AB40&lt;&gt;"S"),N(S40)," ")</f>
      </c>
      <c r="AI40" s="11" t="str">
        <f>IF(AND(AD40&lt;&gt;"P",AB40="S"),N(S40)," ")</f>
      </c>
    </row>
    <row r="41" spans="1:35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IF(E41&gt;0,IF(V41&gt;0,0,E41-J41),"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IF(AND(O41&gt;0,AB41&lt;&gt;"S"),O41*R$4*(1-M41)," ")</f>
        <v xml:space="preserve"> </v>
      </c>
      <c r="S41" s="11" t="str">
        <f>IF(O41&gt;0,O41-N(R41)-N(AC41),"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  <c r="AB41" s="42"/>
      <c r="AC41" s="11" t="str">
        <f>IF(AND(O41&gt;0,AB41="S"),O41*AC$4*(1-M41)," ")</f>
        <v xml:space="preserve"> </v>
      </c>
      <c r="AE41" s="11" t="str">
        <f>IF(AND(AD41="P",AB41&lt;&gt;"S"),N(R41)," ")</f>
      </c>
      <c r="AF41" s="11" t="str">
        <f>IF(AND(AD41="P",AB41="S"),N(AC41)," ")</f>
      </c>
      <c r="AG41" s="11" t="str">
        <f>IF(AD41="P",N(S41)," ")</f>
      </c>
      <c r="AH41" s="11" t="str">
        <f>IF(AND(AD41&lt;&gt;"P",AB41&lt;&gt;"S"),N(S41)," ")</f>
      </c>
      <c r="AI41" s="11" t="str">
        <f>IF(AND(AD41&lt;&gt;"P",AB41="S"),N(S41)," ")</f>
      </c>
    </row>
    <row r="42" spans="1:35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IF(E42&gt;0,IF(V42&gt;0,0,E42-J42),"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IF(AND(O42&gt;0,AB42&lt;&gt;"S"),O42*R$4*(1-M42)," ")</f>
        <v xml:space="preserve"> </v>
      </c>
      <c r="S42" s="11" t="str">
        <f>IF(O42&gt;0,O42-N(R42)-N(AC42),"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  <c r="AB42" s="42"/>
      <c r="AC42" s="11" t="str">
        <f>IF(AND(O42&gt;0,AB42="S"),O42*AC$4*(1-M42)," ")</f>
        <v xml:space="preserve"> </v>
      </c>
      <c r="AE42" s="11" t="str">
        <f>IF(AND(AD42="P",AB42&lt;&gt;"S"),N(R42)," ")</f>
      </c>
      <c r="AF42" s="11" t="str">
        <f>IF(AND(AD42="P",AB42="S"),N(AC42)," ")</f>
      </c>
      <c r="AG42" s="11" t="str">
        <f>IF(AD42="P",N(S42)," ")</f>
      </c>
      <c r="AH42" s="11" t="str">
        <f>IF(AND(AD42&lt;&gt;"P",AB42&lt;&gt;"S"),N(S42)," ")</f>
      </c>
      <c r="AI42" s="11" t="str">
        <f>IF(AND(AD42&lt;&gt;"P",AB42="S"),N(S42)," ")</f>
      </c>
    </row>
    <row r="43" spans="1:35" ht="12" customHeight="1" x14ac:dyDescent="0.15">
      <c r="A43" s="101"/>
      <c r="B43" s="120" t="s">
        <v>64</v>
      </c>
      <c r="C43" s="121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35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IF(E44&gt;0,IF(V44&gt;0,0,E44-J44),"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IF(AND(O44&gt;0,AB44&lt;&gt;"S"),O44*R$4*(1-M44)," ")</f>
        <v xml:space="preserve"> </v>
      </c>
      <c r="S44" s="11" t="str">
        <f>IF(O44&gt;0,O44-N(R44)-N(AC44),"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  <c r="AB44" s="42"/>
      <c r="AC44" s="11" t="str">
        <f>IF(AND(O44&gt;0,AB44="S"),O44*AC$4*(1-M44)," ")</f>
        <v xml:space="preserve"> </v>
      </c>
      <c r="AE44" s="11" t="str">
        <f>IF(AND(AD44="P",AB44&lt;&gt;"S"),N(R44)," ")</f>
      </c>
      <c r="AF44" s="11" t="str">
        <f>IF(AND(AD44="P",AB44="S"),N(AC44)," ")</f>
      </c>
      <c r="AG44" s="11" t="str">
        <f>IF(AD44="P",N(S44)," ")</f>
      </c>
      <c r="AH44" s="11" t="str">
        <f>IF(AND(AD44&lt;&gt;"P",AB44&lt;&gt;"S"),N(S44)," ")</f>
      </c>
      <c r="AI44" s="11" t="str">
        <f>IF(AND(AD44&lt;&gt;"P",AB44="S"),N(S44)," ")</f>
      </c>
    </row>
    <row r="45" spans="1:35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IF(AND(O45&gt;0,AB45&lt;&gt;"S"),O45*R$4*(1-M45)," ")</f>
        <v xml:space="preserve"> </v>
      </c>
      <c r="S45" s="11" t="str">
        <f>IF(O45&gt;0,O45-N(R45)-N(AC45),"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  <c r="AB45" s="42"/>
      <c r="AC45" s="11" t="str">
        <f>IF(AND(O45&gt;0,AB45="S"),O45*AC$4*(1-M45)," ")</f>
        <v xml:space="preserve"> </v>
      </c>
      <c r="AE45" s="11" t="str">
        <f>IF(AND(AD45="P",AB45&lt;&gt;"S"),N(R45)," ")</f>
      </c>
      <c r="AF45" s="11" t="str">
        <f>IF(AND(AD45="P",AB45="S"),N(AC45)," ")</f>
      </c>
      <c r="AG45" s="11" t="str">
        <f>IF(AD45="P",N(S45)," ")</f>
      </c>
      <c r="AH45" s="11" t="str">
        <f>IF(AND(AD45&lt;&gt;"P",AB45&lt;&gt;"S"),N(S45)," ")</f>
      </c>
      <c r="AI45" s="11" t="str">
        <f>IF(AND(AD45&lt;&gt;"P",AB45="S"),N(S45)," ")</f>
      </c>
    </row>
    <row r="46" spans="1:35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IF(E46&gt;0,IF(V46&gt;0,0,E46-J46),"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IF(AND(O46&gt;0,AB46&lt;&gt;"S"),O46*R$4*(1-M46)," ")</f>
        <v xml:space="preserve"> </v>
      </c>
      <c r="S46" s="11" t="str">
        <f>IF(O46&gt;0,O46-N(R46)-N(AC46),"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  <c r="AB46" s="42"/>
      <c r="AC46" s="11" t="str">
        <f>IF(AND(O46&gt;0,AB46="S"),O46*AC$4*(1-M46)," ")</f>
        <v xml:space="preserve"> </v>
      </c>
      <c r="AE46" s="11" t="str">
        <f>IF(AND(AD46="P",AB46&lt;&gt;"S"),N(R46)," ")</f>
      </c>
      <c r="AF46" s="11" t="str">
        <f>IF(AND(AD46="P",AB46="S"),N(AC46)," ")</f>
      </c>
      <c r="AG46" s="11" t="str">
        <f>IF(AD46="P",N(S46)," ")</f>
      </c>
      <c r="AH46" s="11" t="str">
        <f>IF(AND(AD46&lt;&gt;"P",AB46&lt;&gt;"S"),N(S46)," ")</f>
      </c>
      <c r="AI46" s="11" t="str">
        <f>IF(AND(AD46&lt;&gt;"P",AB46="S"),N(S46)," ")</f>
      </c>
    </row>
    <row r="47" spans="1:35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IF(E47&gt;0,IF(V47&gt;0,0,E47-J47),"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IF(AND(O47&gt;0,AB47&lt;&gt;"S"),O47*R$4*(1-M47)," ")</f>
        <v xml:space="preserve"> </v>
      </c>
      <c r="S47" s="11" t="str">
        <f>IF(O47&gt;0,O47-N(R47)-N(AC47),"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  <c r="AB47" s="42"/>
      <c r="AC47" s="11" t="str">
        <f>IF(AND(O47&gt;0,AB47="S"),O47*AC$4*(1-M47)," ")</f>
        <v xml:space="preserve"> </v>
      </c>
      <c r="AE47" s="11" t="str">
        <f>IF(AND(AD47="P",AB47&lt;&gt;"S"),N(R47)," ")</f>
      </c>
      <c r="AF47" s="11" t="str">
        <f>IF(AND(AD47="P",AB47="S"),N(AC47)," ")</f>
      </c>
      <c r="AG47" s="11" t="str">
        <f>IF(AD47="P",N(S47)," ")</f>
      </c>
      <c r="AH47" s="11" t="str">
        <f>IF(AND(AD47&lt;&gt;"P",AB47&lt;&gt;"S"),N(S47)," ")</f>
      </c>
      <c r="AI47" s="11" t="str">
        <f>IF(AND(AD47&lt;&gt;"P",AB47="S"),N(S47)," ")</f>
      </c>
    </row>
    <row r="48" spans="1:35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IF(E48&gt;0,IF(V48&gt;0,0,E48-J48),"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IF(AND(O48&gt;0,AB48&lt;&gt;"S"),O48*R$4*(1-M48)," ")</f>
        <v xml:space="preserve"> </v>
      </c>
      <c r="S48" s="11" t="str">
        <f>IF(O48&gt;0,O48-N(R48)-N(AC48),"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  <c r="AB48" s="42"/>
      <c r="AC48" s="11" t="str">
        <f>IF(AND(O48&gt;0,AB48="S"),O48*AC$4*(1-M48)," ")</f>
        <v xml:space="preserve"> </v>
      </c>
      <c r="AE48" s="11" t="str">
        <f>IF(AND(AD48="P",AB48&lt;&gt;"S"),N(R48)," ")</f>
      </c>
      <c r="AF48" s="11" t="str">
        <f>IF(AND(AD48="P",AB48="S"),N(AC48)," ")</f>
      </c>
      <c r="AG48" s="11" t="str">
        <f>IF(AD48="P",N(S48)," ")</f>
      </c>
      <c r="AH48" s="11" t="str">
        <f>IF(AND(AD48&lt;&gt;"P",AB48&lt;&gt;"S"),N(S48)," ")</f>
      </c>
      <c r="AI48" s="11" t="str">
        <f>IF(AND(AD48&lt;&gt;"P",AB48="S"),N(S48)," ")</f>
      </c>
    </row>
    <row r="49" spans="1:35" x14ac:dyDescent="0.15">
      <c r="A49" s="101"/>
      <c r="B49" s="122" t="s">
        <v>54</v>
      </c>
      <c r="C49" s="122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35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IF(AND(O50&gt;0,AB50&lt;&gt;"S"),O50*R$4," ")</f>
        <v xml:space="preserve"> </v>
      </c>
      <c r="S50" s="11" t="str">
        <f>IF(O50&gt;0,O50-N(R50)-N(AC50),"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  <c r="AB50" s="42"/>
      <c r="AC50" s="11" t="str">
        <f>IF(AND(O50&gt;0,AB50="S"),O50*AC$4," ")</f>
        <v xml:space="preserve"> </v>
      </c>
      <c r="AE50" s="11" t="str">
        <f>IF(AND(AD50="P",AB50&lt;&gt;"S"),N(R50)," ")</f>
      </c>
      <c r="AF50" s="11" t="str">
        <f>IF(AND(AD50="P",AB50="S"),N(AC50)," ")</f>
      </c>
      <c r="AG50" s="11" t="str">
        <f>IF(AD50="P",N(S50)," ")</f>
      </c>
      <c r="AH50" s="11" t="str">
        <f>IF(AND(AD50&lt;&gt;"P",AB50&lt;&gt;"S"),N(S50)," ")</f>
      </c>
      <c r="AI50" s="11" t="str">
        <f>IF(AND(AD50&lt;&gt;"P",AB50="S"),N(S50)," ")</f>
      </c>
    </row>
    <row r="51" spans="1:35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IF(AND(O51&gt;0,AB51&lt;&gt;"S"),O51*R$4," ")</f>
        <v xml:space="preserve"> </v>
      </c>
      <c r="S51" s="11" t="str">
        <f>IF(O51&gt;0,O51-N(R51)-N(AC51),"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  <c r="AB51" s="42"/>
      <c r="AC51" s="11" t="str">
        <f>IF(AND(O51&gt;0,AB51="S"),O51*AC$4," ")</f>
        <v xml:space="preserve"> </v>
      </c>
      <c r="AE51" s="11" t="str">
        <f>IF(AND(AD51="P",AB51&lt;&gt;"S"),N(R51)," ")</f>
      </c>
      <c r="AF51" s="11" t="str">
        <f>IF(AND(AD51="P",AB51="S"),N(AC51)," ")</f>
      </c>
      <c r="AG51" s="11" t="str">
        <f>IF(AD51="P",N(S51)," ")</f>
      </c>
      <c r="AH51" s="11" t="str">
        <f>IF(AND(AD51&lt;&gt;"P",AB51&lt;&gt;"S"),N(S51)," ")</f>
      </c>
      <c r="AI51" s="11" t="str">
        <f>IF(AND(AD51&lt;&gt;"P",AB51="S"),N(S51)," ")</f>
      </c>
    </row>
    <row r="52" spans="1:35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IF(AND(O52&gt;0,AB52&lt;&gt;"S"),O52*R$4," ")</f>
        <v xml:space="preserve"> </v>
      </c>
      <c r="S52" s="11" t="str">
        <f>IF(O52&gt;0,O52-N(R52)-N(AC52),"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  <c r="AB52" s="42"/>
      <c r="AC52" s="11" t="str">
        <f>IF(AND(O52&gt;0,AB52="S"),O52*AC$4," ")</f>
        <v xml:space="preserve"> </v>
      </c>
      <c r="AE52" s="11" t="str">
        <f>IF(AND(AD52="P",AB52&lt;&gt;"S"),N(R52)," ")</f>
      </c>
      <c r="AF52" s="11" t="str">
        <f>IF(AND(AD52="P",AB52="S"),N(AC52)," ")</f>
      </c>
      <c r="AG52" s="11" t="str">
        <f>IF(AD52="P",N(S52)," ")</f>
      </c>
      <c r="AH52" s="11" t="str">
        <f>IF(AND(AD52&lt;&gt;"P",AB52&lt;&gt;"S"),N(S52)," ")</f>
      </c>
      <c r="AI52" s="11" t="str">
        <f>IF(AND(AD52&lt;&gt;"P",AB52="S"),N(S52)," ")</f>
      </c>
    </row>
    <row r="53" spans="1:35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IF(AND(O53&gt;0,AB53&lt;&gt;"S"),O53*R$4," ")</f>
        <v xml:space="preserve"> </v>
      </c>
      <c r="S53" s="11" t="str">
        <f>IF(O53&gt;0,O53-N(R53)-N(AC53),"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  <c r="AB53" s="42"/>
      <c r="AC53" s="11" t="str">
        <f>IF(AND(O53&gt;0,AB53="S"),O53*AC$4," ")</f>
        <v xml:space="preserve"> </v>
      </c>
      <c r="AE53" s="11" t="str">
        <f>IF(AND(AD53="P",AB53&lt;&gt;"S"),N(R53)," ")</f>
      </c>
      <c r="AF53" s="11" t="str">
        <f>IF(AND(AD53="P",AB53="S"),N(AC53)," ")</f>
      </c>
      <c r="AG53" s="11" t="str">
        <f>IF(AD53="P",N(S53)," ")</f>
      </c>
      <c r="AH53" s="11" t="str">
        <f>IF(AND(AD53&lt;&gt;"P",AB53&lt;&gt;"S"),N(S53)," ")</f>
      </c>
      <c r="AI53" s="11" t="str">
        <f>IF(AND(AD53&lt;&gt;"P",AB53="S"),N(S53)," ")</f>
      </c>
    </row>
    <row r="54" spans="1:35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IF(AND(O54&gt;0,AB54&lt;&gt;"S"),O54*R$4," ")</f>
        <v xml:space="preserve"> </v>
      </c>
      <c r="S54" s="11" t="str">
        <f>IF(O54&gt;0,O54-N(R54)-N(AC54),"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  <c r="AB54" s="42"/>
      <c r="AC54" s="11" t="str">
        <f>IF(AND(O54&gt;0,AB54="S"),O54*AC$4," ")</f>
        <v xml:space="preserve"> </v>
      </c>
      <c r="AE54" s="11" t="str">
        <f>IF(AND(AD54="P",AB54&lt;&gt;"S"),N(R54)," ")</f>
      </c>
      <c r="AF54" s="11" t="str">
        <f>IF(AND(AD54="P",AB54="S"),N(AC54)," ")</f>
      </c>
      <c r="AG54" s="11" t="str">
        <f>IF(AD54="P",N(S54)," ")</f>
      </c>
      <c r="AH54" s="11" t="str">
        <f>IF(AND(AD54&lt;&gt;"P",AB54&lt;&gt;"S"),N(S54)," ")</f>
      </c>
      <c r="AI54" s="11" t="str">
        <f>IF(AND(AD54&lt;&gt;"P",AB54="S"),N(S54)," ")</f>
      </c>
    </row>
    <row r="55" spans="1:35" x14ac:dyDescent="0.15">
      <c r="A55" s="101"/>
      <c r="B55" s="117" t="s">
        <v>71</v>
      </c>
      <c r="C55" s="118"/>
      <c r="D55" s="119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  <c r="AB55" s="22"/>
      <c r="AC55" s="17">
        <f>SUM(AC38:AC54)</f>
        <v>0</v>
      </c>
      <c r="AE55" s="17">
        <f>SUM(AE38:AE54)</f>
      </c>
      <c r="AF55" s="17">
        <f>SUM(AF38:AF54)</f>
      </c>
      <c r="AG55" s="17">
        <f>SUM(AG38:AG54)</f>
      </c>
      <c r="AH55" s="17">
        <f>SUM(AH38:AH54)</f>
      </c>
      <c r="AI55" s="17">
        <f>SUM(AI38:AI54)</f>
      </c>
    </row>
    <row r="56" spans="1:35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35" ht="13.5" customHeight="1" thickBot="1" x14ac:dyDescent="0.2">
      <c r="A57" s="101"/>
      <c r="B57" s="152" t="str">
        <f>B6</f>
        <v xml:space="preserve">EXISTING FIXED ASSETS at </v>
      </c>
      <c r="C57" s="154"/>
      <c r="D57" s="113">
        <f>D6</f>
        <v>45753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  <c r="AB57" s="22"/>
      <c r="AC57" s="19">
        <f>AC11+AC19+AC27+AC35+AC55</f>
        <v>0</v>
      </c>
      <c r="AE57" s="19">
        <f>AE11+AE19+AE27+AE35+AE55</f>
      </c>
      <c r="AF57" s="19">
        <f>AF11+AF19+AF27+AF35+AF55</f>
      </c>
      <c r="AG57" s="19">
        <f>AG11+AG19+AG27+AG35+AG55</f>
      </c>
      <c r="AH57" s="19">
        <f>AH11+AH19+AH27+AH35+AH55</f>
      </c>
      <c r="AI57" s="19">
        <f>AI11+AI19+AI27+AI35+AI55</f>
      </c>
    </row>
    <row r="58" spans="1:35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35" ht="13.5" customHeight="1" thickBot="1" x14ac:dyDescent="0.2">
      <c r="A59" s="101"/>
      <c r="B59" s="152" t="s">
        <v>62</v>
      </c>
      <c r="C59" s="153"/>
      <c r="D59" s="113">
        <f>[1]Admin!$B$4</f>
        <v>45753</v>
      </c>
      <c r="E59" s="11"/>
      <c r="F59" s="140"/>
      <c r="G59" s="141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35" ht="12.75" customHeight="1" x14ac:dyDescent="0.15">
      <c r="A60" s="101"/>
      <c r="B60" s="122" t="s">
        <v>10</v>
      </c>
      <c r="C60" s="122"/>
      <c r="D60" s="30"/>
      <c r="E60" s="8"/>
      <c r="F60" s="141"/>
      <c r="G60" s="141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35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IF(E61&gt;0,IF(V61&gt;0,0,E61-J61),"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35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IF(E62&gt;0,IF(V62&gt;0,0,E62-J62),"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35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IF(E63&gt;0,IF(V63&gt;0,0,E63-J63),"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35" x14ac:dyDescent="0.15">
      <c r="A64" s="101"/>
      <c r="B64" s="117" t="s">
        <v>12</v>
      </c>
      <c r="C64" s="118"/>
      <c r="D64" s="119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  <c r="AB64" s="22"/>
      <c r="AC64" s="17">
        <f>SUM(AC61:AC63)</f>
        <v>0</v>
      </c>
      <c r="AE64" s="17">
        <f>SUM(AE61:AE63)</f>
      </c>
      <c r="AF64" s="17">
        <f>SUM(AF61:AF63)</f>
      </c>
      <c r="AG64" s="17">
        <f>SUM(AG61:AG63)</f>
      </c>
      <c r="AH64" s="17">
        <f>SUM(AH61:AH63)</f>
      </c>
      <c r="AI64" s="17">
        <f>SUM(AI61:AI63)</f>
      </c>
    </row>
    <row r="65" spans="1:35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35" ht="12" customHeight="1" x14ac:dyDescent="0.15">
      <c r="A66" s="101"/>
      <c r="B66" s="122" t="s">
        <v>9</v>
      </c>
      <c r="C66" s="122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35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IF(E67&gt;0,IF(V67&gt;0,0,E67-J67),"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35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IF(E68&gt;0,IF(V68&gt;0,0,E68-J68),"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35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IF(E69&gt;0,IF(V69&gt;0,0,E69-J69),"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35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IF(E70&gt;0,IF(V70&gt;0,0,E70-J70),"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35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IF(E71&gt;0,IF(V71&gt;0,0,E71-J71),"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35" x14ac:dyDescent="0.15">
      <c r="A72" s="101"/>
      <c r="B72" s="117" t="s">
        <v>13</v>
      </c>
      <c r="C72" s="118"/>
      <c r="D72" s="119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  <c r="AB72" s="22"/>
      <c r="AC72" s="17">
        <f>SUM(AC67:AC71)</f>
        <v>0</v>
      </c>
      <c r="AE72" s="17">
        <f>SUM(AE67:AE71)</f>
      </c>
      <c r="AF72" s="17">
        <f>SUM(AF67:AF71)</f>
      </c>
      <c r="AG72" s="17">
        <f>SUM(AG67:AG71)</f>
      </c>
      <c r="AH72" s="17">
        <f>SUM(AH67:AH71)</f>
      </c>
      <c r="AI72" s="17">
        <f>SUM(AI67:AI71)</f>
      </c>
    </row>
    <row r="73" spans="1:35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35" x14ac:dyDescent="0.15">
      <c r="A74" s="101"/>
      <c r="B74" s="122" t="s">
        <v>55</v>
      </c>
      <c r="C74" s="122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35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IF(E75&gt;0,IF(V75&gt;0,0,E75-J75),"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35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IF(E76&gt;0,IF(V76&gt;0,0,E76-J76),"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35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IF(E77&gt;0,IF(V77&gt;0,0,E77-J77),"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35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IF(E78&gt;0,IF(V78&gt;0,0,E78-J78),"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35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IF(E79&gt;0,IF(V79&gt;0,0,E79-J79),"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35" x14ac:dyDescent="0.15">
      <c r="A80" s="101"/>
      <c r="B80" s="117" t="s">
        <v>14</v>
      </c>
      <c r="C80" s="118"/>
      <c r="D80" s="119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  <c r="AB80" s="22"/>
      <c r="AC80" s="17">
        <f>SUM(AC75:AC79)</f>
        <v>0</v>
      </c>
      <c r="AE80" s="17">
        <f>SUM(AE75:AE79)</f>
      </c>
      <c r="AF80" s="17">
        <f>SUM(AF75:AF79)</f>
      </c>
      <c r="AG80" s="17">
        <f>SUM(AG75:AG79)</f>
      </c>
      <c r="AH80" s="17">
        <f>SUM(AH75:AH79)</f>
      </c>
      <c r="AI80" s="17">
        <f>SUM(AI75:AI79)</f>
      </c>
    </row>
    <row r="81" spans="1:35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35" x14ac:dyDescent="0.15">
      <c r="A82" s="101"/>
      <c r="B82" s="122" t="s">
        <v>7</v>
      </c>
      <c r="C82" s="122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35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IF(E83&gt;0,IF(V83&gt;0,0,E83-J83),"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35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IF(E84&gt;0,IF(V84&gt;0,0,E84-J84),"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35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IF(E85&gt;0,IF(V85&gt;0,0,E85-J85),"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35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IF(E86&gt;0,IF(V86&gt;0,0,E86-J86),"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35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IF(E87&gt;0,IF(V87&gt;0,0,E87-J87),"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35" x14ac:dyDescent="0.15">
      <c r="A88" s="101"/>
      <c r="B88" s="117" t="s">
        <v>15</v>
      </c>
      <c r="C88" s="118"/>
      <c r="D88" s="119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  <c r="AB88" s="22"/>
      <c r="AC88" s="17">
        <f>SUM(AC83:AC87)</f>
        <v>0</v>
      </c>
      <c r="AE88" s="17">
        <f>SUM(AE83:AE87)</f>
      </c>
      <c r="AF88" s="17">
        <f>SUM(AF83:AF87)</f>
      </c>
      <c r="AG88" s="17">
        <f>SUM(AG83:AG87)</f>
      </c>
      <c r="AH88" s="17">
        <f>SUM(AH83:AH87)</f>
      </c>
      <c r="AI88" s="17">
        <f>SUM(AI83:AI87)</f>
      </c>
    </row>
    <row r="89" spans="1:35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35" ht="12" customHeight="1" x14ac:dyDescent="0.15">
      <c r="A90" s="101"/>
      <c r="B90" s="120" t="str">
        <f>B37</f>
        <v>Motor Vehicles - costing over £</v>
      </c>
      <c r="C90" s="120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35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IF(E91&gt;0,IF(V91&gt;0,0,E91-J91),"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IF(AND(E91&gt;0,AB91&lt;&gt;"S"),E91*R$4*(1-M91)," ")</f>
        <v xml:space="preserve"> </v>
      </c>
      <c r="S91" s="11" t="str">
        <f>IF(E91&gt;0,E91-N(R91)-N(AC91),"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  <c r="AB91" s="42"/>
      <c r="AC91" s="11" t="str">
        <f>IF(AND(E91&gt;0,AB91="S"),E91*AC$4*(1-M91)," ")</f>
        <v xml:space="preserve"> </v>
      </c>
      <c r="AE91" s="11" t="str">
        <f>IF(AND(AD91="P",AB91&lt;&gt;"S"),N(R91)," ")</f>
      </c>
      <c r="AF91" s="11" t="str">
        <f>IF(AND(AD91="P",AB91="S"),N(AC91)," ")</f>
      </c>
      <c r="AG91" s="11" t="str">
        <f>IF(AD91="P",N(S91)," ")</f>
      </c>
      <c r="AH91" s="11" t="str">
        <f>IF(AND(AD91&lt;&gt;"P",AB91&lt;&gt;"S"),N(S91)," ")</f>
      </c>
      <c r="AI91" s="11" t="str">
        <f>IF(AND(AD91&lt;&gt;"P",AB91="S"),N(S91)," ")</f>
      </c>
    </row>
    <row r="92" spans="1:35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IF(E92&gt;0,IF(V92&gt;0,0,E92-J92),"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IF(AND(E92&gt;0,AB92&lt;&gt;"S"),E92*R$4*(1-M92)," ")</f>
        <v xml:space="preserve"> </v>
      </c>
      <c r="S92" s="11" t="str">
        <f>IF(E92&gt;0,E92-N(R92)-N(AC92),"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  <c r="AB92" s="42"/>
      <c r="AC92" s="11" t="str">
        <f>IF(AND(E92&gt;0,AB92="S"),E92*AC$4*(1-M92)," ")</f>
        <v xml:space="preserve"> </v>
      </c>
      <c r="AE92" s="11" t="str">
        <f>IF(AND(AD92="P",AB92&lt;&gt;"S"),N(R92)," ")</f>
      </c>
      <c r="AF92" s="11" t="str">
        <f>IF(AND(AD92="P",AB92="S"),N(AC92)," ")</f>
      </c>
      <c r="AG92" s="11" t="str">
        <f>IF(AD92="P",N(S92)," ")</f>
      </c>
      <c r="AH92" s="11" t="str">
        <f>IF(AND(AD92&lt;&gt;"P",AB92&lt;&gt;"S"),N(S92)," ")</f>
      </c>
      <c r="AI92" s="11" t="str">
        <f>IF(AND(AD92&lt;&gt;"P",AB92="S"),N(S92)," ")</f>
      </c>
    </row>
    <row r="93" spans="1:35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IF(E93&gt;0,IF(V93&gt;0,0,E93-J93),"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IF(AND(E93&gt;0,AB93&lt;&gt;"S"),E93*R$4*(1-M93)," ")</f>
        <v xml:space="preserve"> </v>
      </c>
      <c r="S93" s="11" t="str">
        <f>IF(E93&gt;0,E93-N(R93)-N(AC93),"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  <c r="AB93" s="42"/>
      <c r="AC93" s="11" t="str">
        <f>IF(AND(E93&gt;0,AB93="S"),E93*AC$4*(1-M93)," ")</f>
        <v xml:space="preserve"> </v>
      </c>
      <c r="AE93" s="11" t="str">
        <f>IF(AND(AD93="P",AB93&lt;&gt;"S"),N(R93)," ")</f>
      </c>
      <c r="AF93" s="11" t="str">
        <f>IF(AND(AD93="P",AB93="S"),N(AC93)," ")</f>
      </c>
      <c r="AG93" s="11" t="str">
        <f>IF(AD93="P",N(S93)," ")</f>
      </c>
      <c r="AH93" s="11" t="str">
        <f>IF(AND(AD93&lt;&gt;"P",AB93&lt;&gt;"S"),N(S93)," ")</f>
      </c>
      <c r="AI93" s="11" t="str">
        <f>IF(AND(AD93&lt;&gt;"P",AB93="S"),N(S93)," ")</f>
      </c>
    </row>
    <row r="94" spans="1:35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IF(E94&gt;0,IF(V94&gt;0,0,E94-J94),"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IF(AND(E94&gt;0,AB94&lt;&gt;"S"),E94*R$4*(1-M94)," ")</f>
        <v xml:space="preserve"> </v>
      </c>
      <c r="S94" s="11" t="str">
        <f>IF(E94&gt;0,E94-N(R94)-N(AC94),"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  <c r="AB94" s="42"/>
      <c r="AC94" s="11" t="str">
        <f>IF(AND(E94&gt;0,AB94="S"),E94*AC$4*(1-M94)," ")</f>
        <v xml:space="preserve"> </v>
      </c>
      <c r="AE94" s="11" t="str">
        <f>IF(AND(AD94="P",AB94&lt;&gt;"S"),N(R94)," ")</f>
      </c>
      <c r="AF94" s="11" t="str">
        <f>IF(AND(AD94="P",AB94="S"),N(AC94)," ")</f>
      </c>
      <c r="AG94" s="11" t="str">
        <f>IF(AD94="P",N(S94)," ")</f>
      </c>
      <c r="AH94" s="11" t="str">
        <f>IF(AND(AD94&lt;&gt;"P",AB94&lt;&gt;"S"),N(S94)," ")</f>
      </c>
      <c r="AI94" s="11" t="str">
        <f>IF(AND(AD94&lt;&gt;"P",AB94="S"),N(S94)," ")</f>
      </c>
    </row>
    <row r="95" spans="1:35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IF(E95&gt;0,IF(V95&gt;0,0,E95-J95),"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IF(AND(E95&gt;0,AB95&lt;&gt;"S"),E95*R$4*(1-M95)," ")</f>
        <v xml:space="preserve"> </v>
      </c>
      <c r="S95" s="11" t="str">
        <f>IF(E95&gt;0,E95-N(R95)-N(AC95),"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  <c r="AB95" s="42"/>
      <c r="AC95" s="11" t="str">
        <f>IF(AND(E95&gt;0,AB95="S"),E95*AC$4*(1-M95)," ")</f>
        <v xml:space="preserve"> </v>
      </c>
      <c r="AE95" s="11" t="str">
        <f>IF(AND(AD95="P",AB95&lt;&gt;"S"),N(R95)," ")</f>
      </c>
      <c r="AF95" s="11" t="str">
        <f>IF(AND(AD95="P",AB95="S"),N(AC95)," ")</f>
      </c>
      <c r="AG95" s="11" t="str">
        <f>IF(AD95="P",N(S95)," ")</f>
      </c>
      <c r="AH95" s="11" t="str">
        <f>IF(AND(AD95&lt;&gt;"P",AB95&lt;&gt;"S"),N(S95)," ")</f>
      </c>
      <c r="AI95" s="11" t="str">
        <f>IF(AND(AD95&lt;&gt;"P",AB95="S"),N(S95)," ")</f>
      </c>
    </row>
    <row r="96" spans="1:35" ht="12" customHeight="1" x14ac:dyDescent="0.15">
      <c r="A96" s="101"/>
      <c r="B96" s="155" t="str">
        <f>B43</f>
        <v>Motor Vehicles - costing under £</v>
      </c>
      <c r="C96" s="155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35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IF(E97&gt;0,IF(V97&gt;0,0,E97-J97),"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IF(AND(E97&gt;0,AB97&lt;&gt;"S"),E97*R$4*(1-M97)," ")</f>
        <v xml:space="preserve"> </v>
      </c>
      <c r="S97" s="11" t="str">
        <f>IF(E97&gt;0,E97-N(R97)-N(AC97),"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  <c r="AB97" s="42"/>
      <c r="AC97" s="11" t="str">
        <f>IF(AND(E97&gt;0,AB97="S"),E97*AC$4*(1-M97)," ")</f>
        <v xml:space="preserve"> </v>
      </c>
      <c r="AE97" s="11" t="str">
        <f>IF(AND(AD97="P",AB97&lt;&gt;"S"),N(R97)," ")</f>
      </c>
      <c r="AF97" s="11" t="str">
        <f>IF(AND(AD97="P",AB97="S"),N(AC97)," ")</f>
      </c>
      <c r="AG97" s="11" t="str">
        <f>IF(AD97="P",N(S97)," ")</f>
      </c>
      <c r="AH97" s="11" t="str">
        <f>IF(AND(AD97&lt;&gt;"P",AB97&lt;&gt;"S"),N(S97)," ")</f>
      </c>
      <c r="AI97" s="11" t="str">
        <f>IF(AND(AD97&lt;&gt;"P",AB97="S"),N(S97)," ")</f>
      </c>
    </row>
    <row r="98" spans="1:35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IF(AND(E98&gt;0,AB98&lt;&gt;"S"),E98*R$4*(1-M98)," ")</f>
        <v xml:space="preserve"> </v>
      </c>
      <c r="S98" s="11" t="str">
        <f>IF(E98&gt;0,E98-N(R98)-N(AC98),"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  <c r="AB98" s="42"/>
      <c r="AC98" s="11" t="str">
        <f>IF(AND(E98&gt;0,AB98="S"),E98*AC$4*(1-M98)," ")</f>
        <v xml:space="preserve"> </v>
      </c>
      <c r="AE98" s="11" t="str">
        <f>IF(AND(AD98="P",AB98&lt;&gt;"S"),N(R98)," ")</f>
      </c>
      <c r="AF98" s="11" t="str">
        <f>IF(AND(AD98="P",AB98="S"),N(AC98)," ")</f>
      </c>
      <c r="AG98" s="11" t="str">
        <f>IF(AD98="P",N(S98)," ")</f>
      </c>
      <c r="AH98" s="11" t="str">
        <f>IF(AND(AD98&lt;&gt;"P",AB98&lt;&gt;"S"),N(S98)," ")</f>
      </c>
      <c r="AI98" s="11" t="str">
        <f>IF(AND(AD98&lt;&gt;"P",AB98="S"),N(S98)," ")</f>
      </c>
    </row>
    <row r="99" spans="1:35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IF(E99&gt;0,IF(V99&gt;0,0,E99-J99),"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IF(AND(E99&gt;0,AB99&lt;&gt;"S"),E99*R$4*(1-M99)," ")</f>
        <v xml:space="preserve"> </v>
      </c>
      <c r="S99" s="11" t="str">
        <f>IF(E99&gt;0,E99-N(R99)-N(AC99),"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  <c r="AB99" s="42"/>
      <c r="AC99" s="11" t="str">
        <f>IF(AND(E99&gt;0,AB99="S"),E99*AC$4*(1-M99)," ")</f>
        <v xml:space="preserve"> </v>
      </c>
      <c r="AE99" s="11" t="str">
        <f>IF(AND(AD99="P",AB99&lt;&gt;"S"),N(R99)," ")</f>
      </c>
      <c r="AF99" s="11" t="str">
        <f>IF(AND(AD99="P",AB99="S"),N(AC99)," ")</f>
      </c>
      <c r="AG99" s="11" t="str">
        <f>IF(AD99="P",N(S99)," ")</f>
      </c>
      <c r="AH99" s="11" t="str">
        <f>IF(AND(AD99&lt;&gt;"P",AB99&lt;&gt;"S"),N(S99)," ")</f>
      </c>
      <c r="AI99" s="11" t="str">
        <f>IF(AND(AD99&lt;&gt;"P",AB99="S"),N(S99)," ")</f>
      </c>
    </row>
    <row r="100" spans="1:35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IF(E100&gt;0,IF(V100&gt;0,0,E100-J100),"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IF(AND(E100&gt;0,AB100&lt;&gt;"S"),E100*R$4*(1-M100)," ")</f>
        <v xml:space="preserve"> </v>
      </c>
      <c r="S100" s="11" t="str">
        <f>IF(E100&gt;0,E100-N(R100)-N(AC100),"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  <c r="AB100" s="42"/>
      <c r="AC100" s="11" t="str">
        <f>IF(AND(E100&gt;0,AB100="S"),E100*AC$4*(1-M100)," ")</f>
        <v xml:space="preserve"> </v>
      </c>
      <c r="AE100" s="11" t="str">
        <f>IF(AND(AD100="P",AB100&lt;&gt;"S"),N(R100)," ")</f>
      </c>
      <c r="AF100" s="11" t="str">
        <f>IF(AND(AD100="P",AB100="S"),N(AC100)," ")</f>
      </c>
      <c r="AG100" s="11" t="str">
        <f>IF(AD100="P",N(S100)," ")</f>
      </c>
      <c r="AH100" s="11" t="str">
        <f>IF(AND(AD100&lt;&gt;"P",AB100&lt;&gt;"S"),N(S100)," ")</f>
      </c>
      <c r="AI100" s="11" t="str">
        <f>IF(AND(AD100&lt;&gt;"P",AB100="S"),N(S100)," ")</f>
      </c>
    </row>
    <row r="101" spans="1:35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IF(E101&gt;0,IF(V101&gt;0,0,E101-J101),"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IF(AND(E101&gt;0,AB101&lt;&gt;"S"),E101*R$4*(1-M101)," ")</f>
        <v xml:space="preserve"> </v>
      </c>
      <c r="S101" s="11" t="str">
        <f>IF(E101&gt;0,E101-N(R101)-N(AC101),"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  <c r="AB101" s="42"/>
      <c r="AC101" s="11" t="str">
        <f>IF(AND(E101&gt;0,AB101="S"),E101*AC$4*(1-M101)," ")</f>
        <v xml:space="preserve"> </v>
      </c>
      <c r="AE101" s="11" t="str">
        <f>IF(AND(AD101="P",AB101&lt;&gt;"S"),N(R101)," ")</f>
      </c>
      <c r="AF101" s="11" t="str">
        <f>IF(AND(AD101="P",AB101="S"),N(AC101)," ")</f>
      </c>
      <c r="AG101" s="11" t="str">
        <f>IF(AD101="P",N(S101)," ")</f>
      </c>
      <c r="AH101" s="11" t="str">
        <f>IF(AND(AD101&lt;&gt;"P",AB101&lt;&gt;"S"),N(S101)," ")</f>
      </c>
      <c r="AI101" s="11" t="str">
        <f>IF(AND(AD101&lt;&gt;"P",AB101="S"),N(S101)," ")</f>
      </c>
    </row>
    <row r="102" spans="1:35" x14ac:dyDescent="0.15">
      <c r="A102" s="101"/>
      <c r="B102" s="122" t="s">
        <v>54</v>
      </c>
      <c r="C102" s="122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35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35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35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35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35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35" x14ac:dyDescent="0.15">
      <c r="A108" s="101"/>
      <c r="B108" s="117" t="s">
        <v>16</v>
      </c>
      <c r="C108" s="118"/>
      <c r="D108" s="119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  <c r="AB108" s="22"/>
      <c r="AC108" s="17">
        <f>SUM(AC91:AC107)</f>
        <v>0</v>
      </c>
      <c r="AE108" s="17">
        <f>SUM(AE91:AE107)</f>
      </c>
      <c r="AF108" s="17">
        <f>SUM(AF91:AF107)</f>
      </c>
      <c r="AG108" s="17">
        <f>SUM(AG91:AG107)</f>
      </c>
      <c r="AH108" s="17">
        <f>SUM(AH91:AH107)</f>
      </c>
      <c r="AI108" s="17">
        <f>SUM(AI91:AI107)</f>
      </c>
    </row>
    <row r="109" spans="1:35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35" ht="13.5" customHeight="1" thickBot="1" x14ac:dyDescent="0.2">
      <c r="A110" s="101"/>
      <c r="B110" s="152" t="str">
        <f>B59</f>
        <v xml:space="preserve">NEW FIXED ASSETS Bought AFTER </v>
      </c>
      <c r="C110" s="153"/>
      <c r="D110" s="113">
        <f>D59</f>
        <v>45753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  <c r="AB110" s="22"/>
      <c r="AC110" s="19">
        <f>AC64+AC72+AC80+AC88+AC108</f>
        <v>0</v>
      </c>
      <c r="AE110" s="19">
        <f>AE64+AE72+AE80+AE88+AE108</f>
      </c>
      <c r="AF110" s="19">
        <f>AF64+AF72+AF80+AF88+AF108</f>
      </c>
      <c r="AG110" s="19">
        <f>AG64+AG72+AG80+AG88+AG108</f>
      </c>
      <c r="AH110" s="19">
        <f>AH64+AH72+AH80+AH88+AH108</f>
      </c>
      <c r="AI110" s="19">
        <f>AI64+AI72+AI80+AI88+AI108</f>
      </c>
    </row>
    <row r="111" spans="1:35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</sheetData>
  <mergeCells count="56"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Z2:Z4"/>
    <mergeCell ref="U1:U4"/>
    <mergeCell ref="C2:C4"/>
    <mergeCell ref="D2:D4"/>
    <mergeCell ref="E2:E4"/>
    <mergeCell ref="R2:R3"/>
    <mergeCell ref="P1:P3"/>
    <mergeCell ref="A1:A4"/>
    <mergeCell ref="M1:M4"/>
    <mergeCell ref="H1:H4"/>
    <mergeCell ref="F2:F3"/>
    <mergeCell ref="G2:G3"/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4" width="9.66406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66" t="s">
        <v>18</v>
      </c>
      <c r="F2" s="167"/>
      <c r="G2" s="168"/>
      <c r="H2" s="169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76" t="s">
        <v>52</v>
      </c>
      <c r="H4" s="177"/>
      <c r="I4" s="178"/>
      <c r="J4" s="50"/>
      <c r="K4" s="107" t="s">
        <v>27</v>
      </c>
      <c r="L4" s="50"/>
      <c r="M4" s="173" t="s">
        <v>53</v>
      </c>
      <c r="N4" s="174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74"/>
      <c r="N5" s="174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8" t="s">
        <v>12</v>
      </c>
      <c r="C6" s="159"/>
      <c r="D6" s="172"/>
      <c r="E6" s="53">
        <f>Schedule!E64</f>
        <v>0</v>
      </c>
      <c r="F6" s="50"/>
      <c r="G6" s="158" t="s">
        <v>22</v>
      </c>
      <c r="H6" s="159"/>
      <c r="I6" s="159"/>
      <c r="J6" s="160"/>
      <c r="K6" s="53">
        <f>Schedule!V11+Schedule!V64</f>
        <v>0</v>
      </c>
      <c r="L6" s="50"/>
      <c r="M6" s="174"/>
      <c r="N6" s="174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8" t="s">
        <v>13</v>
      </c>
      <c r="C7" s="159"/>
      <c r="D7" s="172"/>
      <c r="E7" s="53">
        <f>Schedule!E72</f>
        <v>0</v>
      </c>
      <c r="F7" s="50"/>
      <c r="G7" s="158" t="s">
        <v>23</v>
      </c>
      <c r="H7" s="159"/>
      <c r="I7" s="159"/>
      <c r="J7" s="160"/>
      <c r="K7" s="53">
        <f>Schedule!V19+Schedule!V72</f>
        <v>0</v>
      </c>
      <c r="L7" s="50"/>
      <c r="M7" s="174"/>
      <c r="N7" s="174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8" t="s">
        <v>14</v>
      </c>
      <c r="C8" s="159"/>
      <c r="D8" s="172"/>
      <c r="E8" s="53">
        <f>Schedule!E80</f>
        <v>0</v>
      </c>
      <c r="F8" s="50"/>
      <c r="G8" s="158" t="s">
        <v>24</v>
      </c>
      <c r="H8" s="159"/>
      <c r="I8" s="159"/>
      <c r="J8" s="160"/>
      <c r="K8" s="53">
        <f>Schedule!V27+Schedule!V80</f>
        <v>0</v>
      </c>
      <c r="L8" s="50"/>
      <c r="M8" s="174"/>
      <c r="N8" s="174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8" t="s">
        <v>15</v>
      </c>
      <c r="C9" s="159"/>
      <c r="D9" s="172"/>
      <c r="E9" s="53">
        <f>Schedule!E88</f>
        <v>0</v>
      </c>
      <c r="F9" s="50"/>
      <c r="G9" s="158" t="s">
        <v>25</v>
      </c>
      <c r="H9" s="159"/>
      <c r="I9" s="159"/>
      <c r="J9" s="160"/>
      <c r="K9" s="53">
        <f>Schedule!V35+Schedule!V88</f>
        <v>0</v>
      </c>
      <c r="L9" s="50"/>
      <c r="M9" s="174"/>
      <c r="N9" s="174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8" t="s">
        <v>16</v>
      </c>
      <c r="C10" s="159"/>
      <c r="D10" s="172"/>
      <c r="E10" s="53">
        <f>Schedule!E108</f>
        <v>0</v>
      </c>
      <c r="F10" s="50"/>
      <c r="G10" s="158" t="s">
        <v>26</v>
      </c>
      <c r="H10" s="159"/>
      <c r="I10" s="159"/>
      <c r="J10" s="160"/>
      <c r="K10" s="53">
        <f>Schedule!V55+Schedule!V108</f>
        <v>0</v>
      </c>
      <c r="L10" s="50"/>
      <c r="M10" s="174"/>
      <c r="N10" s="174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70" t="s">
        <v>20</v>
      </c>
      <c r="C11" s="170"/>
      <c r="D11" s="171"/>
      <c r="E11" s="54">
        <f>SUM(E6:E10)</f>
        <v>0</v>
      </c>
      <c r="F11" s="50"/>
      <c r="G11" s="164" t="s">
        <v>20</v>
      </c>
      <c r="H11" s="164"/>
      <c r="I11" s="164"/>
      <c r="J11" s="165"/>
      <c r="K11" s="54">
        <f>SUM(K6:K10)</f>
        <v>0</v>
      </c>
      <c r="L11" s="50"/>
      <c r="M11" s="174"/>
      <c r="N11" s="174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74"/>
      <c r="N12" s="174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70" t="s">
        <v>66</v>
      </c>
      <c r="C13" s="170"/>
      <c r="D13" s="171"/>
      <c r="E13" s="115">
        <f>[2]Mar!$AB$2</f>
        <v>0</v>
      </c>
      <c r="F13" s="50"/>
      <c r="G13" s="164" t="s">
        <v>28</v>
      </c>
      <c r="H13" s="164"/>
      <c r="I13" s="164"/>
      <c r="J13" s="165"/>
      <c r="K13" s="115">
        <f>[3]Mar!$V$2</f>
        <v>0</v>
      </c>
      <c r="L13" s="50"/>
      <c r="M13" s="175"/>
      <c r="N13" s="175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75"/>
      <c r="N14" s="175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61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62"/>
      <c r="D15" s="163"/>
      <c r="E15" s="105">
        <f>E13-E11</f>
        <v>0</v>
      </c>
      <c r="F15" s="50"/>
      <c r="G15" s="161" t="str">
        <f>IF(K15&gt;0,"Sales exceed Assets listed on Schedule",IF(K15&lt;0,"Assets listed on Schedule exceed Sales values","Sales reconcile with Fixed asset Schedule"))</f>
        <v>Sales reconcile with Fixed asset Schedule</v>
      </c>
      <c r="H15" s="162"/>
      <c r="I15" s="162"/>
      <c r="J15" s="163"/>
      <c r="K15" s="105">
        <f>K13-K11</f>
        <v>0</v>
      </c>
      <c r="L15" s="50"/>
      <c r="M15" s="175"/>
      <c r="N15" s="175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B8:D8"/>
    <mergeCell ref="B9:D9"/>
    <mergeCell ref="M4:N15"/>
    <mergeCell ref="G4:I4"/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3" t="s">
        <v>48</v>
      </c>
      <c r="D2" s="184"/>
      <c r="E2" s="84">
        <f>SUM(E8:E14)</f>
        <v>0</v>
      </c>
      <c r="F2" s="82"/>
      <c r="G2" s="179" t="s">
        <v>49</v>
      </c>
      <c r="H2" s="180"/>
      <c r="I2" s="180"/>
      <c r="J2" s="180"/>
      <c r="K2" s="180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0"/>
      <c r="H3" s="180"/>
      <c r="I3" s="180"/>
      <c r="J3" s="180"/>
      <c r="K3" s="180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34" t="s">
        <v>39</v>
      </c>
      <c r="C5" s="137" t="s">
        <v>33</v>
      </c>
      <c r="D5" s="137" t="s">
        <v>37</v>
      </c>
      <c r="E5" s="181" t="s">
        <v>45</v>
      </c>
      <c r="F5" s="181" t="s">
        <v>44</v>
      </c>
      <c r="G5" s="181" t="s">
        <v>38</v>
      </c>
      <c r="H5" s="137" t="s">
        <v>35</v>
      </c>
      <c r="I5" s="181" t="s">
        <v>47</v>
      </c>
      <c r="J5" s="182"/>
      <c r="K5" s="182"/>
      <c r="L5" s="137" t="s">
        <v>46</v>
      </c>
      <c r="M5" s="94"/>
    </row>
    <row r="6" spans="1:13" s="86" customFormat="1" ht="30.75" customHeight="1" x14ac:dyDescent="0.15">
      <c r="A6" s="94"/>
      <c r="B6" s="185"/>
      <c r="C6" s="185"/>
      <c r="D6" s="185"/>
      <c r="E6" s="185"/>
      <c r="F6" s="185"/>
      <c r="G6" s="185"/>
      <c r="H6" s="185"/>
      <c r="I6" s="85" t="s">
        <v>34</v>
      </c>
      <c r="J6" s="85" t="s">
        <v>42</v>
      </c>
      <c r="K6" s="85" t="s">
        <v>36</v>
      </c>
      <c r="L6" s="185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IF(E10&gt;0,(E10+F10+G10)/H10,"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IF(E12&gt;0,(E12+F12+G12)/H12,"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IF(E14&gt;0,(E14+F14+G14)/H14,"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34" t="s">
        <v>39</v>
      </c>
      <c r="C19" s="137" t="s">
        <v>33</v>
      </c>
      <c r="D19" s="137" t="s">
        <v>37</v>
      </c>
      <c r="E19" s="181" t="s">
        <v>45</v>
      </c>
      <c r="F19" s="181" t="s">
        <v>44</v>
      </c>
      <c r="G19" s="181" t="s">
        <v>38</v>
      </c>
      <c r="H19" s="137" t="s">
        <v>35</v>
      </c>
      <c r="I19" s="181" t="s">
        <v>47</v>
      </c>
      <c r="J19" s="182"/>
      <c r="K19" s="182"/>
      <c r="L19" s="137" t="s">
        <v>46</v>
      </c>
      <c r="M19" s="94"/>
    </row>
    <row r="20" spans="1:13" s="86" customFormat="1" ht="30.75" customHeight="1" x14ac:dyDescent="0.15">
      <c r="A20" s="94"/>
      <c r="B20" s="185"/>
      <c r="C20" s="185"/>
      <c r="D20" s="185"/>
      <c r="E20" s="185"/>
      <c r="F20" s="185"/>
      <c r="G20" s="185"/>
      <c r="H20" s="185"/>
      <c r="I20" s="85" t="s">
        <v>34</v>
      </c>
      <c r="J20" s="85" t="s">
        <v>42</v>
      </c>
      <c r="K20" s="85" t="s">
        <v>36</v>
      </c>
      <c r="L20" s="185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IF(E24&gt;0,(E24+F24+G24)/H24,"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IF(E26&gt;0,(E26+F26+G26)/H26,"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IF(E28&gt;0,(E28+F28+G28)/H28,"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DIY Accounting Limited</dc:creator>
  <cp:lastModifiedBy>DIY Accounting Limited</cp:lastModifiedBy>
  <cp:lastPrinted>2007-03-03T22:52:10Z</cp:lastPrinted>
  <dcterms:created xsi:type="dcterms:W3CDTF">2002-12-30T15:31:19Z</dcterms:created>
  <dcterms:modified xsi:type="dcterms:W3CDTF">2025-04-03T22:50:09Z</dcterms:modified>
  <dc:description>Copyright (C) 2006-2026 DIY Accounting Limited. Licensed under the PolyForm Internal Use License 1.0.0 with an additional grant for accountants.</dc:description>
</cp:coreProperties>
</file>