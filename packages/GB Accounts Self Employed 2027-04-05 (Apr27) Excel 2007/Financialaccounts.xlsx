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<sst xmlns="http://schemas.openxmlformats.org/spreadsheetml/2006/main" count="818" uniqueCount="442">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</sst>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  <cell r="AE1">
            <v>0</v>
          </cell>
          <cell r="AF1">
            <v>0</v>
          </cell>
          <cell r="AH1">
            <v>0</v>
          </cell>
          <cell r="AI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46118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46118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IF(([1]Schedule!$R$1-[1]Schedule!$AE$1+[1]Schedule!$AH$1)&lt;1000,[1]Schedule!$AH$1,0)+IF(([1]Schedule!$AC$1-[1]Schedule!$AF$1+[1]Schedule!$AI$1)&lt;1000,[1]Schedule!$AI$1,0)</f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2026-27 are less than £7,105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46118</v>
      </c>
      <c r="R2" s="341"/>
      <c r="S2" s="341"/>
      <c r="T2" s="341"/>
      <c r="U2" s="222" t="s">
        <v>185</v>
      </c>
      <c r="V2" s="340">
        <f>Admin!B17</f>
        <v>46482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0.14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IF(([1]Schedule!$R$1-[1]Schedule!$AE$1+[1]Schedule!$AH$1)&lt;1000,[1]Schedule!$AH$1,0)+IF(([1]Schedule!$AC$1-[1]Schedule!$AF$1+[1]Schedule!$AI$1)&lt;1000,[1]Schedule!$AI$1,0)</f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MAX(0,O174-O179+N(D197)+D210+N(O190))</f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MAX(0,O179-O174-N(D197)-D210-N(O190))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46081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46112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46118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46142</v>
      </c>
      <c r="C5" s="147"/>
      <c r="D5" s="450" t="s">
        <v>104</v>
      </c>
      <c r="E5" s="450"/>
      <c r="F5" s="450"/>
      <c r="G5" s="148">
        <v>0.14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46173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46203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46234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46265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46295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46326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46356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46387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46418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46446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46477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3.65</v>
      </c>
      <c r="M16" s="147" t="s">
        <v>436</v>
      </c>
      <c r="N16" s="152">
        <v>7105</v>
      </c>
      <c r="O16" s="146" t="s">
        <v>51</v>
      </c>
    </row>
    <row r="17" spans="1:15" ht="12" customHeight="1" thickBot="1" x14ac:dyDescent="0.2">
      <c r="A17" s="147"/>
      <c r="B17" s="175">
        <v>46482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46507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46538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46568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46783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46965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2026-27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2027-28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46599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