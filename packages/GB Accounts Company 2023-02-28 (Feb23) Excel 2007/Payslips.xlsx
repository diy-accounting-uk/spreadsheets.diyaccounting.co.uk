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<sst xmlns="http://schemas.openxmlformats.org/spreadsheetml/2006/main" count="1383" uniqueCount="138">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</sst>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44717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44743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44769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44795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44657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44657</v>
      </c>
      <c r="L49" s="203" t="s">
        <v>76</v>
      </c>
      <c r="M49" s="205">
        <f>Admin!B26</f>
        <v>44681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44682</v>
      </c>
      <c r="L49" s="203" t="s">
        <v>76</v>
      </c>
      <c r="M49" s="205">
        <f>Admin!B57</f>
        <v>44712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44713</v>
      </c>
      <c r="L59" s="203" t="s">
        <v>76</v>
      </c>
      <c r="M59" s="205">
        <f>Admin!B87</f>
        <v>44742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44746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44743</v>
      </c>
      <c r="L49" s="203" t="s">
        <v>76</v>
      </c>
      <c r="M49" s="205">
        <f>Admin!B118</f>
        <v>44773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44774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IF(T$9="Y",Jun!H41,0)</f>
        <v>0</v>
      </c>
      <c r="I12" s="92">
        <f>IF(T$9="Y",Jun!I41,0)</f>
        <v>0</v>
      </c>
      <c r="J12" s="92">
        <f>IF(T$9="Y",Jun!J41,0)</f>
        <v>0</v>
      </c>
      <c r="K12" s="92">
        <f>IF(T$9="Y",Jun!K41,I12*J12)</f>
        <v>0</v>
      </c>
      <c r="L12" s="111">
        <f>IF(T$9="Y",Jun!L41,0)</f>
        <v>0</v>
      </c>
      <c r="M12" s="111" t="str">
        <f>IF(E12=" "," ",IF(T$9="Y",Jun!M41,IF((H12+K12+L12)&gt;0,H12+K12+L12,"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IF(T$9="Y",Jun!H41,0)</f>
        <v>0</v>
      </c>
      <c r="I13" s="92">
        <f>IF(T$9="Y",Jun!I41,0)</f>
        <v>0</v>
      </c>
      <c r="J13" s="92">
        <f>IF(T$9="Y",Jun!J41,0)</f>
        <v>0</v>
      </c>
      <c r="K13" s="92">
        <f>IF(T$9="Y",Jun!K41,I13*J13)</f>
        <v>0</v>
      </c>
      <c r="L13" s="111">
        <f>IF(T$9="Y",Jun!L41,0)</f>
        <v>0</v>
      </c>
      <c r="M13" s="111" t="str">
        <f>IF(E13=" "," ",IF(T$9="Y",Jun!M41,IF((H13+K13+L13)&gt;0,H13+K13+L13,"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IF(T$9="Y",Jun!H41,0)</f>
        <v>0</v>
      </c>
      <c r="I14" s="92">
        <f>IF(T$9="Y",Jun!I41,0)</f>
        <v>0</v>
      </c>
      <c r="J14" s="92">
        <f>IF(T$9="Y",Jun!J41,0)</f>
        <v>0</v>
      </c>
      <c r="K14" s="92">
        <f>IF(T$9="Y",Jun!K41,I14*J14)</f>
        <v>0</v>
      </c>
      <c r="L14" s="111">
        <f>IF(T$9="Y",Jun!L41,0)</f>
        <v>0</v>
      </c>
      <c r="M14" s="111" t="str">
        <f>IF(E14=" "," ",IF(T$9="Y",Jun!M41,IF((H14+K14+L14)&gt;0,H14+K14+L14,"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IF(T$9="Y",Jun!H41,0)</f>
        <v>0</v>
      </c>
      <c r="I15" s="245">
        <f>IF(T$9="Y",Jun!I41,0)</f>
        <v>0</v>
      </c>
      <c r="J15" s="245">
        <f>IF(T$9="Y",Jun!J41,0)</f>
        <v>0</v>
      </c>
      <c r="K15" s="245">
        <f>IF(T$9="Y",Jun!K41,I15*J15)</f>
        <v>0</v>
      </c>
      <c r="L15" s="246">
        <f>IF(T$9="Y",Jun!L41,0)</f>
        <v>0</v>
      </c>
      <c r="M15" s="246" t="str">
        <f>IF(E15=" "," ",IF(T$9="Y",Jun!M41,IF((H15+K15+L15)&gt;0,H15+K15+L15,"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44774</v>
      </c>
      <c r="L49" s="203" t="s">
        <v>76</v>
      </c>
      <c r="M49" s="205">
        <f>Admin!B149</f>
        <v>44804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44830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44805</v>
      </c>
      <c r="L59" s="203" t="s">
        <v>76</v>
      </c>
      <c r="M59" s="205">
        <f>Admin!B179</f>
        <v>44834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44837</v>
      </c>
      <c r="L9" s="203" t="s">
        <v>76</v>
      </c>
      <c r="M9" s="205">
        <f>Admin!B188</f>
        <v>44843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44835</v>
      </c>
      <c r="L49" s="203" t="s">
        <v>76</v>
      </c>
      <c r="M49" s="205">
        <f>Admin!B210</f>
        <v>44865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44865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44866</v>
      </c>
      <c r="L49" s="203" t="s">
        <v>76</v>
      </c>
      <c r="M49" s="205">
        <f>Admin!B240</f>
        <v>44895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44896</v>
      </c>
      <c r="L59" s="203" t="s">
        <v>76</v>
      </c>
      <c r="M59" s="205">
        <f>Admin!B271</f>
        <v>44926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44927</v>
      </c>
      <c r="L49" s="203" t="s">
        <v>76</v>
      </c>
      <c r="M49" s="205">
        <f>Admin!B302</f>
        <v>44957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44958</v>
      </c>
      <c r="L49" s="203" t="s">
        <v>76</v>
      </c>
      <c r="M49" s="205">
        <f>Admin!B330</f>
        <v>44985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44986</v>
      </c>
      <c r="L69" s="203" t="s">
        <v>76</v>
      </c>
      <c r="M69" s="205">
        <f>Admin!B361</f>
        <v>45016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44681</v>
      </c>
      <c r="C4" s="229">
        <f>Admin!$B$45</f>
        <v>44700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44712</v>
      </c>
      <c r="C5" s="229">
        <f>Admin!$B$76</f>
        <v>44731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44742</v>
      </c>
      <c r="C6" s="229">
        <f>Admin!$B$106</f>
        <v>44761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44773</v>
      </c>
      <c r="C7" s="229">
        <f>Admin!$B$137</f>
        <v>44792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44804</v>
      </c>
      <c r="C8" s="229">
        <f>Admin!$B$168</f>
        <v>44823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44834</v>
      </c>
      <c r="C9" s="229">
        <f>Admin!$B$198</f>
        <v>44853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44865</v>
      </c>
      <c r="C10" s="229">
        <f>Admin!$B$229</f>
        <v>44884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44895</v>
      </c>
      <c r="C11" s="229">
        <f>Admin!$B$259</f>
        <v>44914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44926</v>
      </c>
      <c r="C12" s="229">
        <f>Admin!$B$290</f>
        <v>44945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44957</v>
      </c>
      <c r="C13" s="229">
        <f>Admin!$B$321</f>
        <v>44976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44985</v>
      </c>
      <c r="C14" s="229">
        <f>Admin!$B$350</f>
        <v>45005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45016</v>
      </c>
      <c r="C15" s="229">
        <f>Admin!$B$381</f>
        <v>45036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TEXT(DATE(YEAR(B$2),MONTH(B$2)+(D2-1)+11,1),"Mmm")</f>
        <v>Mar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TEXT(DATE(YEAR(B$2),MONTH(B$2)+(D3-1)+11,1),"Mmm")</f>
        <v>Mar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Mar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Mar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Mar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Mar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Mar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Mar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Mar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Mar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Mar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Mar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Mar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Mar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Mar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Mar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Mar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Mar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Mar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Mar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Mar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Mar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Mar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Mar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Mar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Mar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Apr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Apr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Apr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Apr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Apr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Apr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Apr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Apr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Apr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Apr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Apr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Apr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Apr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Apr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Apr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Apr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Apr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Apr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Apr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Apr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Apr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Apr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Apr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Apr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Apr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Apr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Apr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Apr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May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May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May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May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May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May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May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May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May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May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May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TEXT(DATE(YEAR(B$2),MONTH(B$2)+(D67-1)+11,1),"Mmm")</f>
        <v>May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May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May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May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May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May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May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May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May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May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May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May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May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May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May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May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May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May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May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May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May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May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May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May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Jun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Jun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Jun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Jun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Jun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Jun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Jun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Jun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Jun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Jun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Jun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Jun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Jun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Jun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Jun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Jun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Jun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Jun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Jun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Jun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Jun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Jun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Jun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Jun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Jun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Jun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Jun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Jun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Jul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Jul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Jul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Jul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Jul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Jul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Jul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Jul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Jul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Jul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Jul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Jul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TEXT(DATE(YEAR(B$2),MONTH(B$2)+(D131-1)+11,1),"Mmm")</f>
        <v>Jul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Jul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Jul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Jul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Jul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Jul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Jul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Jul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Jul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Jul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Jul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Jul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Jul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Jul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Jul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Jul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Aug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Aug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Aug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Aug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Aug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Aug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Aug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Aug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Aug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Aug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Aug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Aug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Aug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Aug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Aug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Aug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Aug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Aug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Aug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Aug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Aug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Aug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Aug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Aug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Aug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Aug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Aug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Aug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Aug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Aug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Aug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Aug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Aug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Aug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Aug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Sep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Sep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Sep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Sep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Sep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Sep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Sep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Sep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Sep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Sep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Sep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Sep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Sep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TEXT(DATE(YEAR(B$2),MONTH(B$2)+(D195-1)+11,1),"Mmm")</f>
        <v>Sep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Sep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Sep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Sep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Sep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Sep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Sep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Sep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Sep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Sep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Sep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Sep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Sep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Sep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Sep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Oct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Oct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Oct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Oct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Oct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Oct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Oct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Oct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Oct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Oct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Oct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Oct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Oct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Oct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Oct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Oct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Oct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Oct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Oct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Oct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Oct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Oct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Oct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Oct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Oct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Oct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Oct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Oct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Nov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Nov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Nov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Nov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Nov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Nov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Nov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Nov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Nov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Nov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Nov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Nov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Nov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Nov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Nov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Nov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Nov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Nov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Nov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Nov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Nov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TEXT(DATE(YEAR(B$2),MONTH(B$2)+(D259-1)+11,1),"Mmm")</f>
        <v>Nov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Nov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Nov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Nov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Nov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Nov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Nov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Nov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Nov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Nov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Nov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Nov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Nov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Nov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Dec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Dec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Dec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Dec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Dec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Dec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Dec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Dec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Dec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Dec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Dec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Dec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Dec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Dec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Dec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Dec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Dec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Dec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Dec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Dec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Dec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Dec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Dec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Dec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Dec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Dec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Dec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Dec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Jan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Jan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Jan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Jan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Jan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Jan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Jan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Jan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Jan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Jan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Jan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Jan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Jan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Jan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Jan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Jan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Jan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Jan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Jan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Jan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Jan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Jan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TEXT(DATE(YEAR(B$2),MONTH(B$2)+(D323-1)+11,1),"Mmm")</f>
        <v>Jan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Jan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Jan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Jan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Jan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Jan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Feb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Feb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Feb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Feb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Feb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Feb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Feb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Feb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Feb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Feb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Feb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Feb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Feb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Feb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Feb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Feb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Feb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Feb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Feb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Feb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Feb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Feb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Feb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Feb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Feb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Feb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Feb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Feb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Feb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Feb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Feb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Feb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Feb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Feb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Feb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Feb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Feb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Feb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Feb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Feb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Feb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Feb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Feb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Feb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Feb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Feb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Feb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Feb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Feb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Feb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Feb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Feb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Feb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