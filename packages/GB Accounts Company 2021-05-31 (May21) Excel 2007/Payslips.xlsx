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un" sheetId="12" r:id="rId2"/>
    <sheet name="Jul" sheetId="11" r:id="rId3"/>
    <sheet name="Aug" sheetId="10" r:id="rId4"/>
    <sheet name="Sep" sheetId="9" r:id="rId5"/>
    <sheet name="Oct" sheetId="8" r:id="rId6"/>
    <sheet name="Nov" sheetId="17" r:id="rId7"/>
    <sheet name="Dec" sheetId="16" r:id="rId8"/>
    <sheet name="Jan" sheetId="15" r:id="rId9"/>
    <sheet name="Feb" sheetId="14" r:id="rId10"/>
    <sheet name="Mar" sheetId="13" r:id="rId11"/>
    <sheet name="Apr" sheetId="19" r:id="rId12"/>
    <sheet name="May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<sst xmlns="http://schemas.openxmlformats.org/spreadsheetml/2006/main" count="1383" uniqueCount="138">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</sst>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44292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44293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44294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44295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44296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44297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44298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44292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44299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44300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44301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44302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44303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44304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44305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44306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44307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44308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44309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44310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44311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44312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44313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44314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44315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44316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44317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44318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44319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44320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44321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44322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44323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44324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44325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44326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44327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44328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44329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44330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44331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44332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44333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44334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44335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44336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44337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44338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44339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44340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44341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44342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44343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44344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44345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44346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44347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44348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44349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44350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44351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44352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44353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44354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44355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44356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44357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44358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44359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44360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44361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44362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44363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44364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44365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44366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44367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44368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44369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44370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44371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44372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44373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44374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44375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44376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44377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44378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44379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44380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44381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44382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44383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44384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44385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44386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44387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44388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44389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44390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44391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44392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44393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44394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44395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44396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44397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44398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44399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44400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44401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44402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44403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44404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44405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44406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44407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44408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44409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44410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44411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44412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44413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44414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44415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44416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44417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44418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44419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44420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44421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44422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44423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44424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44425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44426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44427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44428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44429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44430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44431</v>
      </c>
    </row>
    <row r="142" spans="1:23" x14ac:dyDescent="0.15">
      <c r="W142" s="206">
        <f>Admin!B142</f>
        <v>44432</v>
      </c>
    </row>
    <row r="143" spans="1:23" x14ac:dyDescent="0.15">
      <c r="W143" s="206">
        <f>Admin!B143</f>
        <v>44433</v>
      </c>
    </row>
    <row r="144" spans="1:23" x14ac:dyDescent="0.15">
      <c r="W144" s="206">
        <f>Admin!B144</f>
        <v>44434</v>
      </c>
    </row>
    <row r="145" spans="23:23" x14ac:dyDescent="0.15">
      <c r="W145" s="206">
        <f>Admin!B145</f>
        <v>44435</v>
      </c>
    </row>
    <row r="146" spans="23:23" x14ac:dyDescent="0.15">
      <c r="W146" s="206">
        <f>Admin!B146</f>
        <v>44436</v>
      </c>
    </row>
    <row r="147" spans="23:23" x14ac:dyDescent="0.15">
      <c r="W147" s="206">
        <f>Admin!B147</f>
        <v>44437</v>
      </c>
    </row>
    <row r="148" spans="23:23" x14ac:dyDescent="0.15">
      <c r="W148" s="206">
        <f>Admin!B148</f>
        <v>44438</v>
      </c>
    </row>
    <row r="149" spans="23:23" x14ac:dyDescent="0.15">
      <c r="W149" s="206">
        <f>Admin!B149</f>
        <v>44439</v>
      </c>
    </row>
    <row r="150" spans="23:23" x14ac:dyDescent="0.15">
      <c r="W150" s="206">
        <f>Admin!B150</f>
        <v>44440</v>
      </c>
    </row>
    <row r="151" spans="23:23" x14ac:dyDescent="0.15">
      <c r="W151" s="206">
        <f>Admin!B151</f>
        <v>44441</v>
      </c>
    </row>
    <row r="152" spans="23:23" x14ac:dyDescent="0.15">
      <c r="W152" s="206">
        <f>Admin!B152</f>
        <v>44442</v>
      </c>
    </row>
    <row r="153" spans="23:23" x14ac:dyDescent="0.15">
      <c r="W153" s="206">
        <f>Admin!B153</f>
        <v>44443</v>
      </c>
    </row>
    <row r="154" spans="23:23" x14ac:dyDescent="0.15">
      <c r="W154" s="206">
        <f>Admin!B154</f>
        <v>44444</v>
      </c>
    </row>
    <row r="155" spans="23:23" x14ac:dyDescent="0.15">
      <c r="W155" s="206">
        <f>Admin!B155</f>
        <v>44445</v>
      </c>
    </row>
    <row r="156" spans="23:23" x14ac:dyDescent="0.15">
      <c r="W156" s="206">
        <f>Admin!B156</f>
        <v>44446</v>
      </c>
    </row>
    <row r="157" spans="23:23" x14ac:dyDescent="0.15">
      <c r="W157" s="206">
        <f>Admin!B157</f>
        <v>44447</v>
      </c>
    </row>
    <row r="158" spans="23:23" x14ac:dyDescent="0.15">
      <c r="W158" s="206">
        <f>Admin!B158</f>
        <v>44448</v>
      </c>
    </row>
    <row r="159" spans="23:23" x14ac:dyDescent="0.15">
      <c r="W159" s="206">
        <f>Admin!B159</f>
        <v>44449</v>
      </c>
    </row>
    <row r="160" spans="23:23" x14ac:dyDescent="0.15">
      <c r="W160" s="206">
        <f>Admin!B160</f>
        <v>44450</v>
      </c>
    </row>
    <row r="161" spans="23:23" x14ac:dyDescent="0.15">
      <c r="W161" s="206">
        <f>Admin!B161</f>
        <v>44451</v>
      </c>
    </row>
    <row r="162" spans="23:23" x14ac:dyDescent="0.15">
      <c r="W162" s="206">
        <f>Admin!B162</f>
        <v>44452</v>
      </c>
    </row>
    <row r="163" spans="23:23" x14ac:dyDescent="0.15">
      <c r="W163" s="206">
        <f>Admin!B163</f>
        <v>44453</v>
      </c>
    </row>
    <row r="164" spans="23:23" x14ac:dyDescent="0.15">
      <c r="W164" s="206">
        <f>Admin!B164</f>
        <v>44454</v>
      </c>
    </row>
    <row r="165" spans="23:23" x14ac:dyDescent="0.15">
      <c r="W165" s="206">
        <f>Admin!B165</f>
        <v>44455</v>
      </c>
    </row>
    <row r="166" spans="23:23" x14ac:dyDescent="0.15">
      <c r="W166" s="206">
        <f>Admin!B166</f>
        <v>44456</v>
      </c>
    </row>
    <row r="167" spans="23:23" x14ac:dyDescent="0.15">
      <c r="W167" s="206">
        <f>Admin!B167</f>
        <v>44457</v>
      </c>
    </row>
    <row r="168" spans="23:23" x14ac:dyDescent="0.15">
      <c r="W168" s="206">
        <f>Admin!B168</f>
        <v>44458</v>
      </c>
    </row>
    <row r="169" spans="23:23" x14ac:dyDescent="0.15">
      <c r="W169" s="206">
        <f>Admin!B169</f>
        <v>44459</v>
      </c>
    </row>
    <row r="170" spans="23:23" x14ac:dyDescent="0.15">
      <c r="W170" s="206">
        <f>Admin!B170</f>
        <v>44460</v>
      </c>
    </row>
    <row r="171" spans="23:23" x14ac:dyDescent="0.15">
      <c r="W171" s="206">
        <f>Admin!B171</f>
        <v>44461</v>
      </c>
    </row>
    <row r="172" spans="23:23" x14ac:dyDescent="0.15">
      <c r="W172" s="206">
        <f>Admin!B172</f>
        <v>44462</v>
      </c>
    </row>
    <row r="173" spans="23:23" x14ac:dyDescent="0.15">
      <c r="W173" s="206">
        <f>Admin!B173</f>
        <v>44463</v>
      </c>
    </row>
    <row r="174" spans="23:23" x14ac:dyDescent="0.15">
      <c r="W174" s="206">
        <f>Admin!B174</f>
        <v>44464</v>
      </c>
    </row>
    <row r="175" spans="23:23" x14ac:dyDescent="0.15">
      <c r="W175" s="206">
        <f>Admin!B175</f>
        <v>44465</v>
      </c>
    </row>
    <row r="176" spans="23:23" x14ac:dyDescent="0.15">
      <c r="W176" s="206">
        <f>Admin!B176</f>
        <v>44466</v>
      </c>
    </row>
    <row r="177" spans="23:23" x14ac:dyDescent="0.15">
      <c r="W177" s="206">
        <f>Admin!B177</f>
        <v>44467</v>
      </c>
    </row>
    <row r="178" spans="23:23" x14ac:dyDescent="0.15">
      <c r="W178" s="206">
        <f>Admin!B178</f>
        <v>44468</v>
      </c>
    </row>
    <row r="179" spans="23:23" x14ac:dyDescent="0.15">
      <c r="W179" s="206">
        <f>Admin!B179</f>
        <v>44469</v>
      </c>
    </row>
    <row r="180" spans="23:23" x14ac:dyDescent="0.15">
      <c r="W180" s="206">
        <f>Admin!B180</f>
        <v>44470</v>
      </c>
    </row>
    <row r="181" spans="23:23" x14ac:dyDescent="0.15">
      <c r="W181" s="206">
        <f>Admin!B181</f>
        <v>44471</v>
      </c>
    </row>
    <row r="182" spans="23:23" x14ac:dyDescent="0.15">
      <c r="W182" s="206">
        <f>Admin!B182</f>
        <v>44472</v>
      </c>
    </row>
    <row r="183" spans="23:23" x14ac:dyDescent="0.15">
      <c r="W183" s="206">
        <f>Admin!B183</f>
        <v>44473</v>
      </c>
    </row>
    <row r="184" spans="23:23" x14ac:dyDescent="0.15">
      <c r="W184" s="206">
        <f>Admin!B184</f>
        <v>44474</v>
      </c>
    </row>
    <row r="185" spans="23:23" x14ac:dyDescent="0.15">
      <c r="W185" s="206">
        <f>Admin!B185</f>
        <v>44475</v>
      </c>
    </row>
    <row r="186" spans="23:23" x14ac:dyDescent="0.15">
      <c r="W186" s="206">
        <f>Admin!B186</f>
        <v>44476</v>
      </c>
    </row>
    <row r="187" spans="23:23" x14ac:dyDescent="0.15">
      <c r="W187" s="206">
        <f>Admin!B187</f>
        <v>44477</v>
      </c>
    </row>
    <row r="188" spans="23:23" x14ac:dyDescent="0.15">
      <c r="W188" s="206">
        <f>Admin!B188</f>
        <v>44478</v>
      </c>
    </row>
    <row r="189" spans="23:23" x14ac:dyDescent="0.15">
      <c r="W189" s="206">
        <f>Admin!B189</f>
        <v>44479</v>
      </c>
    </row>
    <row r="190" spans="23:23" x14ac:dyDescent="0.15">
      <c r="W190" s="206">
        <f>Admin!B190</f>
        <v>44480</v>
      </c>
    </row>
    <row r="191" spans="23:23" x14ac:dyDescent="0.15">
      <c r="W191" s="206">
        <f>Admin!B191</f>
        <v>44481</v>
      </c>
    </row>
    <row r="192" spans="23:23" x14ac:dyDescent="0.15">
      <c r="W192" s="206">
        <f>Admin!B192</f>
        <v>44482</v>
      </c>
    </row>
    <row r="193" spans="23:23" x14ac:dyDescent="0.15">
      <c r="W193" s="206">
        <f>Admin!B193</f>
        <v>44483</v>
      </c>
    </row>
    <row r="194" spans="23:23" x14ac:dyDescent="0.15">
      <c r="W194" s="206">
        <f>Admin!B194</f>
        <v>44484</v>
      </c>
    </row>
    <row r="195" spans="23:23" x14ac:dyDescent="0.15">
      <c r="W195" s="206">
        <f>Admin!B195</f>
        <v>44485</v>
      </c>
    </row>
    <row r="196" spans="23:23" x14ac:dyDescent="0.15">
      <c r="W196" s="206">
        <f>Admin!B196</f>
        <v>44486</v>
      </c>
    </row>
    <row r="197" spans="23:23" x14ac:dyDescent="0.15">
      <c r="W197" s="206">
        <f>Admin!B197</f>
        <v>44487</v>
      </c>
    </row>
    <row r="198" spans="23:23" x14ac:dyDescent="0.15">
      <c r="W198" s="206">
        <f>Admin!B198</f>
        <v>44488</v>
      </c>
    </row>
    <row r="199" spans="23:23" x14ac:dyDescent="0.15">
      <c r="W199" s="206">
        <f>Admin!B199</f>
        <v>44489</v>
      </c>
    </row>
    <row r="200" spans="23:23" x14ac:dyDescent="0.15">
      <c r="W200" s="206">
        <f>Admin!B200</f>
        <v>44490</v>
      </c>
    </row>
    <row r="201" spans="23:23" x14ac:dyDescent="0.15">
      <c r="W201" s="206">
        <f>Admin!B201</f>
        <v>44491</v>
      </c>
    </row>
    <row r="202" spans="23:23" x14ac:dyDescent="0.15">
      <c r="W202" s="206">
        <f>Admin!B202</f>
        <v>44492</v>
      </c>
    </row>
    <row r="203" spans="23:23" x14ac:dyDescent="0.15">
      <c r="W203" s="206">
        <f>Admin!B203</f>
        <v>44493</v>
      </c>
    </row>
    <row r="204" spans="23:23" x14ac:dyDescent="0.15">
      <c r="W204" s="206">
        <f>Admin!B204</f>
        <v>44494</v>
      </c>
    </row>
    <row r="205" spans="23:23" x14ac:dyDescent="0.15">
      <c r="W205" s="206">
        <f>Admin!B205</f>
        <v>44495</v>
      </c>
    </row>
    <row r="206" spans="23:23" x14ac:dyDescent="0.15">
      <c r="W206" s="206">
        <f>Admin!B206</f>
        <v>44496</v>
      </c>
    </row>
    <row r="207" spans="23:23" x14ac:dyDescent="0.15">
      <c r="W207" s="206">
        <f>Admin!B207</f>
        <v>44497</v>
      </c>
    </row>
    <row r="208" spans="23:23" x14ac:dyDescent="0.15">
      <c r="W208" s="206">
        <f>Admin!B208</f>
        <v>44498</v>
      </c>
    </row>
    <row r="209" spans="23:23" x14ac:dyDescent="0.15">
      <c r="W209" s="206">
        <f>Admin!B209</f>
        <v>44499</v>
      </c>
    </row>
    <row r="210" spans="23:23" x14ac:dyDescent="0.15">
      <c r="W210" s="206">
        <f>Admin!B210</f>
        <v>44500</v>
      </c>
    </row>
    <row r="211" spans="23:23" x14ac:dyDescent="0.15">
      <c r="W211" s="206">
        <f>Admin!B211</f>
        <v>44501</v>
      </c>
    </row>
    <row r="212" spans="23:23" x14ac:dyDescent="0.15">
      <c r="W212" s="206">
        <f>Admin!B212</f>
        <v>44502</v>
      </c>
    </row>
    <row r="213" spans="23:23" x14ac:dyDescent="0.15">
      <c r="W213" s="206">
        <f>Admin!B213</f>
        <v>44503</v>
      </c>
    </row>
    <row r="214" spans="23:23" x14ac:dyDescent="0.15">
      <c r="W214" s="206">
        <f>Admin!B214</f>
        <v>44504</v>
      </c>
    </row>
    <row r="215" spans="23:23" x14ac:dyDescent="0.15">
      <c r="W215" s="206">
        <f>Admin!B215</f>
        <v>44505</v>
      </c>
    </row>
    <row r="216" spans="23:23" x14ac:dyDescent="0.15">
      <c r="W216" s="206">
        <f>Admin!B216</f>
        <v>44506</v>
      </c>
    </row>
    <row r="217" spans="23:23" x14ac:dyDescent="0.15">
      <c r="W217" s="206">
        <f>Admin!B217</f>
        <v>44507</v>
      </c>
    </row>
    <row r="218" spans="23:23" x14ac:dyDescent="0.15">
      <c r="W218" s="206">
        <f>Admin!B218</f>
        <v>44508</v>
      </c>
    </row>
    <row r="219" spans="23:23" x14ac:dyDescent="0.15">
      <c r="W219" s="206">
        <f>Admin!B219</f>
        <v>44509</v>
      </c>
    </row>
    <row r="220" spans="23:23" x14ac:dyDescent="0.15">
      <c r="W220" s="206">
        <f>Admin!B220</f>
        <v>44510</v>
      </c>
    </row>
    <row r="221" spans="23:23" x14ac:dyDescent="0.15">
      <c r="W221" s="206">
        <f>Admin!B221</f>
        <v>44511</v>
      </c>
    </row>
    <row r="222" spans="23:23" x14ac:dyDescent="0.15">
      <c r="W222" s="206">
        <f>Admin!B222</f>
        <v>44512</v>
      </c>
    </row>
    <row r="223" spans="23:23" x14ac:dyDescent="0.15">
      <c r="W223" s="206">
        <f>Admin!B223</f>
        <v>44513</v>
      </c>
    </row>
    <row r="224" spans="23:23" x14ac:dyDescent="0.15">
      <c r="W224" s="206">
        <f>Admin!B224</f>
        <v>44514</v>
      </c>
    </row>
    <row r="225" spans="23:23" x14ac:dyDescent="0.15">
      <c r="W225" s="206">
        <f>Admin!B225</f>
        <v>44515</v>
      </c>
    </row>
    <row r="226" spans="23:23" x14ac:dyDescent="0.15">
      <c r="W226" s="206">
        <f>Admin!B226</f>
        <v>44516</v>
      </c>
    </row>
    <row r="227" spans="23:23" x14ac:dyDescent="0.15">
      <c r="W227" s="206">
        <f>Admin!B227</f>
        <v>44517</v>
      </c>
    </row>
    <row r="228" spans="23:23" x14ac:dyDescent="0.15">
      <c r="W228" s="206">
        <f>Admin!B228</f>
        <v>44518</v>
      </c>
    </row>
    <row r="229" spans="23:23" x14ac:dyDescent="0.15">
      <c r="W229" s="206">
        <f>Admin!B229</f>
        <v>44519</v>
      </c>
    </row>
    <row r="230" spans="23:23" x14ac:dyDescent="0.15">
      <c r="W230" s="206">
        <f>Admin!B230</f>
        <v>44520</v>
      </c>
    </row>
    <row r="231" spans="23:23" x14ac:dyDescent="0.15">
      <c r="W231" s="206">
        <f>Admin!B231</f>
        <v>44521</v>
      </c>
    </row>
    <row r="232" spans="23:23" x14ac:dyDescent="0.15">
      <c r="W232" s="206">
        <f>Admin!B232</f>
        <v>44522</v>
      </c>
    </row>
    <row r="233" spans="23:23" x14ac:dyDescent="0.15">
      <c r="W233" s="206">
        <f>Admin!B233</f>
        <v>44523</v>
      </c>
    </row>
    <row r="234" spans="23:23" x14ac:dyDescent="0.15">
      <c r="W234" s="206">
        <f>Admin!B234</f>
        <v>44524</v>
      </c>
    </row>
    <row r="235" spans="23:23" x14ac:dyDescent="0.15">
      <c r="W235" s="206">
        <f>Admin!B235</f>
        <v>44525</v>
      </c>
    </row>
    <row r="236" spans="23:23" x14ac:dyDescent="0.15">
      <c r="W236" s="206">
        <f>Admin!B236</f>
        <v>44526</v>
      </c>
    </row>
    <row r="237" spans="23:23" x14ac:dyDescent="0.15">
      <c r="W237" s="206">
        <f>Admin!B237</f>
        <v>44527</v>
      </c>
    </row>
    <row r="238" spans="23:23" x14ac:dyDescent="0.15">
      <c r="W238" s="206">
        <f>Admin!B238</f>
        <v>44528</v>
      </c>
    </row>
    <row r="239" spans="23:23" x14ac:dyDescent="0.15">
      <c r="W239" s="206">
        <f>Admin!B239</f>
        <v>44529</v>
      </c>
    </row>
    <row r="240" spans="23:23" x14ac:dyDescent="0.15">
      <c r="W240" s="206">
        <f>Admin!B240</f>
        <v>44530</v>
      </c>
    </row>
    <row r="241" spans="23:23" x14ac:dyDescent="0.15">
      <c r="W241" s="206">
        <f>Admin!B241</f>
        <v>44531</v>
      </c>
    </row>
    <row r="242" spans="23:23" x14ac:dyDescent="0.15">
      <c r="W242" s="206">
        <f>Admin!B242</f>
        <v>44532</v>
      </c>
    </row>
    <row r="243" spans="23:23" x14ac:dyDescent="0.15">
      <c r="W243" s="206">
        <f>Admin!B243</f>
        <v>44533</v>
      </c>
    </row>
    <row r="244" spans="23:23" x14ac:dyDescent="0.15">
      <c r="W244" s="206">
        <f>Admin!B244</f>
        <v>44534</v>
      </c>
    </row>
    <row r="245" spans="23:23" x14ac:dyDescent="0.15">
      <c r="W245" s="206">
        <f>Admin!B245</f>
        <v>44535</v>
      </c>
    </row>
    <row r="246" spans="23:23" x14ac:dyDescent="0.15">
      <c r="W246" s="206">
        <f>Admin!B246</f>
        <v>44536</v>
      </c>
    </row>
    <row r="247" spans="23:23" x14ac:dyDescent="0.15">
      <c r="W247" s="206">
        <f>Admin!B247</f>
        <v>44537</v>
      </c>
    </row>
    <row r="248" spans="23:23" x14ac:dyDescent="0.15">
      <c r="W248" s="206">
        <f>Admin!B248</f>
        <v>44538</v>
      </c>
    </row>
    <row r="249" spans="23:23" x14ac:dyDescent="0.15">
      <c r="W249" s="206">
        <f>Admin!B249</f>
        <v>44539</v>
      </c>
    </row>
    <row r="250" spans="23:23" x14ac:dyDescent="0.15">
      <c r="W250" s="206">
        <f>Admin!B250</f>
        <v>44540</v>
      </c>
    </row>
    <row r="251" spans="23:23" x14ac:dyDescent="0.15">
      <c r="W251" s="206">
        <f>Admin!B251</f>
        <v>44541</v>
      </c>
    </row>
    <row r="252" spans="23:23" x14ac:dyDescent="0.15">
      <c r="W252" s="206">
        <f>Admin!B252</f>
        <v>44542</v>
      </c>
    </row>
    <row r="253" spans="23:23" x14ac:dyDescent="0.15">
      <c r="W253" s="206">
        <f>Admin!B253</f>
        <v>44543</v>
      </c>
    </row>
    <row r="254" spans="23:23" x14ac:dyDescent="0.15">
      <c r="W254" s="206">
        <f>Admin!B254</f>
        <v>44544</v>
      </c>
    </row>
    <row r="255" spans="23:23" x14ac:dyDescent="0.15">
      <c r="W255" s="206">
        <f>Admin!B255</f>
        <v>44545</v>
      </c>
    </row>
    <row r="256" spans="23:23" x14ac:dyDescent="0.15">
      <c r="W256" s="206">
        <f>Admin!B256</f>
        <v>44546</v>
      </c>
    </row>
    <row r="257" spans="23:23" x14ac:dyDescent="0.15">
      <c r="W257" s="206">
        <f>Admin!B257</f>
        <v>44547</v>
      </c>
    </row>
    <row r="258" spans="23:23" x14ac:dyDescent="0.15">
      <c r="W258" s="206">
        <f>Admin!B258</f>
        <v>44548</v>
      </c>
    </row>
    <row r="259" spans="23:23" x14ac:dyDescent="0.15">
      <c r="W259" s="206">
        <f>Admin!B259</f>
        <v>44549</v>
      </c>
    </row>
    <row r="260" spans="23:23" x14ac:dyDescent="0.15">
      <c r="W260" s="206">
        <f>Admin!B260</f>
        <v>44550</v>
      </c>
    </row>
    <row r="261" spans="23:23" x14ac:dyDescent="0.15">
      <c r="W261" s="206">
        <f>Admin!B261</f>
        <v>44551</v>
      </c>
    </row>
    <row r="262" spans="23:23" x14ac:dyDescent="0.15">
      <c r="W262" s="206">
        <f>Admin!B262</f>
        <v>44552</v>
      </c>
    </row>
    <row r="263" spans="23:23" x14ac:dyDescent="0.15">
      <c r="W263" s="206">
        <f>Admin!B263</f>
        <v>44553</v>
      </c>
    </row>
    <row r="264" spans="23:23" x14ac:dyDescent="0.15">
      <c r="W264" s="206">
        <f>Admin!B264</f>
        <v>44554</v>
      </c>
    </row>
    <row r="265" spans="23:23" x14ac:dyDescent="0.15">
      <c r="W265" s="206">
        <f>Admin!B265</f>
        <v>44555</v>
      </c>
    </row>
    <row r="266" spans="23:23" x14ac:dyDescent="0.15">
      <c r="W266" s="206">
        <f>Admin!B266</f>
        <v>44556</v>
      </c>
    </row>
    <row r="267" spans="23:23" x14ac:dyDescent="0.15">
      <c r="W267" s="206">
        <f>Admin!B267</f>
        <v>44557</v>
      </c>
    </row>
    <row r="268" spans="23:23" x14ac:dyDescent="0.15">
      <c r="W268" s="206">
        <f>Admin!B268</f>
        <v>44558</v>
      </c>
    </row>
    <row r="269" spans="23:23" x14ac:dyDescent="0.15">
      <c r="W269" s="206">
        <f>Admin!B269</f>
        <v>44559</v>
      </c>
    </row>
    <row r="270" spans="23:23" x14ac:dyDescent="0.15">
      <c r="W270" s="206">
        <f>Admin!B270</f>
        <v>44560</v>
      </c>
    </row>
    <row r="271" spans="23:23" x14ac:dyDescent="0.15">
      <c r="W271" s="206">
        <f>Admin!B271</f>
        <v>44561</v>
      </c>
    </row>
    <row r="272" spans="23:23" x14ac:dyDescent="0.15">
      <c r="W272" s="206">
        <f>Admin!B272</f>
        <v>44562</v>
      </c>
    </row>
    <row r="273" spans="23:23" x14ac:dyDescent="0.15">
      <c r="W273" s="206">
        <f>Admin!B273</f>
        <v>44563</v>
      </c>
    </row>
    <row r="274" spans="23:23" x14ac:dyDescent="0.15">
      <c r="W274" s="206">
        <f>Admin!B274</f>
        <v>44564</v>
      </c>
    </row>
    <row r="275" spans="23:23" x14ac:dyDescent="0.15">
      <c r="W275" s="206">
        <f>Admin!B275</f>
        <v>44565</v>
      </c>
    </row>
    <row r="276" spans="23:23" x14ac:dyDescent="0.15">
      <c r="W276" s="206">
        <f>Admin!B276</f>
        <v>44566</v>
      </c>
    </row>
    <row r="277" spans="23:23" x14ac:dyDescent="0.15">
      <c r="W277" s="206">
        <f>Admin!B277</f>
        <v>44567</v>
      </c>
    </row>
    <row r="278" spans="23:23" x14ac:dyDescent="0.15">
      <c r="W278" s="206">
        <f>Admin!B278</f>
        <v>44568</v>
      </c>
    </row>
    <row r="279" spans="23:23" x14ac:dyDescent="0.15">
      <c r="W279" s="206">
        <f>Admin!B279</f>
        <v>44569</v>
      </c>
    </row>
    <row r="280" spans="23:23" x14ac:dyDescent="0.15">
      <c r="W280" s="206">
        <f>Admin!B280</f>
        <v>44570</v>
      </c>
    </row>
    <row r="281" spans="23:23" x14ac:dyDescent="0.15">
      <c r="W281" s="206">
        <f>Admin!B281</f>
        <v>44571</v>
      </c>
    </row>
    <row r="282" spans="23:23" x14ac:dyDescent="0.15">
      <c r="W282" s="206">
        <f>Admin!B282</f>
        <v>44572</v>
      </c>
    </row>
    <row r="283" spans="23:23" x14ac:dyDescent="0.15">
      <c r="W283" s="206">
        <f>Admin!B283</f>
        <v>44573</v>
      </c>
    </row>
    <row r="284" spans="23:23" x14ac:dyDescent="0.15">
      <c r="W284" s="206">
        <f>Admin!B284</f>
        <v>44574</v>
      </c>
    </row>
    <row r="285" spans="23:23" x14ac:dyDescent="0.15">
      <c r="W285" s="206">
        <f>Admin!B285</f>
        <v>44575</v>
      </c>
    </row>
    <row r="286" spans="23:23" x14ac:dyDescent="0.15">
      <c r="W286" s="206">
        <f>Admin!B286</f>
        <v>44576</v>
      </c>
    </row>
    <row r="287" spans="23:23" x14ac:dyDescent="0.15">
      <c r="W287" s="206">
        <f>Admin!B287</f>
        <v>44577</v>
      </c>
    </row>
    <row r="288" spans="23:23" x14ac:dyDescent="0.15">
      <c r="W288" s="206">
        <f>Admin!B288</f>
        <v>44578</v>
      </c>
    </row>
    <row r="289" spans="23:23" x14ac:dyDescent="0.15">
      <c r="W289" s="206">
        <f>Admin!B289</f>
        <v>44579</v>
      </c>
    </row>
    <row r="290" spans="23:23" x14ac:dyDescent="0.15">
      <c r="W290" s="206">
        <f>Admin!B290</f>
        <v>44580</v>
      </c>
    </row>
    <row r="291" spans="23:23" x14ac:dyDescent="0.15">
      <c r="W291" s="206">
        <f>Admin!B291</f>
        <v>44581</v>
      </c>
    </row>
    <row r="292" spans="23:23" x14ac:dyDescent="0.15">
      <c r="W292" s="206">
        <f>Admin!B292</f>
        <v>44582</v>
      </c>
    </row>
    <row r="293" spans="23:23" x14ac:dyDescent="0.15">
      <c r="W293" s="206">
        <f>Admin!B293</f>
        <v>44583</v>
      </c>
    </row>
    <row r="294" spans="23:23" x14ac:dyDescent="0.15">
      <c r="W294" s="206">
        <f>Admin!B294</f>
        <v>44584</v>
      </c>
    </row>
    <row r="295" spans="23:23" x14ac:dyDescent="0.15">
      <c r="W295" s="206">
        <f>Admin!B295</f>
        <v>44585</v>
      </c>
    </row>
    <row r="296" spans="23:23" x14ac:dyDescent="0.15">
      <c r="W296" s="206">
        <f>Admin!B296</f>
        <v>44586</v>
      </c>
    </row>
    <row r="297" spans="23:23" x14ac:dyDescent="0.15">
      <c r="W297" s="206">
        <f>Admin!B297</f>
        <v>44587</v>
      </c>
    </row>
    <row r="298" spans="23:23" x14ac:dyDescent="0.15">
      <c r="W298" s="206">
        <f>Admin!B298</f>
        <v>44588</v>
      </c>
    </row>
    <row r="299" spans="23:23" x14ac:dyDescent="0.15">
      <c r="W299" s="206">
        <f>Admin!B299</f>
        <v>44589</v>
      </c>
    </row>
    <row r="300" spans="23:23" x14ac:dyDescent="0.15">
      <c r="W300" s="206">
        <f>Admin!B300</f>
        <v>44590</v>
      </c>
    </row>
    <row r="301" spans="23:23" x14ac:dyDescent="0.15">
      <c r="W301" s="206">
        <f>Admin!B301</f>
        <v>44591</v>
      </c>
    </row>
    <row r="302" spans="23:23" x14ac:dyDescent="0.15">
      <c r="W302" s="206">
        <f>Admin!B302</f>
        <v>44592</v>
      </c>
    </row>
    <row r="303" spans="23:23" x14ac:dyDescent="0.15">
      <c r="W303" s="206">
        <f>Admin!B303</f>
        <v>44593</v>
      </c>
    </row>
    <row r="304" spans="23:23" x14ac:dyDescent="0.15">
      <c r="W304" s="206">
        <f>Admin!B304</f>
        <v>44594</v>
      </c>
    </row>
    <row r="305" spans="23:23" x14ac:dyDescent="0.15">
      <c r="W305" s="206">
        <f>Admin!B305</f>
        <v>44595</v>
      </c>
    </row>
    <row r="306" spans="23:23" x14ac:dyDescent="0.15">
      <c r="W306" s="206">
        <f>Admin!B306</f>
        <v>44596</v>
      </c>
    </row>
    <row r="307" spans="23:23" x14ac:dyDescent="0.15">
      <c r="W307" s="206">
        <f>Admin!B307</f>
        <v>44597</v>
      </c>
    </row>
    <row r="308" spans="23:23" x14ac:dyDescent="0.15">
      <c r="W308" s="206">
        <f>Admin!B308</f>
        <v>44598</v>
      </c>
    </row>
    <row r="309" spans="23:23" x14ac:dyDescent="0.15">
      <c r="W309" s="206">
        <f>Admin!B309</f>
        <v>44599</v>
      </c>
    </row>
    <row r="310" spans="23:23" x14ac:dyDescent="0.15">
      <c r="W310" s="206">
        <f>Admin!B310</f>
        <v>44600</v>
      </c>
    </row>
    <row r="311" spans="23:23" x14ac:dyDescent="0.15">
      <c r="W311" s="206">
        <f>Admin!B311</f>
        <v>44601</v>
      </c>
    </row>
    <row r="312" spans="23:23" x14ac:dyDescent="0.15">
      <c r="W312" s="206">
        <f>Admin!B312</f>
        <v>44602</v>
      </c>
    </row>
    <row r="313" spans="23:23" x14ac:dyDescent="0.15">
      <c r="W313" s="206">
        <f>Admin!B313</f>
        <v>44603</v>
      </c>
    </row>
    <row r="314" spans="23:23" x14ac:dyDescent="0.15">
      <c r="W314" s="206">
        <f>Admin!B314</f>
        <v>44604</v>
      </c>
    </row>
    <row r="315" spans="23:23" x14ac:dyDescent="0.15">
      <c r="W315" s="206">
        <f>Admin!B315</f>
        <v>44605</v>
      </c>
    </row>
    <row r="316" spans="23:23" x14ac:dyDescent="0.15">
      <c r="W316" s="206">
        <f>Admin!B316</f>
        <v>44606</v>
      </c>
    </row>
    <row r="317" spans="23:23" x14ac:dyDescent="0.15">
      <c r="W317" s="206">
        <f>Admin!B317</f>
        <v>44607</v>
      </c>
    </row>
    <row r="318" spans="23:23" x14ac:dyDescent="0.15">
      <c r="W318" s="206">
        <f>Admin!B318</f>
        <v>44608</v>
      </c>
    </row>
    <row r="319" spans="23:23" x14ac:dyDescent="0.15">
      <c r="W319" s="206">
        <f>Admin!B319</f>
        <v>44609</v>
      </c>
    </row>
    <row r="320" spans="23:23" x14ac:dyDescent="0.15">
      <c r="W320" s="206">
        <f>Admin!B320</f>
        <v>44610</v>
      </c>
    </row>
    <row r="321" spans="23:23" x14ac:dyDescent="0.15">
      <c r="W321" s="206">
        <f>Admin!B321</f>
        <v>44611</v>
      </c>
    </row>
    <row r="322" spans="23:23" x14ac:dyDescent="0.15">
      <c r="W322" s="206">
        <f>Admin!B322</f>
        <v>44612</v>
      </c>
    </row>
    <row r="323" spans="23:23" x14ac:dyDescent="0.15">
      <c r="W323" s="206">
        <f>Admin!B323</f>
        <v>44613</v>
      </c>
    </row>
    <row r="324" spans="23:23" x14ac:dyDescent="0.15">
      <c r="W324" s="206">
        <f>Admin!B324</f>
        <v>44614</v>
      </c>
    </row>
    <row r="325" spans="23:23" x14ac:dyDescent="0.15">
      <c r="W325" s="206">
        <f>Admin!B325</f>
        <v>44615</v>
      </c>
    </row>
    <row r="326" spans="23:23" x14ac:dyDescent="0.15">
      <c r="W326" s="206">
        <f>Admin!B326</f>
        <v>44616</v>
      </c>
    </row>
    <row r="327" spans="23:23" x14ac:dyDescent="0.15">
      <c r="W327" s="206">
        <f>Admin!B327</f>
        <v>44617</v>
      </c>
    </row>
    <row r="328" spans="23:23" x14ac:dyDescent="0.15">
      <c r="W328" s="206">
        <f>Admin!B328</f>
        <v>44618</v>
      </c>
    </row>
    <row r="329" spans="23:23" x14ac:dyDescent="0.15">
      <c r="W329" s="206">
        <f>Admin!B329</f>
        <v>44619</v>
      </c>
    </row>
    <row r="330" spans="23:23" x14ac:dyDescent="0.15">
      <c r="W330" s="206">
        <f>Admin!B330</f>
        <v>44620</v>
      </c>
    </row>
    <row r="331" spans="23:23" x14ac:dyDescent="0.15">
      <c r="W331" s="206">
        <f>Admin!B331</f>
        <v>44621</v>
      </c>
    </row>
    <row r="332" spans="23:23" x14ac:dyDescent="0.15">
      <c r="W332" s="206">
        <f>Admin!B332</f>
        <v>44622</v>
      </c>
    </row>
    <row r="333" spans="23:23" x14ac:dyDescent="0.15">
      <c r="W333" s="206">
        <f>Admin!B333</f>
        <v>44623</v>
      </c>
    </row>
    <row r="334" spans="23:23" x14ac:dyDescent="0.15">
      <c r="W334" s="206">
        <f>Admin!B334</f>
        <v>44624</v>
      </c>
    </row>
    <row r="335" spans="23:23" x14ac:dyDescent="0.15">
      <c r="W335" s="206">
        <f>Admin!B335</f>
        <v>44625</v>
      </c>
    </row>
    <row r="336" spans="23:23" x14ac:dyDescent="0.15">
      <c r="W336" s="206">
        <f>Admin!B336</f>
        <v>44626</v>
      </c>
    </row>
    <row r="337" spans="23:23" x14ac:dyDescent="0.15">
      <c r="W337" s="206">
        <f>Admin!B337</f>
        <v>44627</v>
      </c>
    </row>
    <row r="338" spans="23:23" x14ac:dyDescent="0.15">
      <c r="W338" s="206">
        <f>Admin!B338</f>
        <v>44628</v>
      </c>
    </row>
    <row r="339" spans="23:23" x14ac:dyDescent="0.15">
      <c r="W339" s="206">
        <f>Admin!B339</f>
        <v>44629</v>
      </c>
    </row>
    <row r="340" spans="23:23" x14ac:dyDescent="0.15">
      <c r="W340" s="206">
        <f>Admin!B340</f>
        <v>44630</v>
      </c>
    </row>
    <row r="341" spans="23:23" x14ac:dyDescent="0.15">
      <c r="W341" s="206">
        <f>Admin!B341</f>
        <v>44631</v>
      </c>
    </row>
    <row r="342" spans="23:23" x14ac:dyDescent="0.15">
      <c r="W342" s="206">
        <f>Admin!B342</f>
        <v>44632</v>
      </c>
    </row>
    <row r="343" spans="23:23" x14ac:dyDescent="0.15">
      <c r="W343" s="206">
        <f>Admin!B343</f>
        <v>44633</v>
      </c>
    </row>
    <row r="344" spans="23:23" x14ac:dyDescent="0.15">
      <c r="W344" s="206">
        <f>Admin!B344</f>
        <v>44634</v>
      </c>
    </row>
    <row r="345" spans="23:23" x14ac:dyDescent="0.15">
      <c r="W345" s="206">
        <f>Admin!B345</f>
        <v>44635</v>
      </c>
    </row>
    <row r="346" spans="23:23" x14ac:dyDescent="0.15">
      <c r="W346" s="206">
        <f>Admin!B346</f>
        <v>44636</v>
      </c>
    </row>
    <row r="347" spans="23:23" x14ac:dyDescent="0.15">
      <c r="W347" s="206">
        <f>Admin!B347</f>
        <v>44637</v>
      </c>
    </row>
    <row r="348" spans="23:23" x14ac:dyDescent="0.15">
      <c r="W348" s="206">
        <f>Admin!B348</f>
        <v>44638</v>
      </c>
    </row>
    <row r="349" spans="23:23" x14ac:dyDescent="0.15">
      <c r="W349" s="206">
        <f>Admin!B349</f>
        <v>44639</v>
      </c>
    </row>
    <row r="350" spans="23:23" x14ac:dyDescent="0.15">
      <c r="W350" s="206">
        <f>Admin!B350</f>
        <v>44640</v>
      </c>
    </row>
    <row r="351" spans="23:23" x14ac:dyDescent="0.15">
      <c r="W351" s="206">
        <f>Admin!B351</f>
        <v>44641</v>
      </c>
    </row>
    <row r="352" spans="23:23" x14ac:dyDescent="0.15">
      <c r="W352" s="206">
        <f>Admin!B352</f>
        <v>44642</v>
      </c>
    </row>
    <row r="353" spans="23:23" x14ac:dyDescent="0.15">
      <c r="W353" s="206">
        <f>Admin!B353</f>
        <v>44643</v>
      </c>
    </row>
    <row r="354" spans="23:23" x14ac:dyDescent="0.15">
      <c r="W354" s="206">
        <f>Admin!B354</f>
        <v>44644</v>
      </c>
    </row>
    <row r="355" spans="23:23" x14ac:dyDescent="0.15">
      <c r="W355" s="206">
        <f>Admin!B355</f>
        <v>44645</v>
      </c>
    </row>
    <row r="356" spans="23:23" x14ac:dyDescent="0.15">
      <c r="W356" s="206">
        <f>Admin!B356</f>
        <v>44646</v>
      </c>
    </row>
    <row r="357" spans="23:23" x14ac:dyDescent="0.15">
      <c r="W357" s="206">
        <f>Admin!B357</f>
        <v>44647</v>
      </c>
    </row>
    <row r="358" spans="23:23" x14ac:dyDescent="0.15">
      <c r="W358" s="206">
        <f>Admin!B358</f>
        <v>44648</v>
      </c>
    </row>
    <row r="359" spans="23:23" x14ac:dyDescent="0.15">
      <c r="W359" s="206">
        <f>Admin!B359</f>
        <v>44649</v>
      </c>
    </row>
    <row r="360" spans="23:23" x14ac:dyDescent="0.15">
      <c r="W360" s="206">
        <f>Admin!B360</f>
        <v>44650</v>
      </c>
    </row>
    <row r="361" spans="23:23" x14ac:dyDescent="0.15">
      <c r="W361" s="206">
        <f>Admin!B361</f>
        <v>44651</v>
      </c>
    </row>
    <row r="362" spans="23:23" x14ac:dyDescent="0.15">
      <c r="W362" s="206">
        <f>Admin!B362</f>
        <v>44652</v>
      </c>
    </row>
    <row r="363" spans="23:23" x14ac:dyDescent="0.15">
      <c r="W363" s="206">
        <f>Admin!B363</f>
        <v>44653</v>
      </c>
    </row>
    <row r="364" spans="23:23" x14ac:dyDescent="0.15">
      <c r="W364" s="206">
        <f>Admin!B364</f>
        <v>44654</v>
      </c>
    </row>
    <row r="365" spans="23:23" x14ac:dyDescent="0.15">
      <c r="W365" s="206">
        <f>Admin!B365</f>
        <v>44655</v>
      </c>
    </row>
    <row r="366" spans="23:23" x14ac:dyDescent="0.15">
      <c r="W366" s="206">
        <f>Admin!B366</f>
        <v>44656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44292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44292</v>
      </c>
      <c r="L49" s="203" t="s">
        <v>76</v>
      </c>
      <c r="M49" s="205">
        <f>Admin!B26</f>
        <v>44316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Jun!M39+1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44317</v>
      </c>
      <c r="L49" s="203" t="s">
        <v>76</v>
      </c>
      <c r="M49" s="205">
        <f>Admin!B57</f>
        <v>44347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Jul!M39+1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44348</v>
      </c>
      <c r="L59" s="203" t="s">
        <v>76</v>
      </c>
      <c r="M59" s="205">
        <f>Admin!B87</f>
        <v>44377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44381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89">
        <f>IF(T$9="Y",Aug!L41,0)</f>
        <v>0</v>
      </c>
      <c r="M11" s="99" t="str">
        <f>IF(E11=" "," ",IF(T$9="Y",Aug!M41,IF((H11+K11+L11)&gt;0,H11+K11+L11,"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92">
        <f>IF(T$9="Y",Aug!L42,0)</f>
        <v>0</v>
      </c>
      <c r="M12" s="100" t="str">
        <f>IF(E12=" "," ",IF(T$9="Y",Aug!M42,IF((H12+K12+L12)&gt;0,H12+K12+L12,"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92">
        <f>IF(T$9="Y",Aug!L43,0)</f>
        <v>0</v>
      </c>
      <c r="M13" s="100" t="str">
        <f>IF(E13=" "," ",IF(T$9="Y",Aug!M43,IF((H13+K13+L13)&gt;0,H13+K13+L13,"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92">
        <f>IF(T$9="Y",Aug!L44,0)</f>
        <v>0</v>
      </c>
      <c r="M14" s="100" t="str">
        <f>IF(E14=" "," ",IF(T$9="Y",Aug!M44,IF((H14+K14+L14)&gt;0,H14+K14+L14,"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5">
        <f>IF(T$9="Y",Aug!L45,0)</f>
        <v>0</v>
      </c>
      <c r="M15" s="247" t="str">
        <f>IF(E15=" "," ",IF(T$9="Y",Aug!M45,IF((H15+K15+L15)&gt;0,H15+K15+L15,"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44378</v>
      </c>
      <c r="L49" s="203" t="s">
        <v>76</v>
      </c>
      <c r="M49" s="205">
        <f>Admin!B118</f>
        <v>44408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44409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IF(T$9="Y",Sep!H41,0)</f>
        <v>0</v>
      </c>
      <c r="I12" s="92">
        <f>IF(T$9="Y",Sep!I41,0)</f>
        <v>0</v>
      </c>
      <c r="J12" s="92">
        <f>IF(T$9="Y",Sep!J41,0)</f>
        <v>0</v>
      </c>
      <c r="K12" s="92">
        <f>IF(T$9="Y",Sep!K41,I12*J12)</f>
        <v>0</v>
      </c>
      <c r="L12" s="111">
        <f>IF(T$9="Y",Sep!L41,0)</f>
        <v>0</v>
      </c>
      <c r="M12" s="111" t="str">
        <f>IF(E12=" "," ",IF(T$9="Y",Sep!M41,IF((H12+K12+L12)&gt;0,H12+K12+L12,"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IF(T$9="Y",Sep!H41,0)</f>
        <v>0</v>
      </c>
      <c r="I13" s="92">
        <f>IF(T$9="Y",Sep!I41,0)</f>
        <v>0</v>
      </c>
      <c r="J13" s="92">
        <f>IF(T$9="Y",Sep!J41,0)</f>
        <v>0</v>
      </c>
      <c r="K13" s="92">
        <f>IF(T$9="Y",Sep!K41,I13*J13)</f>
        <v>0</v>
      </c>
      <c r="L13" s="111">
        <f>IF(T$9="Y",Sep!L41,0)</f>
        <v>0</v>
      </c>
      <c r="M13" s="111" t="str">
        <f>IF(E13=" "," ",IF(T$9="Y",Sep!M41,IF((H13+K13+L13)&gt;0,H13+K13+L13,"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IF(T$9="Y",Sep!H41,0)</f>
        <v>0</v>
      </c>
      <c r="I14" s="92">
        <f>IF(T$9="Y",Sep!I41,0)</f>
        <v>0</v>
      </c>
      <c r="J14" s="92">
        <f>IF(T$9="Y",Sep!J41,0)</f>
        <v>0</v>
      </c>
      <c r="K14" s="92">
        <f>IF(T$9="Y",Sep!K41,I14*J14)</f>
        <v>0</v>
      </c>
      <c r="L14" s="111">
        <f>IF(T$9="Y",Sep!L41,0)</f>
        <v>0</v>
      </c>
      <c r="M14" s="111" t="str">
        <f>IF(E14=" "," ",IF(T$9="Y",Sep!M41,IF((H14+K14+L14)&gt;0,H14+K14+L14,"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IF(T$9="Y",Sep!H41,0)</f>
        <v>0</v>
      </c>
      <c r="I15" s="245">
        <f>IF(T$9="Y",Sep!I41,0)</f>
        <v>0</v>
      </c>
      <c r="J15" s="245">
        <f>IF(T$9="Y",Sep!J41,0)</f>
        <v>0</v>
      </c>
      <c r="K15" s="245">
        <f>IF(T$9="Y",Sep!K41,I15*J15)</f>
        <v>0</v>
      </c>
      <c r="L15" s="246">
        <f>IF(T$9="Y",Sep!L41,0)</f>
        <v>0</v>
      </c>
      <c r="M15" s="246" t="str">
        <f>IF(E15=" "," ",IF(T$9="Y",Sep!M41,IF((H15+K15+L15)&gt;0,H15+K15+L15,"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44409</v>
      </c>
      <c r="L49" s="203" t="s">
        <v>76</v>
      </c>
      <c r="M49" s="205">
        <f>Admin!B149</f>
        <v>44439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89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92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92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92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IF(T$49="Y",Sep!H55,0)</f>
        <v>0</v>
      </c>
      <c r="I55" s="92">
        <f>IF(T$49="Y",Sep!I55,0)</f>
        <v>0</v>
      </c>
      <c r="J55" s="92">
        <f>IF(T$49="Y",Sep!J55,0)</f>
        <v>0</v>
      </c>
      <c r="K55" s="92">
        <f>IF(T$49="Y",Sep!K55,I55*J55)</f>
        <v>0</v>
      </c>
      <c r="L55" s="92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Oct!M39+1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44465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44440</v>
      </c>
      <c r="L59" s="203" t="s">
        <v>76</v>
      </c>
      <c r="M59" s="205">
        <f>Admin!B179</f>
        <v>44469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44472</v>
      </c>
      <c r="L9" s="203" t="s">
        <v>76</v>
      </c>
      <c r="M9" s="205">
        <f>Admin!B188</f>
        <v>44478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IF(T$9="Y",Nov!H51,0)</f>
        <v>0</v>
      </c>
      <c r="I11" s="89">
        <f>IF(T$9="Y",Nov!I51,0)</f>
        <v>0</v>
      </c>
      <c r="J11" s="89">
        <f>IF(T$9="Y",Nov!J51,0)</f>
        <v>0</v>
      </c>
      <c r="K11" s="89">
        <f>IF(T$9="Y",Nov!K51,I11*J11)</f>
        <v>0</v>
      </c>
      <c r="L11" s="110">
        <f>IF(T$9="Y",Nov!L51,0)</f>
        <v>0</v>
      </c>
      <c r="M11" s="99" t="str">
        <f>IF(E11=" "," ",IF(T$9="Y",Nov!M51,IF((H11+K11+L11)&gt;0,H11+K11+L11,"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IF(T$9="Y",Nov!H52,0)</f>
        <v>0</v>
      </c>
      <c r="I12" s="92">
        <f>IF(T$9="Y",Nov!I52,0)</f>
        <v>0</v>
      </c>
      <c r="J12" s="92">
        <f>IF(T$9="Y",Nov!J52,0)</f>
        <v>0</v>
      </c>
      <c r="K12" s="92">
        <f>IF(T$9="Y",Nov!K52,I12*J12)</f>
        <v>0</v>
      </c>
      <c r="L12" s="111">
        <f>IF(T$9="Y",Nov!L52,0)</f>
        <v>0</v>
      </c>
      <c r="M12" s="100" t="str">
        <f>IF(E12=" "," ",IF(T$9="Y",Nov!M52,IF((H12+K12+L12)&gt;0,H12+K12+L12,"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IF(T$9="Y",Nov!H53,0)</f>
        <v>0</v>
      </c>
      <c r="I13" s="92">
        <f>IF(T$9="Y",Nov!I53,0)</f>
        <v>0</v>
      </c>
      <c r="J13" s="92">
        <f>IF(T$9="Y",Nov!J53,0)</f>
        <v>0</v>
      </c>
      <c r="K13" s="92">
        <f>IF(T$9="Y",Nov!K53,I13*J13)</f>
        <v>0</v>
      </c>
      <c r="L13" s="111">
        <f>IF(T$9="Y",Nov!L53,0)</f>
        <v>0</v>
      </c>
      <c r="M13" s="100" t="str">
        <f>IF(E13=" "," ",IF(T$9="Y",Nov!M53,IF((H13+K13+L13)&gt;0,H13+K13+L13,"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IF(T$9="Y",Nov!H54,0)</f>
        <v>0</v>
      </c>
      <c r="I14" s="92">
        <f>IF(T$9="Y",Nov!I54,0)</f>
        <v>0</v>
      </c>
      <c r="J14" s="92">
        <f>IF(T$9="Y",Nov!J54,0)</f>
        <v>0</v>
      </c>
      <c r="K14" s="92">
        <f>IF(T$9="Y",Nov!K54,I14*J14)</f>
        <v>0</v>
      </c>
      <c r="L14" s="111">
        <f>IF(T$9="Y",Nov!L54,0)</f>
        <v>0</v>
      </c>
      <c r="M14" s="100" t="str">
        <f>IF(E14=" "," ",IF(T$9="Y",Nov!M54,IF((H14+K14+L14)&gt;0,H14+K14+L14,"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IF(T$9="Y",Nov!H55,0)</f>
        <v>0</v>
      </c>
      <c r="I15" s="245">
        <f>IF(T$9="Y",Nov!I55,0)</f>
        <v>0</v>
      </c>
      <c r="J15" s="245">
        <f>IF(T$9="Y",Nov!J55,0)</f>
        <v>0</v>
      </c>
      <c r="K15" s="245">
        <f>IF(T$9="Y",Nov!K55,I15*J15)</f>
        <v>0</v>
      </c>
      <c r="L15" s="246">
        <f>IF(T$9="Y",Nov!L55,0)</f>
        <v>0</v>
      </c>
      <c r="M15" s="247" t="str">
        <f>IF(E15=" "," ",IF(T$9="Y",Nov!M55,IF((H15+K15+L15)&gt;0,H15+K15+L15,"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44470</v>
      </c>
      <c r="L49" s="203" t="s">
        <v>76</v>
      </c>
      <c r="M49" s="205">
        <f>Admin!B210</f>
        <v>44500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44500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99" t="str">
        <f>IF(E11=" "," ",IF(T$9="Y",Dec!M41,IF((H11+K11+L11)&gt;0,H11+K11+L11,"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00" t="str">
        <f>IF(E12=" "," ",IF(T$9="Y",Dec!M42,IF((H12+K12+L12)&gt;0,H12+K12+L12,"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00" t="str">
        <f>IF(E13=" "," ",IF(T$9="Y",Dec!M43,IF((H13+K13+L13)&gt;0,H13+K13+L13,"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00" t="str">
        <f>IF(E14=" "," ",IF(T$9="Y",Dec!M44,IF((H14+K14+L14)&gt;0,H14+K14+L14,"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247" t="str">
        <f>IF(E15=" "," ",IF(T$9="Y",Dec!M45,IF((H15+K15+L15)&gt;0,H15+K15+L15,"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44501</v>
      </c>
      <c r="L49" s="203" t="s">
        <v>76</v>
      </c>
      <c r="M49" s="205">
        <f>Admin!B240</f>
        <v>44530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Jan!M39+1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44531</v>
      </c>
      <c r="L59" s="203" t="s">
        <v>76</v>
      </c>
      <c r="M59" s="205">
        <f>Admin!B271</f>
        <v>44561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Feb!M49+1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IF(T$9="Y",Feb!H51,0)</f>
        <v>0</v>
      </c>
      <c r="I11" s="89">
        <f>IF(T$9="Y",Feb!I51,0)</f>
        <v>0</v>
      </c>
      <c r="J11" s="89">
        <f>IF(T$9="Y",Feb!J51,0)</f>
        <v>0</v>
      </c>
      <c r="K11" s="89">
        <f>IF(T$9="Y",Feb!K51,I11*J11)</f>
        <v>0</v>
      </c>
      <c r="L11" s="110">
        <f>IF(T$9="Y",Feb!L51,0)</f>
        <v>0</v>
      </c>
      <c r="M11" s="110" t="str">
        <f>IF(E11=" "," ",IF(T$9="Y",Feb!M51,IF((H11+K11+L11)&gt;0,H11+K11+L11,"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IF(T$9="Y",Feb!H52,0)</f>
        <v>0</v>
      </c>
      <c r="I12" s="92">
        <f>IF(T$9="Y",Feb!I52,0)</f>
        <v>0</v>
      </c>
      <c r="J12" s="92">
        <f>IF(T$9="Y",Feb!J52,0)</f>
        <v>0</v>
      </c>
      <c r="K12" s="92">
        <f>IF(T$9="Y",Feb!K52,I12*J12)</f>
        <v>0</v>
      </c>
      <c r="L12" s="111">
        <f>IF(T$9="Y",Feb!L52,0)</f>
        <v>0</v>
      </c>
      <c r="M12" s="111" t="str">
        <f>IF(E12=" "," ",IF(T$9="Y",Feb!M52,IF((H12+K12+L12)&gt;0,H12+K12+L12,"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IF(T$9="Y",Feb!H53,0)</f>
        <v>0</v>
      </c>
      <c r="I13" s="92">
        <f>IF(T$9="Y",Feb!I53,0)</f>
        <v>0</v>
      </c>
      <c r="J13" s="92">
        <f>IF(T$9="Y",Feb!J53,0)</f>
        <v>0</v>
      </c>
      <c r="K13" s="92">
        <f>IF(T$9="Y",Feb!K53,I13*J13)</f>
        <v>0</v>
      </c>
      <c r="L13" s="111">
        <f>IF(T$9="Y",Feb!L53,0)</f>
        <v>0</v>
      </c>
      <c r="M13" s="111" t="str">
        <f>IF(E13=" "," ",IF(T$9="Y",Feb!M53,IF((H13+K13+L13)&gt;0,H13+K13+L13,"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IF(T$9="Y",Feb!H54,0)</f>
        <v>0</v>
      </c>
      <c r="I14" s="92">
        <f>IF(T$9="Y",Feb!I54,0)</f>
        <v>0</v>
      </c>
      <c r="J14" s="92">
        <f>IF(T$9="Y",Feb!J54,0)</f>
        <v>0</v>
      </c>
      <c r="K14" s="92">
        <f>IF(T$9="Y",Feb!K54,I14*J14)</f>
        <v>0</v>
      </c>
      <c r="L14" s="111">
        <f>IF(T$9="Y",Feb!L54,0)</f>
        <v>0</v>
      </c>
      <c r="M14" s="111" t="str">
        <f>IF(E14=" "," ",IF(T$9="Y",Feb!M54,IF((H14+K14+L14)&gt;0,H14+K14+L14,"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IF(T$9="Y",Feb!H55,0)</f>
        <v>0</v>
      </c>
      <c r="I15" s="245">
        <f>IF(T$9="Y",Feb!I55,0)</f>
        <v>0</v>
      </c>
      <c r="J15" s="245">
        <f>IF(T$9="Y",Feb!J55,0)</f>
        <v>0</v>
      </c>
      <c r="K15" s="245">
        <f>IF(T$9="Y",Feb!K55,I15*J15)</f>
        <v>0</v>
      </c>
      <c r="L15" s="246">
        <f>IF(T$9="Y",Feb!L55,0)</f>
        <v>0</v>
      </c>
      <c r="M15" s="111" t="str">
        <f>IF(E15=" "," ",IF(T$9="Y",Feb!M55,IF((H15+K15+L15)&gt;0,H15+K15+L15,"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44562</v>
      </c>
      <c r="L49" s="203" t="s">
        <v>76</v>
      </c>
      <c r="M49" s="205">
        <f>Admin!B302</f>
        <v>44592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Mar!M39+1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IF(T$19="Y",Mar!L45,0)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44593</v>
      </c>
      <c r="L49" s="203" t="s">
        <v>76</v>
      </c>
      <c r="M49" s="205">
        <f>Admin!B330</f>
        <v>44620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Apr!M39+1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44621</v>
      </c>
      <c r="L69" s="203" t="s">
        <v>76</v>
      </c>
      <c r="M69" s="205">
        <f>Admin!B361</f>
        <v>44651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IF(T$69="Y",Apr!H51,0)</f>
        <v>0</v>
      </c>
      <c r="I71" s="89">
        <f>IF(T$69="Y",Apr!I51,0)</f>
        <v>0</v>
      </c>
      <c r="J71" s="89">
        <f>IF(T$69="Y",Apr!J51,0)</f>
        <v>0</v>
      </c>
      <c r="K71" s="89">
        <f>IF(T$69="Y",Apr!K51,I71*J71)</f>
        <v>0</v>
      </c>
      <c r="L71" s="110">
        <f>IF(T$69="Y",Apr!L51,0)</f>
        <v>0</v>
      </c>
      <c r="M71" s="99" t="str">
        <f>IF(E71=" "," ",IF(T$69="Y",Apr!M51,IF((H71+K71+L71)&gt;0,H71+K71+L71,"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IF(Employee!H$35=E$69,Employee!D$34+SUM(M71)+Apr!V51,SUM(M71)+Apr!V51)</f>
        <v>0</v>
      </c>
      <c r="W71" s="49">
        <f>IF(Employee!H$35=E$69,Employee!D$35+SUM(N71)+Apr!W51,SUM(N71)+Apr!W51)</f>
        <v>0</v>
      </c>
      <c r="X71" s="49">
        <f>IF(O71=" ",Apr!X51,O71+Apr!X51)</f>
        <v>0</v>
      </c>
      <c r="Y71" s="49">
        <f>IF(P71=" ",Apr!Y51,P71+Apr!Y51)</f>
        <v>0</v>
      </c>
      <c r="Z71" s="49">
        <f>IF(Q71=" ",Apr!Z51,Q71+Apr!Z51)</f>
        <v>0</v>
      </c>
      <c r="AA71" s="49">
        <f>IF(R71=" ",Apr!AA51,R71+Apr!AA51)</f>
        <v>0</v>
      </c>
      <c r="AC71" s="49">
        <f>IF(T71=" ",Apr!AC51,T71+Apr!AC51)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IF(T$69="Y",Apr!H52,0)</f>
        <v>0</v>
      </c>
      <c r="I72" s="92">
        <f>IF(T$69="Y",Apr!I52,0)</f>
        <v>0</v>
      </c>
      <c r="J72" s="92">
        <f>IF(T$69="Y",Apr!J52,0)</f>
        <v>0</v>
      </c>
      <c r="K72" s="92">
        <f>IF(T$69="Y",Apr!K52,I72*J72)</f>
        <v>0</v>
      </c>
      <c r="L72" s="111">
        <f>IF(T$69="Y",Apr!L52,0)</f>
        <v>0</v>
      </c>
      <c r="M72" s="100" t="str">
        <f>IF(E72=" "," ",IF(T$69="Y",Apr!M52,IF((H72+K72+L72)&gt;0,H72+K72+L72,"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IF(Employee!H$61=E$69,Employee!D$60+SUM(M72)+Apr!V52,SUM(M72)+Apr!V52)</f>
        <v>0</v>
      </c>
      <c r="W72" s="49">
        <f>IF(Employee!H$61=E$69,Employee!D$61+SUM(N72)+Apr!W52,SUM(N72)+Apr!W52)</f>
        <v>0</v>
      </c>
      <c r="X72" s="49">
        <f>IF(O72=" ",Apr!X52,O72+Apr!X52)</f>
        <v>0</v>
      </c>
      <c r="Y72" s="49">
        <f>IF(P72=" ",Apr!Y52,P72+Apr!Y52)</f>
        <v>0</v>
      </c>
      <c r="Z72" s="49">
        <f>IF(Q72=" ",Apr!Z52,Q72+Apr!Z52)</f>
        <v>0</v>
      </c>
      <c r="AA72" s="49">
        <f>IF(R72=" ",Apr!AA52,R72+Apr!AA52)</f>
        <v>0</v>
      </c>
      <c r="AC72" s="49">
        <f>IF(T72=" ",Apr!AC52,T72+Apr!AC52)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IF(T$69="Y",Apr!H53,0)</f>
        <v>0</v>
      </c>
      <c r="I73" s="92">
        <f>IF(T$69="Y",Apr!I53,0)</f>
        <v>0</v>
      </c>
      <c r="J73" s="92">
        <f>IF(T$69="Y",Apr!J53,0)</f>
        <v>0</v>
      </c>
      <c r="K73" s="92">
        <f>IF(T$69="Y",Apr!K53,I73*J73)</f>
        <v>0</v>
      </c>
      <c r="L73" s="111">
        <f>IF(T$69="Y",Apr!L53,0)</f>
        <v>0</v>
      </c>
      <c r="M73" s="100" t="str">
        <f>IF(E73=" "," ",IF(T$69="Y",Apr!M53,IF((H73+K73+L73)&gt;0,H73+K73+L73,"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IF(Employee!H$87=E$69,Employee!D$86+SUM(M73)+Apr!V53,SUM(M73)+Apr!V53)</f>
        <v>0</v>
      </c>
      <c r="W73" s="49">
        <f>IF(Employee!H$87=E$69,Employee!D$87+SUM(N73)+Apr!W53,SUM(N73)+Apr!W53)</f>
        <v>0</v>
      </c>
      <c r="X73" s="49">
        <f>IF(O73=" ",Apr!X53,O73+Apr!X53)</f>
        <v>0</v>
      </c>
      <c r="Y73" s="49">
        <f>IF(P73=" ",Apr!Y53,P73+Apr!Y53)</f>
        <v>0</v>
      </c>
      <c r="Z73" s="49">
        <f>IF(Q73=" ",Apr!Z53,Q73+Apr!Z53)</f>
        <v>0</v>
      </c>
      <c r="AA73" s="49">
        <f>IF(R73=" ",Apr!AA53,R73+Apr!AA53)</f>
        <v>0</v>
      </c>
      <c r="AC73" s="49">
        <f>IF(T73=" ",Apr!AC53,T73+Apr!AC53)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IF(T$69="Y",Apr!H54,0)</f>
        <v>0</v>
      </c>
      <c r="I74" s="92">
        <f>IF(T$69="Y",Apr!I54,0)</f>
        <v>0</v>
      </c>
      <c r="J74" s="92">
        <f>IF(T$69="Y",Apr!J54,0)</f>
        <v>0</v>
      </c>
      <c r="K74" s="92">
        <f>IF(T$69="Y",Apr!K54,I74*J74)</f>
        <v>0</v>
      </c>
      <c r="L74" s="111">
        <f>IF(T$69="Y",Apr!L54,0)</f>
        <v>0</v>
      </c>
      <c r="M74" s="100" t="str">
        <f>IF(E74=" "," ",IF(T$69="Y",Apr!M54,IF((H74+K74+L74)&gt;0,H74+K74+L74,"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IF(Employee!H$113=E$69,Employee!D$112+SUM(M74)+Apr!V54,SUM(M74)+Apr!V54)</f>
        <v>0</v>
      </c>
      <c r="W74" s="49">
        <f>IF(Employee!H$113=E$69,Employee!D$113+SUM(N74)+Apr!W54,SUM(N74)+Apr!W54)</f>
        <v>0</v>
      </c>
      <c r="X74" s="49">
        <f>IF(O74=" ",Apr!X54,O74+Apr!X54)</f>
        <v>0</v>
      </c>
      <c r="Y74" s="49">
        <f>IF(P74=" ",Apr!Y54,P74+Apr!Y54)</f>
        <v>0</v>
      </c>
      <c r="Z74" s="49">
        <f>IF(Q74=" ",Apr!Z54,Q74+Apr!Z54)</f>
        <v>0</v>
      </c>
      <c r="AA74" s="49">
        <f>IF(R74=" ",Apr!AA54,R74+Apr!AA54)</f>
        <v>0</v>
      </c>
      <c r="AC74" s="49">
        <f>IF(T74=" ",Apr!AC54,T74+Apr!AC54)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IF(T$69="Y",Apr!H55,0)</f>
        <v>0</v>
      </c>
      <c r="I75" s="245">
        <f>IF(T$69="Y",Apr!I55,0)</f>
        <v>0</v>
      </c>
      <c r="J75" s="245">
        <f>IF(T$69="Y",Apr!J55,0)</f>
        <v>0</v>
      </c>
      <c r="K75" s="245">
        <f>IF(T$69="Y",Apr!K55,I75*J75)</f>
        <v>0</v>
      </c>
      <c r="L75" s="246">
        <f>IF(T$69="Y",Apr!L55,0)</f>
        <v>0</v>
      </c>
      <c r="M75" s="100" t="str">
        <f>IF(E75=" "," ",IF(T$69="Y",Apr!M55,IF((H75+K75+L75)&gt;0,H75+K75+L75,"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IF(Employee!H$139=E$69,Employee!D$138+SUM(M75)+Apr!V55,SUM(M75)+Apr!V55)</f>
        <v>0</v>
      </c>
      <c r="W75" s="49">
        <f>IF(Employee!H$139=E$69,Employee!D$139+SUM(N75)+Apr!W55,SUM(N75)+Apr!W55)</f>
        <v>0</v>
      </c>
      <c r="X75" s="49">
        <f>IF(O75=" ",Apr!X55,O75+Apr!X55)</f>
        <v>0</v>
      </c>
      <c r="Y75" s="49">
        <f>IF(P75=" ",Apr!Y55,P75+Apr!Y55)</f>
        <v>0</v>
      </c>
      <c r="Z75" s="49">
        <f>IF(Q75=" ",Apr!Z55,Q75+Apr!Z55)</f>
        <v>0</v>
      </c>
      <c r="AA75" s="49">
        <f>IF(R75=" ",Apr!AA55,R75+Apr!AA55)</f>
        <v>0</v>
      </c>
      <c r="AC75" s="49">
        <f>IF(T75=" ",Apr!AC55,T75+Apr!AC55)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AD80+Apr!AD65</f>
        <v>0</v>
      </c>
      <c r="AE85" s="158">
        <f>AE80+Apr!AE65</f>
        <v>0</v>
      </c>
      <c r="AF85" s="158">
        <f>AF80+Apr!AF65</f>
        <v>0</v>
      </c>
      <c r="AG85" s="158">
        <f>AG80+Apr!AG65</f>
        <v>0</v>
      </c>
    </row>
    <row r="86" spans="6:33" ht="14" thickTop="1" x14ac:dyDescent="0.15"/>
    <row r="87" spans="6:33" x14ac:dyDescent="0.15">
      <c r="AD87" s="162"/>
      <c r="AE87" s="158">
        <f>AE82+Apr!AE67</f>
        <v>0</v>
      </c>
      <c r="AF87" s="158">
        <f>AF82+Apr!AF67</f>
        <v>0</v>
      </c>
      <c r="AG87" s="158">
        <f>AG82+Apr!AG67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Jun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",INDIRECT(ADDRESS($H$4,18,1,TRUE,$H$3)))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44316</v>
      </c>
      <c r="C4" s="229">
        <f>Admin!$B$45</f>
        <v>44335</v>
      </c>
      <c r="D4" s="227">
        <f>Jun!T1+Jun!O1</f>
        <v>0</v>
      </c>
      <c r="E4" s="228">
        <f>Jun!N1</f>
        <v>0</v>
      </c>
      <c r="F4" s="228">
        <f>Jun!AD60+Jun!AE60+Jun!AF60+Jun!AG60</f>
        <v>0</v>
      </c>
      <c r="G4" s="228">
        <f>Jun!AE62+Jun!AF62+Jun!AG62</f>
        <v>0</v>
      </c>
      <c r="H4" s="228">
        <f>Jun!P1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44347</v>
      </c>
      <c r="C5" s="229">
        <f>Admin!$B$76</f>
        <v>44366</v>
      </c>
      <c r="D5" s="227">
        <f>Jul!T1+Jul!O1</f>
        <v>0</v>
      </c>
      <c r="E5" s="228">
        <f>Jul!N1</f>
        <v>0</v>
      </c>
      <c r="F5" s="228">
        <f>Jul!AD60+Jul!AE60+Jul!AF60+Jul!AG60</f>
        <v>0</v>
      </c>
      <c r="G5" s="228">
        <f>Jul!AE62+Jul!AF62+Jul!AG62</f>
        <v>0</v>
      </c>
      <c r="H5" s="228">
        <f>Jul!P1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44377</v>
      </c>
      <c r="C6" s="229">
        <f>Admin!$B$106</f>
        <v>44396</v>
      </c>
      <c r="D6" s="227">
        <f>Aug!T1+Aug!O1</f>
        <v>0</v>
      </c>
      <c r="E6" s="228">
        <f>Aug!N1</f>
        <v>0</v>
      </c>
      <c r="F6" s="228">
        <f>Aug!AD70+Aug!AE70+Aug!AF70+Aug!AG70</f>
        <v>0</v>
      </c>
      <c r="G6" s="228">
        <f>Aug!AE72+Aug!AF72+Aug!AG72</f>
        <v>0</v>
      </c>
      <c r="H6" s="228">
        <f>Aug!P1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44408</v>
      </c>
      <c r="C7" s="229">
        <f>Admin!$B$137</f>
        <v>44427</v>
      </c>
      <c r="D7" s="227">
        <f>Sep!T1+Sep!O1</f>
        <v>0</v>
      </c>
      <c r="E7" s="228">
        <f>Sep!N1</f>
        <v>0</v>
      </c>
      <c r="F7" s="228">
        <f>Sep!AD60+Sep!AE60+Sep!AF60+Sep!AG60</f>
        <v>0</v>
      </c>
      <c r="G7" s="228">
        <f>Sep!AE62+Sep!AF62+Sep!AG62</f>
        <v>0</v>
      </c>
      <c r="H7" s="228">
        <f>Sep!P1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44439</v>
      </c>
      <c r="C8" s="229">
        <f>Admin!$B$168</f>
        <v>44458</v>
      </c>
      <c r="D8" s="227">
        <f>Oct!T1+Oct!O1</f>
        <v>0</v>
      </c>
      <c r="E8" s="228">
        <f>Oct!N1</f>
        <v>0</v>
      </c>
      <c r="F8" s="228">
        <f>Oct!AD60+Oct!AE60+Oct!AF60+Oct!AG60</f>
        <v>0</v>
      </c>
      <c r="G8" s="228">
        <f>Oct!AE62+Oct!AF62+Oct!AG62</f>
        <v>0</v>
      </c>
      <c r="H8" s="228">
        <f>Oct!P1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44469</v>
      </c>
      <c r="C9" s="229">
        <f>Admin!$B$198</f>
        <v>44488</v>
      </c>
      <c r="D9" s="227">
        <f>Nov!T1+Nov!O1</f>
        <v>0</v>
      </c>
      <c r="E9" s="228">
        <f>Nov!N1</f>
        <v>0</v>
      </c>
      <c r="F9" s="228">
        <f>Nov!AD70+Nov!AE70+Nov!AF70+Nov!AG70</f>
        <v>0</v>
      </c>
      <c r="G9" s="228">
        <f>Nov!AE72+Nov!AF72+Nov!AG72</f>
        <v>0</v>
      </c>
      <c r="H9" s="228">
        <f>Nov!P1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44500</v>
      </c>
      <c r="C10" s="229">
        <f>Admin!$B$229</f>
        <v>44519</v>
      </c>
      <c r="D10" s="227">
        <f>Dec!T1+Dec!O1</f>
        <v>0</v>
      </c>
      <c r="E10" s="228">
        <f>Dec!N1</f>
        <v>0</v>
      </c>
      <c r="F10" s="228">
        <f>Dec!AD60+Dec!AE60+Dec!AF60+Dec!AG60</f>
        <v>0</v>
      </c>
      <c r="G10" s="228">
        <f>Dec!AE62+Dec!AF62+Dec!AG62</f>
        <v>0</v>
      </c>
      <c r="H10" s="228">
        <f>Dec!P1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44530</v>
      </c>
      <c r="C11" s="229">
        <f>Admin!$B$259</f>
        <v>44549</v>
      </c>
      <c r="D11" s="227">
        <f>Jan!T1+Jan!O1</f>
        <v>0</v>
      </c>
      <c r="E11" s="228">
        <f>Jan!N1</f>
        <v>0</v>
      </c>
      <c r="F11" s="228">
        <f>Jan!AD60+Jan!AE60+Jan!AF60+Jan!AG60</f>
        <v>0</v>
      </c>
      <c r="G11" s="228">
        <f>Jan!AE62+Jan!AF62+Jan!AG62</f>
        <v>0</v>
      </c>
      <c r="H11" s="228">
        <f>Jan!P1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44561</v>
      </c>
      <c r="C12" s="229">
        <f>Admin!$B$290</f>
        <v>44580</v>
      </c>
      <c r="D12" s="227">
        <f>Feb!T1+Feb!O1</f>
        <v>0</v>
      </c>
      <c r="E12" s="228">
        <f>Feb!N1</f>
        <v>0</v>
      </c>
      <c r="F12" s="228">
        <f>Feb!AD70+Feb!AE70+Feb!AF70+Feb!AG70</f>
        <v>0</v>
      </c>
      <c r="G12" s="228">
        <f>Feb!AE72+Feb!AF72+Feb!AG72</f>
        <v>0</v>
      </c>
      <c r="H12" s="228">
        <f>Feb!P1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44592</v>
      </c>
      <c r="C13" s="229">
        <f>Admin!$B$321</f>
        <v>44611</v>
      </c>
      <c r="D13" s="227">
        <f>Mar!T1+Mar!O1</f>
        <v>0</v>
      </c>
      <c r="E13" s="228">
        <f>Mar!N1</f>
        <v>0</v>
      </c>
      <c r="F13" s="228">
        <f>Mar!AD60+Mar!AE60+Mar!AF60+Mar!AG60</f>
        <v>0</v>
      </c>
      <c r="G13" s="228">
        <f>Mar!AE62+Mar!AF62+Mar!AG62</f>
        <v>0</v>
      </c>
      <c r="H13" s="228">
        <f>Mar!P1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44620</v>
      </c>
      <c r="C14" s="229">
        <f>Admin!$B$350</f>
        <v>44640</v>
      </c>
      <c r="D14" s="227">
        <f>Apr!T1+Apr!O1</f>
        <v>0</v>
      </c>
      <c r="E14" s="228">
        <f>Apr!N1</f>
        <v>0</v>
      </c>
      <c r="F14" s="228">
        <f>Apr!AD60+Apr!AE60+Apr!AF60+Apr!AG60</f>
        <v>0</v>
      </c>
      <c r="G14" s="228">
        <f>Apr!AE62+Apr!AF62+Apr!AG62</f>
        <v>0</v>
      </c>
      <c r="H14" s="228">
        <f>Apr!P1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44651</v>
      </c>
      <c r="C15" s="229">
        <f>Admin!$B$381</f>
        <v>44671</v>
      </c>
      <c r="D15" s="227">
        <f>May!T1+May!O1</f>
        <v>0</v>
      </c>
      <c r="E15" s="228">
        <f>May!N1</f>
        <v>0</v>
      </c>
      <c r="F15" s="228">
        <f>May!AD80+May!AE80+May!AF80+May!AG80</f>
        <v>0</v>
      </c>
      <c r="G15" s="228">
        <f>May!AE82+May!AF82+May!AG82</f>
        <v>0</v>
      </c>
      <c r="H15" s="228">
        <f>May!P1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44656</v>
      </c>
      <c r="J1" s="493"/>
      <c r="K1" s="303"/>
      <c r="L1" s="303"/>
      <c r="M1" s="304"/>
      <c r="N1" s="305" t="str">
        <f>TEXT(YEAR(I1)-1,"0") &amp; "-" &amp; TEXT(YEAR(I1)-2000,"0")</f>
        <v>2021-22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TEXT(DATE(YEAR(B$2),MONTH(B$2)+(D2-1)+2,1),"Mmm")</f>
        <v>Jun</v>
      </c>
      <c r="B2" s="308">
        <v>44292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TEXT(DATE(YEAR(B$2),MONTH(B$2)+(D3-1)+2,1),"Mmm")</f>
        <v>Jun</v>
      </c>
      <c r="B3" s="308">
        <f>B2+1</f>
        <v>44293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Jun</v>
      </c>
      <c r="B4" s="308">
        <f t="shared" ref="B4:B67" si="1">B3+1</f>
        <v>44294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Jun</v>
      </c>
      <c r="B5" s="308">
        <f t="shared" si="1"/>
        <v>44295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Jun</v>
      </c>
      <c r="B6" s="308">
        <f t="shared" si="1"/>
        <v>44296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Jun</v>
      </c>
      <c r="B7" s="308">
        <f t="shared" si="1"/>
        <v>44297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Jun</v>
      </c>
      <c r="B8" s="308">
        <f t="shared" si="1"/>
        <v>44298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Jun</v>
      </c>
      <c r="B9" s="308">
        <f t="shared" si="1"/>
        <v>44299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Jun</v>
      </c>
      <c r="B10" s="308">
        <f t="shared" si="1"/>
        <v>44300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Jun</v>
      </c>
      <c r="B11" s="308">
        <f t="shared" si="1"/>
        <v>44301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Jun</v>
      </c>
      <c r="B12" s="308">
        <f t="shared" si="1"/>
        <v>44302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Jun</v>
      </c>
      <c r="B13" s="308">
        <f t="shared" si="1"/>
        <v>44303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Jun</v>
      </c>
      <c r="B14" s="308">
        <f t="shared" si="1"/>
        <v>44304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Jun</v>
      </c>
      <c r="B15" s="308">
        <f t="shared" si="1"/>
        <v>44305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Jun</v>
      </c>
      <c r="B16" s="308">
        <f t="shared" si="1"/>
        <v>44306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Jun</v>
      </c>
      <c r="B17" s="308">
        <f t="shared" si="1"/>
        <v>44307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Jun</v>
      </c>
      <c r="B18" s="308">
        <f t="shared" si="1"/>
        <v>44308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Jun</v>
      </c>
      <c r="B19" s="308">
        <f t="shared" si="1"/>
        <v>44309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Jun</v>
      </c>
      <c r="B20" s="308">
        <f t="shared" si="1"/>
        <v>44310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Jun</v>
      </c>
      <c r="B21" s="308">
        <f t="shared" si="1"/>
        <v>44311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Jun</v>
      </c>
      <c r="B22" s="308">
        <f t="shared" si="1"/>
        <v>44312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Jun</v>
      </c>
      <c r="B23" s="308">
        <f t="shared" si="1"/>
        <v>44313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Jun</v>
      </c>
      <c r="B24" s="308">
        <f t="shared" si="1"/>
        <v>44314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Jun</v>
      </c>
      <c r="B25" s="308">
        <f t="shared" si="1"/>
        <v>44315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Jun</v>
      </c>
      <c r="B26" s="308">
        <f t="shared" si="1"/>
        <v>44316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Jun</v>
      </c>
      <c r="B27" s="308">
        <f t="shared" si="1"/>
        <v>44317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Jul</v>
      </c>
      <c r="B28" s="308">
        <f t="shared" si="1"/>
        <v>44318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Jul</v>
      </c>
      <c r="B29" s="308">
        <f t="shared" si="1"/>
        <v>44319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Jul</v>
      </c>
      <c r="B30" s="308">
        <f t="shared" si="1"/>
        <v>44320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Jul</v>
      </c>
      <c r="B31" s="308">
        <f t="shared" si="1"/>
        <v>44321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Jul</v>
      </c>
      <c r="B32" s="308">
        <f t="shared" si="1"/>
        <v>44322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Jul</v>
      </c>
      <c r="B33" s="308">
        <f t="shared" si="1"/>
        <v>44323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Jul</v>
      </c>
      <c r="B34" s="308">
        <f t="shared" si="1"/>
        <v>44324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Jul</v>
      </c>
      <c r="B35" s="308">
        <f t="shared" si="1"/>
        <v>44325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Jul</v>
      </c>
      <c r="B36" s="308">
        <f t="shared" si="1"/>
        <v>44326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Jul</v>
      </c>
      <c r="B37" s="308">
        <f t="shared" si="1"/>
        <v>44327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Jul</v>
      </c>
      <c r="B38" s="308">
        <f t="shared" si="1"/>
        <v>44328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Jul</v>
      </c>
      <c r="B39" s="308">
        <f t="shared" si="1"/>
        <v>44329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Jul</v>
      </c>
      <c r="B40" s="308">
        <f t="shared" si="1"/>
        <v>44330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Jul</v>
      </c>
      <c r="B41" s="308">
        <f t="shared" si="1"/>
        <v>44331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Jul</v>
      </c>
      <c r="B42" s="308">
        <f t="shared" si="1"/>
        <v>44332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Jul</v>
      </c>
      <c r="B43" s="308">
        <f t="shared" si="1"/>
        <v>44333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Jul</v>
      </c>
      <c r="B44" s="308">
        <f t="shared" si="1"/>
        <v>44334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Jul</v>
      </c>
      <c r="B45" s="308">
        <f t="shared" si="1"/>
        <v>44335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Jul</v>
      </c>
      <c r="B46" s="308">
        <f t="shared" si="1"/>
        <v>44336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Jul</v>
      </c>
      <c r="B47" s="308">
        <f t="shared" si="1"/>
        <v>44337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Jul</v>
      </c>
      <c r="B48" s="308">
        <f t="shared" si="1"/>
        <v>44338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Jul</v>
      </c>
      <c r="B49" s="308">
        <f t="shared" si="1"/>
        <v>44339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Jul</v>
      </c>
      <c r="B50" s="308">
        <f t="shared" si="1"/>
        <v>44340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Jul</v>
      </c>
      <c r="B51" s="308">
        <f t="shared" si="1"/>
        <v>44341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Jul</v>
      </c>
      <c r="B52" s="308">
        <f t="shared" si="1"/>
        <v>44342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Jul</v>
      </c>
      <c r="B53" s="308">
        <f t="shared" si="1"/>
        <v>44343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Jul</v>
      </c>
      <c r="B54" s="308">
        <f t="shared" si="1"/>
        <v>44344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Jul</v>
      </c>
      <c r="B55" s="308">
        <f t="shared" si="1"/>
        <v>44345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Aug</v>
      </c>
      <c r="B56" s="308">
        <f t="shared" si="1"/>
        <v>44346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Aug</v>
      </c>
      <c r="B57" s="308">
        <f t="shared" si="1"/>
        <v>44347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Aug</v>
      </c>
      <c r="B58" s="308">
        <f t="shared" si="1"/>
        <v>44348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Aug</v>
      </c>
      <c r="B59" s="308">
        <f t="shared" si="1"/>
        <v>44349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Aug</v>
      </c>
      <c r="B60" s="308">
        <f t="shared" si="1"/>
        <v>44350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Aug</v>
      </c>
      <c r="B61" s="308">
        <f t="shared" si="1"/>
        <v>44351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Aug</v>
      </c>
      <c r="B62" s="308">
        <f t="shared" si="1"/>
        <v>44352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Aug</v>
      </c>
      <c r="B63" s="308">
        <f t="shared" si="1"/>
        <v>44353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Aug</v>
      </c>
      <c r="B64" s="308">
        <f t="shared" si="1"/>
        <v>44354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Aug</v>
      </c>
      <c r="B65" s="308">
        <f t="shared" si="1"/>
        <v>44355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Aug</v>
      </c>
      <c r="B66" s="308">
        <f t="shared" si="1"/>
        <v>44356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TEXT(DATE(YEAR(B$2),MONTH(B$2)+(D67-1)+2,1),"Mmm")</f>
        <v>Aug</v>
      </c>
      <c r="B67" s="308">
        <f t="shared" si="1"/>
        <v>44357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Aug</v>
      </c>
      <c r="B68" s="308">
        <f t="shared" ref="B68:B131" si="3">B67+1</f>
        <v>44358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Aug</v>
      </c>
      <c r="B69" s="308">
        <f t="shared" si="3"/>
        <v>44359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Aug</v>
      </c>
      <c r="B70" s="308">
        <f t="shared" si="3"/>
        <v>44360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Aug</v>
      </c>
      <c r="B71" s="308">
        <f t="shared" si="3"/>
        <v>44361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Aug</v>
      </c>
      <c r="B72" s="308">
        <f t="shared" si="3"/>
        <v>44362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Aug</v>
      </c>
      <c r="B73" s="308">
        <f t="shared" si="3"/>
        <v>44363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Aug</v>
      </c>
      <c r="B74" s="308">
        <f t="shared" si="3"/>
        <v>44364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Aug</v>
      </c>
      <c r="B75" s="308">
        <f t="shared" si="3"/>
        <v>44365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Aug</v>
      </c>
      <c r="B76" s="308">
        <f t="shared" si="3"/>
        <v>44366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Aug</v>
      </c>
      <c r="B77" s="308">
        <f t="shared" si="3"/>
        <v>44367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Aug</v>
      </c>
      <c r="B78" s="308">
        <f t="shared" si="3"/>
        <v>44368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Aug</v>
      </c>
      <c r="B79" s="308">
        <f t="shared" si="3"/>
        <v>44369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Aug</v>
      </c>
      <c r="B80" s="308">
        <f t="shared" si="3"/>
        <v>44370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Aug</v>
      </c>
      <c r="B81" s="308">
        <f t="shared" si="3"/>
        <v>44371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Aug</v>
      </c>
      <c r="B82" s="308">
        <f t="shared" si="3"/>
        <v>44372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Aug</v>
      </c>
      <c r="B83" s="308">
        <f t="shared" si="3"/>
        <v>44373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Aug</v>
      </c>
      <c r="B84" s="308">
        <f t="shared" si="3"/>
        <v>44374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Aug</v>
      </c>
      <c r="B85" s="308">
        <f t="shared" si="3"/>
        <v>44375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Aug</v>
      </c>
      <c r="B86" s="308">
        <f t="shared" si="3"/>
        <v>44376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Aug</v>
      </c>
      <c r="B87" s="308">
        <f t="shared" si="3"/>
        <v>44377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Aug</v>
      </c>
      <c r="B88" s="308">
        <f t="shared" si="3"/>
        <v>44378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Aug</v>
      </c>
      <c r="B89" s="308">
        <f t="shared" si="3"/>
        <v>44379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Aug</v>
      </c>
      <c r="B90" s="308">
        <f t="shared" si="3"/>
        <v>44380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Sep</v>
      </c>
      <c r="B91" s="308">
        <f t="shared" si="3"/>
        <v>44381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Sep</v>
      </c>
      <c r="B92" s="308">
        <f t="shared" si="3"/>
        <v>44382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Sep</v>
      </c>
      <c r="B93" s="308">
        <f t="shared" si="3"/>
        <v>44383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Sep</v>
      </c>
      <c r="B94" s="308">
        <f t="shared" si="3"/>
        <v>44384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Sep</v>
      </c>
      <c r="B95" s="308">
        <f t="shared" si="3"/>
        <v>44385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Sep</v>
      </c>
      <c r="B96" s="308">
        <f t="shared" si="3"/>
        <v>44386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Sep</v>
      </c>
      <c r="B97" s="308">
        <f t="shared" si="3"/>
        <v>44387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Sep</v>
      </c>
      <c r="B98" s="308">
        <f t="shared" si="3"/>
        <v>44388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Sep</v>
      </c>
      <c r="B99" s="308">
        <f t="shared" si="3"/>
        <v>44389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Sep</v>
      </c>
      <c r="B100" s="308">
        <f t="shared" si="3"/>
        <v>44390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Sep</v>
      </c>
      <c r="B101" s="308">
        <f t="shared" si="3"/>
        <v>44391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Sep</v>
      </c>
      <c r="B102" s="308">
        <f t="shared" si="3"/>
        <v>44392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Sep</v>
      </c>
      <c r="B103" s="308">
        <f t="shared" si="3"/>
        <v>44393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Sep</v>
      </c>
      <c r="B104" s="308">
        <f t="shared" si="3"/>
        <v>44394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Sep</v>
      </c>
      <c r="B105" s="308">
        <f t="shared" si="3"/>
        <v>44395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Sep</v>
      </c>
      <c r="B106" s="308">
        <f t="shared" si="3"/>
        <v>44396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Sep</v>
      </c>
      <c r="B107" s="308">
        <f t="shared" si="3"/>
        <v>44397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Sep</v>
      </c>
      <c r="B108" s="308">
        <f t="shared" si="3"/>
        <v>44398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Sep</v>
      </c>
      <c r="B109" s="308">
        <f t="shared" si="3"/>
        <v>44399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Sep</v>
      </c>
      <c r="B110" s="308">
        <f t="shared" si="3"/>
        <v>44400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Sep</v>
      </c>
      <c r="B111" s="308">
        <f t="shared" si="3"/>
        <v>44401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Sep</v>
      </c>
      <c r="B112" s="308">
        <f t="shared" si="3"/>
        <v>44402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Sep</v>
      </c>
      <c r="B113" s="308">
        <f t="shared" si="3"/>
        <v>44403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Sep</v>
      </c>
      <c r="B114" s="308">
        <f t="shared" si="3"/>
        <v>44404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Sep</v>
      </c>
      <c r="B115" s="308">
        <f t="shared" si="3"/>
        <v>44405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Sep</v>
      </c>
      <c r="B116" s="308">
        <f t="shared" si="3"/>
        <v>44406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Sep</v>
      </c>
      <c r="B117" s="308">
        <f t="shared" si="3"/>
        <v>44407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Sep</v>
      </c>
      <c r="B118" s="308">
        <f t="shared" si="3"/>
        <v>44408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Oct</v>
      </c>
      <c r="B119" s="308">
        <f t="shared" si="3"/>
        <v>44409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Oct</v>
      </c>
      <c r="B120" s="308">
        <f t="shared" si="3"/>
        <v>44410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Oct</v>
      </c>
      <c r="B121" s="308">
        <f t="shared" si="3"/>
        <v>44411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Oct</v>
      </c>
      <c r="B122" s="308">
        <f t="shared" si="3"/>
        <v>44412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Oct</v>
      </c>
      <c r="B123" s="308">
        <f t="shared" si="3"/>
        <v>44413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Oct</v>
      </c>
      <c r="B124" s="308">
        <f t="shared" si="3"/>
        <v>44414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Oct</v>
      </c>
      <c r="B125" s="308">
        <f t="shared" si="3"/>
        <v>44415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Oct</v>
      </c>
      <c r="B126" s="308">
        <f t="shared" si="3"/>
        <v>44416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Oct</v>
      </c>
      <c r="B127" s="308">
        <f t="shared" si="3"/>
        <v>44417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Oct</v>
      </c>
      <c r="B128" s="308">
        <f t="shared" si="3"/>
        <v>44418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Oct</v>
      </c>
      <c r="B129" s="308">
        <f t="shared" si="3"/>
        <v>44419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Oct</v>
      </c>
      <c r="B130" s="308">
        <f t="shared" si="3"/>
        <v>44420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TEXT(DATE(YEAR(B$2),MONTH(B$2)+(D131-1)+2,1),"Mmm")</f>
        <v>Oct</v>
      </c>
      <c r="B131" s="308">
        <f t="shared" si="3"/>
        <v>44421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Oct</v>
      </c>
      <c r="B132" s="308">
        <f t="shared" ref="B132:B195" si="5">B131+1</f>
        <v>44422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Oct</v>
      </c>
      <c r="B133" s="308">
        <f t="shared" si="5"/>
        <v>44423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Oct</v>
      </c>
      <c r="B134" s="308">
        <f t="shared" si="5"/>
        <v>44424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Oct</v>
      </c>
      <c r="B135" s="308">
        <f t="shared" si="5"/>
        <v>44425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Oct</v>
      </c>
      <c r="B136" s="308">
        <f t="shared" si="5"/>
        <v>44426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Oct</v>
      </c>
      <c r="B137" s="308">
        <f t="shared" si="5"/>
        <v>44427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Oct</v>
      </c>
      <c r="B138" s="308">
        <f t="shared" si="5"/>
        <v>44428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Oct</v>
      </c>
      <c r="B139" s="308">
        <f t="shared" si="5"/>
        <v>44429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Oct</v>
      </c>
      <c r="B140" s="308">
        <f t="shared" si="5"/>
        <v>44430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Oct</v>
      </c>
      <c r="B141" s="308">
        <f t="shared" si="5"/>
        <v>44431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Oct</v>
      </c>
      <c r="B142" s="308">
        <f t="shared" si="5"/>
        <v>44432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Oct</v>
      </c>
      <c r="B143" s="308">
        <f t="shared" si="5"/>
        <v>44433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Oct</v>
      </c>
      <c r="B144" s="308">
        <f t="shared" si="5"/>
        <v>44434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Oct</v>
      </c>
      <c r="B145" s="308">
        <f t="shared" si="5"/>
        <v>44435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Oct</v>
      </c>
      <c r="B146" s="308">
        <f t="shared" si="5"/>
        <v>44436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Nov</v>
      </c>
      <c r="B147" s="308">
        <f t="shared" si="5"/>
        <v>44437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Nov</v>
      </c>
      <c r="B148" s="308">
        <f t="shared" si="5"/>
        <v>44438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Nov</v>
      </c>
      <c r="B149" s="308">
        <f t="shared" si="5"/>
        <v>44439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Nov</v>
      </c>
      <c r="B150" s="308">
        <f t="shared" si="5"/>
        <v>44440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Nov</v>
      </c>
      <c r="B151" s="308">
        <f t="shared" si="5"/>
        <v>44441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Nov</v>
      </c>
      <c r="B152" s="308">
        <f t="shared" si="5"/>
        <v>44442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Nov</v>
      </c>
      <c r="B153" s="308">
        <f t="shared" si="5"/>
        <v>44443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Nov</v>
      </c>
      <c r="B154" s="308">
        <f t="shared" si="5"/>
        <v>44444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Nov</v>
      </c>
      <c r="B155" s="321">
        <f t="shared" si="5"/>
        <v>44445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Nov</v>
      </c>
      <c r="B156" s="308">
        <f t="shared" si="5"/>
        <v>44446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Nov</v>
      </c>
      <c r="B157" s="308">
        <f t="shared" si="5"/>
        <v>44447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Nov</v>
      </c>
      <c r="B158" s="308">
        <f t="shared" si="5"/>
        <v>44448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Nov</v>
      </c>
      <c r="B159" s="308">
        <f t="shared" si="5"/>
        <v>44449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Nov</v>
      </c>
      <c r="B160" s="308">
        <f t="shared" si="5"/>
        <v>44450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Nov</v>
      </c>
      <c r="B161" s="308">
        <f t="shared" si="5"/>
        <v>44451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Nov</v>
      </c>
      <c r="B162" s="308">
        <f t="shared" si="5"/>
        <v>44452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Nov</v>
      </c>
      <c r="B163" s="308">
        <f t="shared" si="5"/>
        <v>44453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Nov</v>
      </c>
      <c r="B164" s="308">
        <f t="shared" si="5"/>
        <v>44454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Nov</v>
      </c>
      <c r="B165" s="308">
        <f t="shared" si="5"/>
        <v>44455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Nov</v>
      </c>
      <c r="B166" s="308">
        <f t="shared" si="5"/>
        <v>44456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Nov</v>
      </c>
      <c r="B167" s="308">
        <f t="shared" si="5"/>
        <v>44457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Nov</v>
      </c>
      <c r="B168" s="308">
        <f t="shared" si="5"/>
        <v>44458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Nov</v>
      </c>
      <c r="B169" s="308">
        <f t="shared" si="5"/>
        <v>44459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Nov</v>
      </c>
      <c r="B170" s="308">
        <f t="shared" si="5"/>
        <v>44460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Nov</v>
      </c>
      <c r="B171" s="308">
        <f t="shared" si="5"/>
        <v>44461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Nov</v>
      </c>
      <c r="B172" s="308">
        <f t="shared" si="5"/>
        <v>44462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Nov</v>
      </c>
      <c r="B173" s="308">
        <f t="shared" si="5"/>
        <v>44463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Nov</v>
      </c>
      <c r="B174" s="308">
        <f t="shared" si="5"/>
        <v>44464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Nov</v>
      </c>
      <c r="B175" s="308">
        <f t="shared" si="5"/>
        <v>44465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Nov</v>
      </c>
      <c r="B176" s="308">
        <f t="shared" si="5"/>
        <v>44466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Nov</v>
      </c>
      <c r="B177" s="308">
        <f t="shared" si="5"/>
        <v>44467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Nov</v>
      </c>
      <c r="B178" s="308">
        <f t="shared" si="5"/>
        <v>44468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Nov</v>
      </c>
      <c r="B179" s="308">
        <f t="shared" si="5"/>
        <v>44469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Nov</v>
      </c>
      <c r="B180" s="308">
        <f t="shared" si="5"/>
        <v>44470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Nov</v>
      </c>
      <c r="B181" s="308">
        <f t="shared" si="5"/>
        <v>44471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Dec</v>
      </c>
      <c r="B182" s="308">
        <f t="shared" si="5"/>
        <v>44472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Dec</v>
      </c>
      <c r="B183" s="308">
        <f t="shared" si="5"/>
        <v>44473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Dec</v>
      </c>
      <c r="B184" s="308">
        <f t="shared" si="5"/>
        <v>44474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Dec</v>
      </c>
      <c r="B185" s="321">
        <f t="shared" si="5"/>
        <v>44475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Dec</v>
      </c>
      <c r="B186" s="308">
        <f t="shared" si="5"/>
        <v>44476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Dec</v>
      </c>
      <c r="B187" s="308">
        <f t="shared" si="5"/>
        <v>44477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Dec</v>
      </c>
      <c r="B188" s="308">
        <f t="shared" si="5"/>
        <v>44478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Dec</v>
      </c>
      <c r="B189" s="308">
        <f t="shared" si="5"/>
        <v>44479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Dec</v>
      </c>
      <c r="B190" s="308">
        <f t="shared" si="5"/>
        <v>44480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Dec</v>
      </c>
      <c r="B191" s="308">
        <f t="shared" si="5"/>
        <v>44481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Dec</v>
      </c>
      <c r="B192" s="308">
        <f t="shared" si="5"/>
        <v>44482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Dec</v>
      </c>
      <c r="B193" s="308">
        <f t="shared" si="5"/>
        <v>44483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Dec</v>
      </c>
      <c r="B194" s="308">
        <f t="shared" si="5"/>
        <v>44484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TEXT(DATE(YEAR(B$2),MONTH(B$2)+(D195-1)+2,1),"Mmm")</f>
        <v>Dec</v>
      </c>
      <c r="B195" s="308">
        <f t="shared" si="5"/>
        <v>44485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Dec</v>
      </c>
      <c r="B196" s="308">
        <f t="shared" ref="B196:B259" si="7">B195+1</f>
        <v>44486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Dec</v>
      </c>
      <c r="B197" s="308">
        <f t="shared" si="7"/>
        <v>44487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Dec</v>
      </c>
      <c r="B198" s="308">
        <f t="shared" si="7"/>
        <v>44488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Dec</v>
      </c>
      <c r="B199" s="308">
        <f t="shared" si="7"/>
        <v>44489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Dec</v>
      </c>
      <c r="B200" s="308">
        <f t="shared" si="7"/>
        <v>44490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Dec</v>
      </c>
      <c r="B201" s="308">
        <f t="shared" si="7"/>
        <v>44491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Dec</v>
      </c>
      <c r="B202" s="308">
        <f t="shared" si="7"/>
        <v>44492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Dec</v>
      </c>
      <c r="B203" s="308">
        <f t="shared" si="7"/>
        <v>44493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Dec</v>
      </c>
      <c r="B204" s="308">
        <f t="shared" si="7"/>
        <v>44494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Dec</v>
      </c>
      <c r="B205" s="308">
        <f t="shared" si="7"/>
        <v>44495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Dec</v>
      </c>
      <c r="B206" s="308">
        <f t="shared" si="7"/>
        <v>44496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Dec</v>
      </c>
      <c r="B207" s="308">
        <f t="shared" si="7"/>
        <v>44497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Dec</v>
      </c>
      <c r="B208" s="308">
        <f t="shared" si="7"/>
        <v>44498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Dec</v>
      </c>
      <c r="B209" s="308">
        <f t="shared" si="7"/>
        <v>44499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Jan</v>
      </c>
      <c r="B210" s="308">
        <f t="shared" si="7"/>
        <v>44500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Jan</v>
      </c>
      <c r="B211" s="308">
        <f t="shared" si="7"/>
        <v>44501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Jan</v>
      </c>
      <c r="B212" s="308">
        <f t="shared" si="7"/>
        <v>44502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Jan</v>
      </c>
      <c r="B213" s="308">
        <f t="shared" si="7"/>
        <v>44503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Jan</v>
      </c>
      <c r="B214" s="308">
        <f t="shared" si="7"/>
        <v>44504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Jan</v>
      </c>
      <c r="B215" s="308">
        <f t="shared" si="7"/>
        <v>44505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Jan</v>
      </c>
      <c r="B216" s="321">
        <f t="shared" si="7"/>
        <v>44506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Jan</v>
      </c>
      <c r="B217" s="308">
        <f t="shared" si="7"/>
        <v>44507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Jan</v>
      </c>
      <c r="B218" s="308">
        <f t="shared" si="7"/>
        <v>44508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Jan</v>
      </c>
      <c r="B219" s="308">
        <f t="shared" si="7"/>
        <v>44509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Jan</v>
      </c>
      <c r="B220" s="308">
        <f t="shared" si="7"/>
        <v>44510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Jan</v>
      </c>
      <c r="B221" s="308">
        <f t="shared" si="7"/>
        <v>44511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Jan</v>
      </c>
      <c r="B222" s="308">
        <f t="shared" si="7"/>
        <v>44512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Jan</v>
      </c>
      <c r="B223" s="308">
        <f t="shared" si="7"/>
        <v>44513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Jan</v>
      </c>
      <c r="B224" s="308">
        <f t="shared" si="7"/>
        <v>44514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Jan</v>
      </c>
      <c r="B225" s="308">
        <f t="shared" si="7"/>
        <v>44515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Jan</v>
      </c>
      <c r="B226" s="308">
        <f t="shared" si="7"/>
        <v>44516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Jan</v>
      </c>
      <c r="B227" s="308">
        <f t="shared" si="7"/>
        <v>44517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Jan</v>
      </c>
      <c r="B228" s="308">
        <f t="shared" si="7"/>
        <v>44518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Jan</v>
      </c>
      <c r="B229" s="308">
        <f t="shared" si="7"/>
        <v>44519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Jan</v>
      </c>
      <c r="B230" s="308">
        <f t="shared" si="7"/>
        <v>44520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Jan</v>
      </c>
      <c r="B231" s="308">
        <f t="shared" si="7"/>
        <v>44521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Jan</v>
      </c>
      <c r="B232" s="308">
        <f t="shared" si="7"/>
        <v>44522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Jan</v>
      </c>
      <c r="B233" s="308">
        <f t="shared" si="7"/>
        <v>44523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Jan</v>
      </c>
      <c r="B234" s="308">
        <f t="shared" si="7"/>
        <v>44524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Jan</v>
      </c>
      <c r="B235" s="308">
        <f t="shared" si="7"/>
        <v>44525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Jan</v>
      </c>
      <c r="B236" s="308">
        <f t="shared" si="7"/>
        <v>44526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Jan</v>
      </c>
      <c r="B237" s="308">
        <f t="shared" si="7"/>
        <v>44527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Feb</v>
      </c>
      <c r="B238" s="308">
        <f t="shared" si="7"/>
        <v>44528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Feb</v>
      </c>
      <c r="B239" s="308">
        <f t="shared" si="7"/>
        <v>44529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Feb</v>
      </c>
      <c r="B240" s="308">
        <f t="shared" si="7"/>
        <v>44530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Feb</v>
      </c>
      <c r="B241" s="308">
        <f t="shared" si="7"/>
        <v>44531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Feb</v>
      </c>
      <c r="B242" s="308">
        <f t="shared" si="7"/>
        <v>44532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Feb</v>
      </c>
      <c r="B243" s="308">
        <f t="shared" si="7"/>
        <v>44533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Feb</v>
      </c>
      <c r="B244" s="308">
        <f t="shared" si="7"/>
        <v>44534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Feb</v>
      </c>
      <c r="B245" s="308">
        <f t="shared" si="7"/>
        <v>44535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Feb</v>
      </c>
      <c r="B246" s="321">
        <f t="shared" si="7"/>
        <v>44536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Feb</v>
      </c>
      <c r="B247" s="308">
        <f t="shared" si="7"/>
        <v>44537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Feb</v>
      </c>
      <c r="B248" s="308">
        <f t="shared" si="7"/>
        <v>44538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Feb</v>
      </c>
      <c r="B249" s="308">
        <f t="shared" si="7"/>
        <v>44539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Feb</v>
      </c>
      <c r="B250" s="308">
        <f t="shared" si="7"/>
        <v>44540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Feb</v>
      </c>
      <c r="B251" s="308">
        <f t="shared" si="7"/>
        <v>44541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Feb</v>
      </c>
      <c r="B252" s="308">
        <f t="shared" si="7"/>
        <v>44542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Feb</v>
      </c>
      <c r="B253" s="308">
        <f t="shared" si="7"/>
        <v>44543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Feb</v>
      </c>
      <c r="B254" s="308">
        <f t="shared" si="7"/>
        <v>44544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Feb</v>
      </c>
      <c r="B255" s="308">
        <f t="shared" si="7"/>
        <v>44545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Feb</v>
      </c>
      <c r="B256" s="308">
        <f t="shared" si="7"/>
        <v>44546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Feb</v>
      </c>
      <c r="B257" s="308">
        <f t="shared" si="7"/>
        <v>44547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Feb</v>
      </c>
      <c r="B258" s="308">
        <f t="shared" si="7"/>
        <v>44548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TEXT(DATE(YEAR(B$2),MONTH(B$2)+(D259-1)+2,1),"Mmm")</f>
        <v>Feb</v>
      </c>
      <c r="B259" s="308">
        <f t="shared" si="7"/>
        <v>44549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Feb</v>
      </c>
      <c r="B260" s="308">
        <f t="shared" ref="B260:B323" si="9">B259+1</f>
        <v>44550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Feb</v>
      </c>
      <c r="B261" s="308">
        <f t="shared" si="9"/>
        <v>44551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Feb</v>
      </c>
      <c r="B262" s="308">
        <f t="shared" si="9"/>
        <v>44552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Feb</v>
      </c>
      <c r="B263" s="308">
        <f t="shared" si="9"/>
        <v>44553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Feb</v>
      </c>
      <c r="B264" s="308">
        <f t="shared" si="9"/>
        <v>44554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Feb</v>
      </c>
      <c r="B265" s="308">
        <f t="shared" si="9"/>
        <v>44555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Feb</v>
      </c>
      <c r="B266" s="308">
        <f t="shared" si="9"/>
        <v>44556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Feb</v>
      </c>
      <c r="B267" s="308">
        <f t="shared" si="9"/>
        <v>44557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Feb</v>
      </c>
      <c r="B268" s="308">
        <f t="shared" si="9"/>
        <v>44558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Feb</v>
      </c>
      <c r="B269" s="308">
        <f t="shared" si="9"/>
        <v>44559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Feb</v>
      </c>
      <c r="B270" s="308">
        <f t="shared" si="9"/>
        <v>44560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Feb</v>
      </c>
      <c r="B271" s="308">
        <f t="shared" si="9"/>
        <v>44561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Feb</v>
      </c>
      <c r="B272" s="308">
        <f t="shared" si="9"/>
        <v>44562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Mar</v>
      </c>
      <c r="B273" s="308">
        <f t="shared" si="9"/>
        <v>44563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Mar</v>
      </c>
      <c r="B274" s="308">
        <f t="shared" si="9"/>
        <v>44564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Mar</v>
      </c>
      <c r="B275" s="308">
        <f t="shared" si="9"/>
        <v>44565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Mar</v>
      </c>
      <c r="B276" s="321">
        <f t="shared" si="9"/>
        <v>44566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Mar</v>
      </c>
      <c r="B277" s="321">
        <f t="shared" si="9"/>
        <v>44567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Mar</v>
      </c>
      <c r="B278" s="308">
        <f t="shared" si="9"/>
        <v>44568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Mar</v>
      </c>
      <c r="B279" s="308">
        <f t="shared" si="9"/>
        <v>44569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Mar</v>
      </c>
      <c r="B280" s="308">
        <f t="shared" si="9"/>
        <v>44570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Mar</v>
      </c>
      <c r="B281" s="308">
        <f t="shared" si="9"/>
        <v>44571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Mar</v>
      </c>
      <c r="B282" s="308">
        <f t="shared" si="9"/>
        <v>44572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Mar</v>
      </c>
      <c r="B283" s="308">
        <f t="shared" si="9"/>
        <v>44573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Mar</v>
      </c>
      <c r="B284" s="308">
        <f t="shared" si="9"/>
        <v>44574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Mar</v>
      </c>
      <c r="B285" s="308">
        <f t="shared" si="9"/>
        <v>44575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Mar</v>
      </c>
      <c r="B286" s="308">
        <f t="shared" si="9"/>
        <v>44576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Mar</v>
      </c>
      <c r="B287" s="308">
        <f t="shared" si="9"/>
        <v>44577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Mar</v>
      </c>
      <c r="B288" s="308">
        <f t="shared" si="9"/>
        <v>44578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Mar</v>
      </c>
      <c r="B289" s="308">
        <f t="shared" si="9"/>
        <v>44579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Mar</v>
      </c>
      <c r="B290" s="308">
        <f t="shared" si="9"/>
        <v>44580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Mar</v>
      </c>
      <c r="B291" s="308">
        <f t="shared" si="9"/>
        <v>44581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Mar</v>
      </c>
      <c r="B292" s="308">
        <f t="shared" si="9"/>
        <v>44582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Mar</v>
      </c>
      <c r="B293" s="308">
        <f t="shared" si="9"/>
        <v>44583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Mar</v>
      </c>
      <c r="B294" s="308">
        <f t="shared" si="9"/>
        <v>44584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Mar</v>
      </c>
      <c r="B295" s="308">
        <f t="shared" si="9"/>
        <v>44585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Mar</v>
      </c>
      <c r="B296" s="308">
        <f t="shared" si="9"/>
        <v>44586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Mar</v>
      </c>
      <c r="B297" s="308">
        <f t="shared" si="9"/>
        <v>44587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Mar</v>
      </c>
      <c r="B298" s="308">
        <f t="shared" si="9"/>
        <v>44588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Mar</v>
      </c>
      <c r="B299" s="308">
        <f t="shared" si="9"/>
        <v>44589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Mar</v>
      </c>
      <c r="B300" s="308">
        <f t="shared" si="9"/>
        <v>44590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Apr</v>
      </c>
      <c r="B301" s="308">
        <f t="shared" si="9"/>
        <v>44591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Apr</v>
      </c>
      <c r="B302" s="308">
        <f t="shared" si="9"/>
        <v>44592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Apr</v>
      </c>
      <c r="B303" s="308">
        <f t="shared" si="9"/>
        <v>44593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Apr</v>
      </c>
      <c r="B304" s="308">
        <f t="shared" si="9"/>
        <v>44594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Apr</v>
      </c>
      <c r="B305" s="308">
        <f t="shared" si="9"/>
        <v>44595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Apr</v>
      </c>
      <c r="B306" s="308">
        <f t="shared" si="9"/>
        <v>44596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Apr</v>
      </c>
      <c r="B307" s="308">
        <f t="shared" si="9"/>
        <v>44597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Apr</v>
      </c>
      <c r="B308" s="321">
        <f t="shared" si="9"/>
        <v>44598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Apr</v>
      </c>
      <c r="B309" s="308">
        <f t="shared" si="9"/>
        <v>44599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Apr</v>
      </c>
      <c r="B310" s="308">
        <f t="shared" si="9"/>
        <v>44600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Apr</v>
      </c>
      <c r="B311" s="308">
        <f t="shared" si="9"/>
        <v>44601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Apr</v>
      </c>
      <c r="B312" s="308">
        <f t="shared" si="9"/>
        <v>44602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Apr</v>
      </c>
      <c r="B313" s="308">
        <f t="shared" si="9"/>
        <v>44603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Apr</v>
      </c>
      <c r="B314" s="308">
        <f t="shared" si="9"/>
        <v>44604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Apr</v>
      </c>
      <c r="B315" s="308">
        <f t="shared" si="9"/>
        <v>44605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Apr</v>
      </c>
      <c r="B316" s="308">
        <f t="shared" si="9"/>
        <v>44606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Apr</v>
      </c>
      <c r="B317" s="308">
        <f t="shared" si="9"/>
        <v>44607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Apr</v>
      </c>
      <c r="B318" s="308">
        <f t="shared" si="9"/>
        <v>44608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Apr</v>
      </c>
      <c r="B319" s="308">
        <f t="shared" si="9"/>
        <v>44609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Apr</v>
      </c>
      <c r="B320" s="308">
        <f t="shared" si="9"/>
        <v>44610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Apr</v>
      </c>
      <c r="B321" s="308">
        <f t="shared" si="9"/>
        <v>44611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Apr</v>
      </c>
      <c r="B322" s="308">
        <f t="shared" si="9"/>
        <v>44612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TEXT(DATE(YEAR(B$2),MONTH(B$2)+(D323-1)+2,1),"Mmm")</f>
        <v>Apr</v>
      </c>
      <c r="B323" s="308">
        <f t="shared" si="9"/>
        <v>44613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Apr</v>
      </c>
      <c r="B324" s="308">
        <f t="shared" ref="B324:B381" si="11">B323+1</f>
        <v>44614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Apr</v>
      </c>
      <c r="B325" s="308">
        <f t="shared" si="11"/>
        <v>44615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Apr</v>
      </c>
      <c r="B326" s="308">
        <f t="shared" si="11"/>
        <v>44616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Apr</v>
      </c>
      <c r="B327" s="308">
        <f t="shared" si="11"/>
        <v>44617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Apr</v>
      </c>
      <c r="B328" s="308">
        <f t="shared" si="11"/>
        <v>44618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May</v>
      </c>
      <c r="B329" s="308">
        <f t="shared" si="11"/>
        <v>44619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May</v>
      </c>
      <c r="B330" s="308">
        <f t="shared" si="11"/>
        <v>44620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May</v>
      </c>
      <c r="B331" s="308">
        <f t="shared" si="11"/>
        <v>44621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May</v>
      </c>
      <c r="B332" s="308">
        <f t="shared" si="11"/>
        <v>44622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May</v>
      </c>
      <c r="B333" s="308">
        <f t="shared" si="11"/>
        <v>44623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May</v>
      </c>
      <c r="B334" s="308">
        <f t="shared" si="11"/>
        <v>44624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May</v>
      </c>
      <c r="B335" s="308">
        <f t="shared" si="11"/>
        <v>44625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May</v>
      </c>
      <c r="B336" s="321">
        <f t="shared" si="11"/>
        <v>44626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May</v>
      </c>
      <c r="B337" s="308">
        <f t="shared" si="11"/>
        <v>44627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May</v>
      </c>
      <c r="B338" s="308">
        <f t="shared" si="11"/>
        <v>44628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May</v>
      </c>
      <c r="B339" s="308">
        <f t="shared" si="11"/>
        <v>44629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May</v>
      </c>
      <c r="B340" s="308">
        <f t="shared" si="11"/>
        <v>44630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May</v>
      </c>
      <c r="B341" s="308">
        <f t="shared" si="11"/>
        <v>44631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May</v>
      </c>
      <c r="B342" s="308">
        <f t="shared" si="11"/>
        <v>44632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May</v>
      </c>
      <c r="B343" s="308">
        <f t="shared" si="11"/>
        <v>44633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May</v>
      </c>
      <c r="B344" s="308">
        <f t="shared" si="11"/>
        <v>44634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May</v>
      </c>
      <c r="B345" s="308">
        <f t="shared" si="11"/>
        <v>44635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May</v>
      </c>
      <c r="B346" s="308">
        <f t="shared" si="11"/>
        <v>44636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May</v>
      </c>
      <c r="B347" s="308">
        <f t="shared" si="11"/>
        <v>44637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May</v>
      </c>
      <c r="B348" s="308">
        <f t="shared" si="11"/>
        <v>44638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May</v>
      </c>
      <c r="B349" s="308">
        <f t="shared" si="11"/>
        <v>44639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May</v>
      </c>
      <c r="B350" s="308">
        <f t="shared" si="11"/>
        <v>44640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May</v>
      </c>
      <c r="B351" s="308">
        <f t="shared" si="11"/>
        <v>44641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May</v>
      </c>
      <c r="B352" s="308">
        <f t="shared" si="11"/>
        <v>44642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May</v>
      </c>
      <c r="B353" s="308">
        <f t="shared" si="11"/>
        <v>44643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May</v>
      </c>
      <c r="B354" s="308">
        <f t="shared" si="11"/>
        <v>44644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May</v>
      </c>
      <c r="B355" s="308">
        <f t="shared" si="11"/>
        <v>44645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May</v>
      </c>
      <c r="B356" s="308">
        <f t="shared" si="11"/>
        <v>44646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May</v>
      </c>
      <c r="B357" s="308">
        <f t="shared" si="11"/>
        <v>44647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May</v>
      </c>
      <c r="B358" s="308">
        <f t="shared" si="11"/>
        <v>44648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May</v>
      </c>
      <c r="B359" s="308">
        <f t="shared" si="11"/>
        <v>44649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May</v>
      </c>
      <c r="B360" s="308">
        <f t="shared" si="11"/>
        <v>44650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May</v>
      </c>
      <c r="B361" s="308">
        <f t="shared" si="11"/>
        <v>44651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May</v>
      </c>
      <c r="B362" s="308">
        <f t="shared" si="11"/>
        <v>44652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May</v>
      </c>
      <c r="B363" s="308">
        <f t="shared" si="11"/>
        <v>44653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May</v>
      </c>
      <c r="B364" s="308">
        <f t="shared" si="11"/>
        <v>44654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May</v>
      </c>
      <c r="B365" s="308">
        <f t="shared" si="11"/>
        <v>44655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May</v>
      </c>
      <c r="B366" s="308">
        <f t="shared" si="11"/>
        <v>44656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May</v>
      </c>
      <c r="B367" s="308">
        <f t="shared" si="11"/>
        <v>44657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May</v>
      </c>
      <c r="B368" s="308">
        <f t="shared" si="11"/>
        <v>44658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May</v>
      </c>
      <c r="B369" s="308">
        <f t="shared" si="11"/>
        <v>44659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May</v>
      </c>
      <c r="B370" s="308">
        <f t="shared" si="11"/>
        <v>44660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May</v>
      </c>
      <c r="B371" s="308">
        <f t="shared" si="11"/>
        <v>44661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May</v>
      </c>
      <c r="B372" s="308">
        <f t="shared" si="11"/>
        <v>44662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May</v>
      </c>
      <c r="B373" s="308">
        <f t="shared" si="11"/>
        <v>44663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May</v>
      </c>
      <c r="B374" s="308">
        <f t="shared" si="11"/>
        <v>44664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May</v>
      </c>
      <c r="B375" s="308">
        <f t="shared" si="11"/>
        <v>44665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May</v>
      </c>
      <c r="B376" s="308">
        <f t="shared" si="11"/>
        <v>44666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May</v>
      </c>
      <c r="B377" s="308">
        <f t="shared" si="11"/>
        <v>44667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May</v>
      </c>
      <c r="B378" s="308">
        <f t="shared" si="11"/>
        <v>44668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May</v>
      </c>
      <c r="B379" s="308">
        <f t="shared" si="11"/>
        <v>44669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May</v>
      </c>
      <c r="B380" s="308">
        <f t="shared" si="11"/>
        <v>44670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May</v>
      </c>
      <c r="B381" s="308">
        <f t="shared" si="11"/>
        <v>44671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