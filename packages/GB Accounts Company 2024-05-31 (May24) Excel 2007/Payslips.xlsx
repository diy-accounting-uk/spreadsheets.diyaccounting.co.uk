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<sst xmlns="http://schemas.openxmlformats.org/spreadsheetml/2006/main" count="1383" uniqueCount="138">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</sst>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DATE(2023,7,1)</f>
        <v>45108</v>
      </c>
      <c r="L49" s="203" t="s">
        <v>76</v>
      </c>
      <c r="M49" s="205">
        <f>DATE(2023,7,31)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DATE(2023,8,1)</f>
        <v>45139</v>
      </c>
      <c r="L59" s="203" t="s">
        <v>76</v>
      </c>
      <c r="M59" s="205">
        <f>DATE(2023,8,31)</f>
        <v>45169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IF(T$9="Y",Sep!H41,0)</f>
        <v>0</v>
      </c>
      <c r="I12" s="92">
        <f>IF(T$9="Y",Sep!I41,0)</f>
        <v>0</v>
      </c>
      <c r="J12" s="92">
        <f>IF(T$9="Y",Sep!J41,0)</f>
        <v>0</v>
      </c>
      <c r="K12" s="92">
        <f>IF(T$9="Y",Sep!K41,I12*J12)</f>
        <v>0</v>
      </c>
      <c r="L12" s="111">
        <f>IF(T$9="Y",Sep!L41,0)</f>
        <v>0</v>
      </c>
      <c r="M12" s="111" t="str">
        <f>IF(E12=" "," ",IF(T$9="Y",Sep!M41,IF((H12+K12+L12)&gt;0,H12+K12+L12,"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IF(T$9="Y",Sep!H41,0)</f>
        <v>0</v>
      </c>
      <c r="I13" s="92">
        <f>IF(T$9="Y",Sep!I41,0)</f>
        <v>0</v>
      </c>
      <c r="J13" s="92">
        <f>IF(T$9="Y",Sep!J41,0)</f>
        <v>0</v>
      </c>
      <c r="K13" s="92">
        <f>IF(T$9="Y",Sep!K41,I13*J13)</f>
        <v>0</v>
      </c>
      <c r="L13" s="111">
        <f>IF(T$9="Y",Sep!L41,0)</f>
        <v>0</v>
      </c>
      <c r="M13" s="111" t="str">
        <f>IF(E13=" "," ",IF(T$9="Y",Sep!M41,IF((H13+K13+L13)&gt;0,H13+K13+L13,"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IF(T$9="Y",Sep!H41,0)</f>
        <v>0</v>
      </c>
      <c r="I14" s="92">
        <f>IF(T$9="Y",Sep!I41,0)</f>
        <v>0</v>
      </c>
      <c r="J14" s="92">
        <f>IF(T$9="Y",Sep!J41,0)</f>
        <v>0</v>
      </c>
      <c r="K14" s="92">
        <f>IF(T$9="Y",Sep!K41,I14*J14)</f>
        <v>0</v>
      </c>
      <c r="L14" s="111">
        <f>IF(T$9="Y",Sep!L41,0)</f>
        <v>0</v>
      </c>
      <c r="M14" s="111" t="str">
        <f>IF(E14=" "," ",IF(T$9="Y",Sep!M41,IF((H14+K14+L14)&gt;0,H14+K14+L14,"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IF(T$9="Y",Sep!H41,0)</f>
        <v>0</v>
      </c>
      <c r="I15" s="245">
        <f>IF(T$9="Y",Sep!I41,0)</f>
        <v>0</v>
      </c>
      <c r="J15" s="245">
        <f>IF(T$9="Y",Sep!J41,0)</f>
        <v>0</v>
      </c>
      <c r="K15" s="245">
        <f>IF(T$9="Y",Sep!K41,I15*J15)</f>
        <v>0</v>
      </c>
      <c r="L15" s="246">
        <f>IF(T$9="Y",Sep!L41,0)</f>
        <v>0</v>
      </c>
      <c r="M15" s="246" t="str">
        <f>IF(E15=" "," ",IF(T$9="Y",Sep!M41,IF((H15+K15+L15)&gt;0,H15+K15+L15,"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DATE(2023,11,1)</f>
        <v>45231</v>
      </c>
      <c r="L59" s="203" t="s">
        <v>76</v>
      </c>
      <c r="M59" s="205">
        <f>DATE(2023,11,30)</f>
        <v>45260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DATE(2024,2,1)</f>
        <v>45323</v>
      </c>
      <c r="L59" s="203" t="s">
        <v>76</v>
      </c>
      <c r="M59" s="205">
        <f>DATE(2024,2,29)</f>
        <v>45351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DATE(2024,4,1)</f>
        <v>45383</v>
      </c>
      <c r="L49" s="203" t="s">
        <v>76</v>
      </c>
      <c r="M49" s="205">
        <f>DATE(2024,4,30)</f>
        <v>45412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DATE(2024,5,1)</f>
        <v>45413</v>
      </c>
      <c r="L69" s="203" t="s">
        <v>76</v>
      </c>
      <c r="M69" s="205">
        <f>DATE(2024,5,31)</f>
        <v>45443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May!AD80+May!AE80+May!AF80+May!AG80</f>
        <v>0</v>
      </c>
      <c r="G5" s="228">
        <f>May!AE82+May!AF82+May!AG82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Aug!AD70+Aug!AE70+Aug!AF70+Aug!AG70</f>
        <v>0</v>
      </c>
      <c r="G8" s="228">
        <f>Aug!AE72+Aug!AF72+Aug!AG72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Nov!AD70+Nov!AE70+Nov!AF70+Nov!AG70</f>
        <v>0</v>
      </c>
      <c r="G11" s="228">
        <f>Nov!AE72+Nov!AF72+Nov!AG72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Feb!AD70+Feb!AE70+Feb!AF70+Feb!AG70</f>
        <v>0</v>
      </c>
      <c r="G14" s="228">
        <f>Feb!AE72+Feb!AF72+Feb!AG72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TEXT(DATE(YEAR(B$2),MONTH(B$2)+(D2-1)+2,1),"Mmm")</f>
        <v>Jun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TEXT(DATE(YEAR(B$2),MONTH(B$2)+(D3-1)+2,1),"Mmm")</f>
        <v>Jun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Jun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Jun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Jun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Jun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Jun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Jun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Jun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Jun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Jun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Jun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Jun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Jun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Jun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Jun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Jun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Jun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Jun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Jun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Jun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Jun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Jun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Jun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Jun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Jun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Jul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Jul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Jul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Jul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Jul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Jul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Jul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Jul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Jul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Jul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Jul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Jul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Jul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Jul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Jul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Jul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Jul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Jul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Jul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Jul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Jul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Jul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Jul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Jul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Jul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Jul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Jul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Jul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Aug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Aug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Aug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Aug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Aug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Aug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Aug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Aug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Aug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Aug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Aug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TEXT(DATE(YEAR(B$2),MONTH(B$2)+(D67-1)+2,1),"Mmm")</f>
        <v>Aug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Aug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Aug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Aug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Aug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Aug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Aug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Aug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Aug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Aug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Aug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Aug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Aug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Aug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Aug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Aug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Aug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Aug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Aug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Aug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Aug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Aug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Aug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Aug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Sep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Sep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Sep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Sep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Sep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Sep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Sep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Sep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Sep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Sep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Sep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Sep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Sep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Sep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Sep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Sep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Sep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Sep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Sep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Sep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Sep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Sep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Sep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Sep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Sep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Sep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Sep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Sep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Oct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Oct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Oct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Oct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Oct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Oct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Oct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Oct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Oct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Oct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Oct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Oct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TEXT(DATE(YEAR(B$2),MONTH(B$2)+(D131-1)+2,1),"Mmm")</f>
        <v>Oct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Oct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Oct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Oct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Oct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Oct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Oct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Oct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Oct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Oct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Oct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Oct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Oct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Oct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Oct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Oct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Nov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Nov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Nov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Nov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Nov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Nov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Nov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Nov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Nov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Nov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Nov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Nov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Nov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Nov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Nov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Nov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Nov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Nov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Nov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Nov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Nov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Nov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Nov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Nov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Nov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Nov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Nov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Nov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Nov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Nov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Nov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Nov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Nov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Nov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Nov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Dec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Dec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Dec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Dec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Dec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Dec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Dec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Dec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Dec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Dec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Dec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Dec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Dec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TEXT(DATE(YEAR(B$2),MONTH(B$2)+(D195-1)+2,1),"Mmm")</f>
        <v>Dec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Dec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Dec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Dec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Dec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Dec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Dec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Dec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Dec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Dec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Dec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Dec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Dec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Dec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Dec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Jan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Jan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Jan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Jan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Jan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Jan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Jan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Jan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Jan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Jan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Jan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Jan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Jan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Jan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Jan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Jan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Jan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Jan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Jan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Jan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Jan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Jan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Jan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Jan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Jan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Jan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Jan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Jan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Feb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Feb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Feb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Feb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Feb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Feb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Feb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Feb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Feb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Feb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Feb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Feb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Feb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Feb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Feb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Feb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Feb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Feb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Feb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Feb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Feb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TEXT(DATE(YEAR(B$2),MONTH(B$2)+(D259-1)+2,1),"Mmm")</f>
        <v>Feb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Feb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Feb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Feb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Feb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Feb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Feb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Feb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Feb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Feb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Feb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Feb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Feb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Feb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Mar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Mar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Mar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Mar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Mar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Mar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Mar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Mar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Mar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Mar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Mar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Mar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Mar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Mar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Mar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Mar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Mar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Mar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Mar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Mar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Mar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Mar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Mar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Mar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Mar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Mar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Mar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Mar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Apr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Apr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Apr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Apr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Apr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Apr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Apr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Apr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Apr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Apr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Apr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Apr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Apr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Apr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Apr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Apr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Apr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Apr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Apr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Apr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Apr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Apr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TEXT(DATE(YEAR(B$2),MONTH(B$2)+(D323-1)+2,1),"Mmm")</f>
        <v>Apr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Apr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Apr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Apr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Apr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Apr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May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May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May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May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May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May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May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May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May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May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May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May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May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May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May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May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May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May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May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May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May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May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May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May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May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May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May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May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May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May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May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May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May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May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May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May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May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May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May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May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May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May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May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May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May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May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May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May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May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May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May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May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May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