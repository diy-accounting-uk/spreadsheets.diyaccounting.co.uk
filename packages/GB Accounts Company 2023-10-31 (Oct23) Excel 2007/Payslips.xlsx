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Nov" sheetId="12" r:id="rId2"/>
    <sheet name="Dec" sheetId="11" r:id="rId3"/>
    <sheet name="Jan" sheetId="10" r:id="rId4"/>
    <sheet name="Feb" sheetId="9" r:id="rId5"/>
    <sheet name="Mar" sheetId="8" r:id="rId6"/>
    <sheet name="Apr" sheetId="17" r:id="rId7"/>
    <sheet name="May" sheetId="16" r:id="rId8"/>
    <sheet name="Jun" sheetId="15" r:id="rId9"/>
    <sheet name="Jul" sheetId="14" r:id="rId10"/>
    <sheet name="Aug" sheetId="13" r:id="rId11"/>
    <sheet name="Sep" sheetId="19" r:id="rId12"/>
    <sheet name="Oct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<sst xmlns="http://schemas.openxmlformats.org/spreadsheetml/2006/main" count="1383" uniqueCount="138">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</sst>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Admin!I1</f>
        <v>45387</v>
      </c>
      <c r="P9" s="145"/>
      <c r="Q9" s="140"/>
      <c r="R9" s="141"/>
      <c r="S9" s="141"/>
      <c r="T9" s="80"/>
      <c r="U9" s="345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45075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45082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45097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45101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45108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45123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45127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45134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45149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45153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45160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45022</v>
      </c>
      <c r="L9" s="200" t="s">
        <v>76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45026</v>
      </c>
      <c r="L19" s="200" t="s">
        <v>76</v>
      </c>
      <c r="M19" s="202">
        <f>K19+6</f>
        <v>45032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45033</v>
      </c>
      <c r="L29" s="200" t="s">
        <v>76</v>
      </c>
      <c r="M29" s="202">
        <f>K29+6</f>
        <v>45039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45040</v>
      </c>
      <c r="L39" s="200" t="s">
        <v>76</v>
      </c>
      <c r="M39" s="202">
        <f>K39+6</f>
        <v>45046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DATE(2022,11,1)</f>
        <v>44866</v>
      </c>
      <c r="L49" s="203" t="s">
        <v>76</v>
      </c>
      <c r="M49" s="205">
        <f>DATE(2022,11,30)</f>
        <v>44895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Nov!M39+1</f>
        <v>45047</v>
      </c>
      <c r="L9" s="203" t="s">
        <v>76</v>
      </c>
      <c r="M9" s="205">
        <f>K9+6</f>
        <v>45053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45054</v>
      </c>
      <c r="L19" s="203" t="s">
        <v>76</v>
      </c>
      <c r="M19" s="205">
        <f>K19+6</f>
        <v>45060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45061</v>
      </c>
      <c r="L29" s="203" t="s">
        <v>76</v>
      </c>
      <c r="M29" s="205">
        <f>K29+6</f>
        <v>45067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45068</v>
      </c>
      <c r="L39" s="203" t="s">
        <v>76</v>
      </c>
      <c r="M39" s="205">
        <f>K39+6</f>
        <v>45074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DATE(2022,12,1)</f>
        <v>44896</v>
      </c>
      <c r="L49" s="203" t="s">
        <v>76</v>
      </c>
      <c r="M49" s="205">
        <f>DATE(2022,12,31)</f>
        <v>44926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Dec!M39+1</f>
        <v>45075</v>
      </c>
      <c r="L9" s="203" t="s">
        <v>76</v>
      </c>
      <c r="M9" s="205">
        <f>K9+6</f>
        <v>45081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45082</v>
      </c>
      <c r="L19" s="203" t="s">
        <v>76</v>
      </c>
      <c r="M19" s="205">
        <f>K19+6</f>
        <v>45088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45089</v>
      </c>
      <c r="L29" s="203" t="s">
        <v>76</v>
      </c>
      <c r="M29" s="205">
        <f>K29+6</f>
        <v>45095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45096</v>
      </c>
      <c r="L39" s="203" t="s">
        <v>76</v>
      </c>
      <c r="M39" s="205">
        <f>K39+6</f>
        <v>45102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45103</v>
      </c>
      <c r="L49" s="203" t="s">
        <v>76</v>
      </c>
      <c r="M49" s="205">
        <f>K49+6</f>
        <v>45109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DATE(2023,1,1)</f>
        <v>44927</v>
      </c>
      <c r="L59" s="203" t="s">
        <v>76</v>
      </c>
      <c r="M59" s="205">
        <f>DATE(2023,1,31)</f>
        <v>44957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45111</v>
      </c>
      <c r="L9" s="203" t="s">
        <v>76</v>
      </c>
      <c r="M9" s="205">
        <f>K9+6</f>
        <v>45117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89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92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92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92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5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45118</v>
      </c>
      <c r="L19" s="203" t="s">
        <v>76</v>
      </c>
      <c r="M19" s="205">
        <f>K19+6</f>
        <v>45124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45125</v>
      </c>
      <c r="L29" s="203" t="s">
        <v>76</v>
      </c>
      <c r="M29" s="205">
        <f>K29+6</f>
        <v>45131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45132</v>
      </c>
      <c r="L39" s="203" t="s">
        <v>76</v>
      </c>
      <c r="M39" s="205">
        <f>K39+6</f>
        <v>45138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DATE(2023,2,1)</f>
        <v>44958</v>
      </c>
      <c r="L49" s="203" t="s">
        <v>76</v>
      </c>
      <c r="M49" s="205">
        <f>DATE(2023,2,28)</f>
        <v>44985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45139</v>
      </c>
      <c r="L9" s="203" t="s">
        <v>76</v>
      </c>
      <c r="M9" s="205">
        <f>K9+6</f>
        <v>45145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IF(T$9="Y",Feb!H41,0)</f>
        <v>0</v>
      </c>
      <c r="I12" s="92">
        <f>IF(T$9="Y",Feb!I41,0)</f>
        <v>0</v>
      </c>
      <c r="J12" s="92">
        <f>IF(T$9="Y",Feb!J41,0)</f>
        <v>0</v>
      </c>
      <c r="K12" s="92">
        <f>IF(T$9="Y",Feb!K41,I12*J12)</f>
        <v>0</v>
      </c>
      <c r="L12" s="111">
        <f>IF(T$9="Y",Feb!L41,0)</f>
        <v>0</v>
      </c>
      <c r="M12" s="111" t="str">
        <f>IF(E12=" "," ",IF(T$9="Y",Feb!M41,IF((H12+K12+L12)&gt;0,H12+K12+L12,"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IF(T$9="Y",Feb!H41,0)</f>
        <v>0</v>
      </c>
      <c r="I13" s="92">
        <f>IF(T$9="Y",Feb!I41,0)</f>
        <v>0</v>
      </c>
      <c r="J13" s="92">
        <f>IF(T$9="Y",Feb!J41,0)</f>
        <v>0</v>
      </c>
      <c r="K13" s="92">
        <f>IF(T$9="Y",Feb!K41,I13*J13)</f>
        <v>0</v>
      </c>
      <c r="L13" s="111">
        <f>IF(T$9="Y",Feb!L41,0)</f>
        <v>0</v>
      </c>
      <c r="M13" s="111" t="str">
        <f>IF(E13=" "," ",IF(T$9="Y",Feb!M41,IF((H13+K13+L13)&gt;0,H13+K13+L13,"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IF(T$9="Y",Feb!H41,0)</f>
        <v>0</v>
      </c>
      <c r="I14" s="92">
        <f>IF(T$9="Y",Feb!I41,0)</f>
        <v>0</v>
      </c>
      <c r="J14" s="92">
        <f>IF(T$9="Y",Feb!J41,0)</f>
        <v>0</v>
      </c>
      <c r="K14" s="92">
        <f>IF(T$9="Y",Feb!K41,I14*J14)</f>
        <v>0</v>
      </c>
      <c r="L14" s="111">
        <f>IF(T$9="Y",Feb!L41,0)</f>
        <v>0</v>
      </c>
      <c r="M14" s="111" t="str">
        <f>IF(E14=" "," ",IF(T$9="Y",Feb!M41,IF((H14+K14+L14)&gt;0,H14+K14+L14,"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IF(T$9="Y",Feb!H41,0)</f>
        <v>0</v>
      </c>
      <c r="I15" s="245">
        <f>IF(T$9="Y",Feb!I41,0)</f>
        <v>0</v>
      </c>
      <c r="J15" s="245">
        <f>IF(T$9="Y",Feb!J41,0)</f>
        <v>0</v>
      </c>
      <c r="K15" s="245">
        <f>IF(T$9="Y",Feb!K41,I15*J15)</f>
        <v>0</v>
      </c>
      <c r="L15" s="246">
        <f>IF(T$9="Y",Feb!L41,0)</f>
        <v>0</v>
      </c>
      <c r="M15" s="246" t="str">
        <f>IF(E15=" "," ",IF(T$9="Y",Feb!M41,IF((H15+K15+L15)&gt;0,H15+K15+L15,"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45146</v>
      </c>
      <c r="L19" s="203" t="s">
        <v>76</v>
      </c>
      <c r="M19" s="205">
        <f>K19+6</f>
        <v>45152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45153</v>
      </c>
      <c r="L29" s="203" t="s">
        <v>76</v>
      </c>
      <c r="M29" s="205">
        <f>K29+6</f>
        <v>45159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45160</v>
      </c>
      <c r="L39" s="203" t="s">
        <v>76</v>
      </c>
      <c r="M39" s="205">
        <f>K39+6</f>
        <v>45166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DATE(2023,3,1)</f>
        <v>44986</v>
      </c>
      <c r="L49" s="203" t="s">
        <v>76</v>
      </c>
      <c r="M49" s="205">
        <f>DATE(2023,3,31)</f>
        <v>45016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89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92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92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92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IF(T$49="Y",Feb!H55,0)</f>
        <v>0</v>
      </c>
      <c r="I55" s="92">
        <f>IF(T$49="Y",Feb!I55,0)</f>
        <v>0</v>
      </c>
      <c r="J55" s="92">
        <f>IF(T$49="Y",Feb!J55,0)</f>
        <v>0</v>
      </c>
      <c r="K55" s="92">
        <f>IF(T$49="Y",Feb!K55,I55*J55)</f>
        <v>0</v>
      </c>
      <c r="L55" s="92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Mar!M39+1</f>
        <v>45167</v>
      </c>
      <c r="L9" s="203" t="s">
        <v>76</v>
      </c>
      <c r="M9" s="205">
        <f>K9+6</f>
        <v>45173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45174</v>
      </c>
      <c r="L19" s="203" t="s">
        <v>76</v>
      </c>
      <c r="M19" s="205">
        <f>K19+6</f>
        <v>45180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45181</v>
      </c>
      <c r="L29" s="203" t="s">
        <v>76</v>
      </c>
      <c r="M29" s="205">
        <f>K29+6</f>
        <v>45187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45188</v>
      </c>
      <c r="L39" s="203" t="s">
        <v>76</v>
      </c>
      <c r="M39" s="205">
        <f>K39+6</f>
        <v>45194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45195</v>
      </c>
      <c r="L49" s="203" t="s">
        <v>76</v>
      </c>
      <c r="M49" s="205">
        <f>K49+6</f>
        <v>45201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DATE(2023,4,1)</f>
        <v>45017</v>
      </c>
      <c r="L59" s="203" t="s">
        <v>76</v>
      </c>
      <c r="M59" s="205">
        <f>DATE(2023,4,30)</f>
        <v>45046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45202</v>
      </c>
      <c r="L9" s="203" t="s">
        <v>76</v>
      </c>
      <c r="M9" s="205">
        <f>Admin!B188</f>
        <v>45208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99" t="str">
        <f>IF(E11=" "," ",IF(T$9="Y",Apr!M51,IF((H11+K11+L11)&gt;0,H11+K11+L11,"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00" t="str">
        <f>IF(E12=" "," ",IF(T$9="Y",Apr!M52,IF((H12+K12+L12)&gt;0,H12+K12+L12,"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00" t="str">
        <f>IF(E13=" "," ",IF(T$9="Y",Apr!M53,IF((H13+K13+L13)&gt;0,H13+K13+L13,"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00" t="str">
        <f>IF(E14=" "," ",IF(T$9="Y",Apr!M54,IF((H14+K14+L14)&gt;0,H14+K14+L14,"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247" t="str">
        <f>IF(E15=" "," ",IF(T$9="Y",Apr!M55,IF((H15+K15+L15)&gt;0,H15+K15+L15,"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45209</v>
      </c>
      <c r="L19" s="203" t="s">
        <v>76</v>
      </c>
      <c r="M19" s="205">
        <f>K19+6</f>
        <v>45215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45216</v>
      </c>
      <c r="L29" s="203" t="s">
        <v>76</v>
      </c>
      <c r="M29" s="205">
        <f>K29+6</f>
        <v>45222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45223</v>
      </c>
      <c r="L39" s="203" t="s">
        <v>76</v>
      </c>
      <c r="M39" s="205">
        <f>K39+6</f>
        <v>45229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DATE(2023,5,1)</f>
        <v>45047</v>
      </c>
      <c r="L49" s="203" t="s">
        <v>76</v>
      </c>
      <c r="M49" s="205">
        <f>DATE(2023,5,31)</f>
        <v>45077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45230</v>
      </c>
      <c r="L9" s="203" t="s">
        <v>76</v>
      </c>
      <c r="M9" s="205">
        <f>K9+6</f>
        <v>45236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45237</v>
      </c>
      <c r="L19" s="203" t="s">
        <v>76</v>
      </c>
      <c r="M19" s="205">
        <f>K19+6</f>
        <v>45243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45244</v>
      </c>
      <c r="L29" s="203" t="s">
        <v>76</v>
      </c>
      <c r="M29" s="205">
        <f>K29+6</f>
        <v>45250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45251</v>
      </c>
      <c r="L39" s="203" t="s">
        <v>76</v>
      </c>
      <c r="M39" s="205">
        <f>K39+6</f>
        <v>45257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DATE(2023,6,1)</f>
        <v>45078</v>
      </c>
      <c r="L49" s="203" t="s">
        <v>76</v>
      </c>
      <c r="M49" s="205">
        <f>DATE(2023,6,30)</f>
        <v>45107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Jun!M39+1</f>
        <v>45258</v>
      </c>
      <c r="L9" s="203" t="s">
        <v>76</v>
      </c>
      <c r="M9" s="205">
        <f>K9+6</f>
        <v>45264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45265</v>
      </c>
      <c r="L19" s="203" t="s">
        <v>76</v>
      </c>
      <c r="M19" s="205">
        <f>K19+6</f>
        <v>45271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45272</v>
      </c>
      <c r="L29" s="203" t="s">
        <v>76</v>
      </c>
      <c r="M29" s="205">
        <f>K29+6</f>
        <v>45278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45279</v>
      </c>
      <c r="L39" s="203" t="s">
        <v>76</v>
      </c>
      <c r="M39" s="205">
        <f>K39+6</f>
        <v>45285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45286</v>
      </c>
      <c r="L49" s="203" t="s">
        <v>76</v>
      </c>
      <c r="M49" s="205">
        <f>K49+6</f>
        <v>45292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DATE(2023,7,1)</f>
        <v>45108</v>
      </c>
      <c r="L59" s="203" t="s">
        <v>76</v>
      </c>
      <c r="M59" s="205">
        <f>DATE(2023,7,31)</f>
        <v>45138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Jul!M49+1</f>
        <v>45293</v>
      </c>
      <c r="L9" s="203" t="s">
        <v>76</v>
      </c>
      <c r="M9" s="205">
        <f>K9+6</f>
        <v>45299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110" t="str">
        <f>IF(E11=" "," ",IF(T$9="Y",Jul!M51,IF((H11+K11+L11)&gt;0,H11+K11+L11,"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11" t="str">
        <f>IF(E12=" "," ",IF(T$9="Y",Jul!M52,IF((H12+K12+L12)&gt;0,H12+K12+L12,"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11" t="str">
        <f>IF(E13=" "," ",IF(T$9="Y",Jul!M53,IF((H13+K13+L13)&gt;0,H13+K13+L13,"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11" t="str">
        <f>IF(E14=" "," ",IF(T$9="Y",Jul!M54,IF((H14+K14+L14)&gt;0,H14+K14+L14,"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111" t="str">
        <f>IF(E15=" "," ",IF(T$9="Y",Jul!M55,IF((H15+K15+L15)&gt;0,H15+K15+L15,"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45300</v>
      </c>
      <c r="L19" s="203" t="s">
        <v>76</v>
      </c>
      <c r="M19" s="205">
        <f>K19+6</f>
        <v>45306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45307</v>
      </c>
      <c r="L29" s="203" t="s">
        <v>76</v>
      </c>
      <c r="M29" s="205">
        <f>K29+6</f>
        <v>45313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45314</v>
      </c>
      <c r="L39" s="203" t="s">
        <v>76</v>
      </c>
      <c r="M39" s="205">
        <f>K39+6</f>
        <v>45320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DATE(2023,8,1)</f>
        <v>45139</v>
      </c>
      <c r="L49" s="203" t="s">
        <v>76</v>
      </c>
      <c r="M49" s="205">
        <f>DATE(2023,8,31)</f>
        <v>45169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Aug!M39+1</f>
        <v>45321</v>
      </c>
      <c r="L9" s="203" t="s">
        <v>76</v>
      </c>
      <c r="M9" s="205">
        <f>K9+6</f>
        <v>45327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IF(T$19="Y",Aug!L45,0)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45328</v>
      </c>
      <c r="L19" s="203" t="s">
        <v>76</v>
      </c>
      <c r="M19" s="205">
        <f>K19+6</f>
        <v>45334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45335</v>
      </c>
      <c r="L29" s="203" t="s">
        <v>76</v>
      </c>
      <c r="M29" s="205">
        <f>K29+6</f>
        <v>45341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45342</v>
      </c>
      <c r="L39" s="203" t="s">
        <v>76</v>
      </c>
      <c r="M39" s="205">
        <f>K39+6</f>
        <v>45348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DATE(2023,9,1)</f>
        <v>45170</v>
      </c>
      <c r="L49" s="203" t="s">
        <v>76</v>
      </c>
      <c r="M49" s="205">
        <f>DATE(2023,9,30)</f>
        <v>45199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Sep!M39+1</f>
        <v>45349</v>
      </c>
      <c r="L9" s="203" t="s">
        <v>76</v>
      </c>
      <c r="M9" s="205">
        <f>K9+6</f>
        <v>45355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45356</v>
      </c>
      <c r="L19" s="203" t="s">
        <v>76</v>
      </c>
      <c r="M19" s="205">
        <f>K19+6</f>
        <v>45362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45363</v>
      </c>
      <c r="L29" s="203" t="s">
        <v>76</v>
      </c>
      <c r="M29" s="205">
        <f>K29+6</f>
        <v>45369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45370</v>
      </c>
      <c r="L39" s="203" t="s">
        <v>76</v>
      </c>
      <c r="M39" s="205">
        <f>K39+6</f>
        <v>45376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45377</v>
      </c>
      <c r="L49" s="203" t="s">
        <v>76</v>
      </c>
      <c r="M49" s="205">
        <f>K49+6</f>
        <v>45383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45384</v>
      </c>
      <c r="L59" s="203" t="s">
        <v>76</v>
      </c>
      <c r="M59" s="205">
        <f>K59+4</f>
        <v>45388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DATE(2023,10,1)</f>
        <v>45200</v>
      </c>
      <c r="L69" s="203" t="s">
        <v>76</v>
      </c>
      <c r="M69" s="205">
        <f>DATE(2023,10,31)</f>
        <v>45230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IF(T$69="Y",Sep!H51,0)</f>
        <v>0</v>
      </c>
      <c r="I71" s="89">
        <f>IF(T$69="Y",Sep!I51,0)</f>
        <v>0</v>
      </c>
      <c r="J71" s="89">
        <f>IF(T$69="Y",Sep!J51,0)</f>
        <v>0</v>
      </c>
      <c r="K71" s="89">
        <f>IF(T$69="Y",Sep!K51,I71*J71)</f>
        <v>0</v>
      </c>
      <c r="L71" s="110">
        <f>IF(T$69="Y",Sep!L51,0)</f>
        <v>0</v>
      </c>
      <c r="M71" s="99" t="str">
        <f>IF(E71=" "," ",IF(T$69="Y",Sep!M51,IF((H71+K71+L71)&gt;0,H71+K71+L71,"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IF(Employee!H$35=E$69,Employee!D$34+SUM(M71)+Sep!V51,SUM(M71)+Sep!V51)</f>
        <v>0</v>
      </c>
      <c r="W71" s="49">
        <f>IF(Employee!H$35=E$69,Employee!D$35+SUM(N71)+Sep!W51,SUM(N71)+Sep!W51)</f>
        <v>0</v>
      </c>
      <c r="X71" s="49">
        <f>IF(O71=" ",Sep!X51,O71+Sep!X51)</f>
        <v>0</v>
      </c>
      <c r="Y71" s="49">
        <f>IF(P71=" ",Sep!Y51,P71+Sep!Y51)</f>
        <v>0</v>
      </c>
      <c r="Z71" s="49">
        <f>IF(Q71=" ",Sep!Z51,Q71+Sep!Z51)</f>
        <v>0</v>
      </c>
      <c r="AA71" s="49">
        <f>IF(R71=" ",Sep!AA51,R71+Sep!AA51)</f>
        <v>0</v>
      </c>
      <c r="AC71" s="49">
        <f>IF(T71=" ",Sep!AC51,T71+Sep!AC51)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IF(T$69="Y",Sep!H52,0)</f>
        <v>0</v>
      </c>
      <c r="I72" s="92">
        <f>IF(T$69="Y",Sep!I52,0)</f>
        <v>0</v>
      </c>
      <c r="J72" s="92">
        <f>IF(T$69="Y",Sep!J52,0)</f>
        <v>0</v>
      </c>
      <c r="K72" s="92">
        <f>IF(T$69="Y",Sep!K52,I72*J72)</f>
        <v>0</v>
      </c>
      <c r="L72" s="111">
        <f>IF(T$69="Y",Sep!L52,0)</f>
        <v>0</v>
      </c>
      <c r="M72" s="100" t="str">
        <f>IF(E72=" "," ",IF(T$69="Y",Sep!M52,IF((H72+K72+L72)&gt;0,H72+K72+L72,"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IF(Employee!H$61=E$69,Employee!D$60+SUM(M72)+Sep!V52,SUM(M72)+Sep!V52)</f>
        <v>0</v>
      </c>
      <c r="W72" s="49">
        <f>IF(Employee!H$61=E$69,Employee!D$61+SUM(N72)+Sep!W52,SUM(N72)+Sep!W52)</f>
        <v>0</v>
      </c>
      <c r="X72" s="49">
        <f>IF(O72=" ",Sep!X52,O72+Sep!X52)</f>
        <v>0</v>
      </c>
      <c r="Y72" s="49">
        <f>IF(P72=" ",Sep!Y52,P72+Sep!Y52)</f>
        <v>0</v>
      </c>
      <c r="Z72" s="49">
        <f>IF(Q72=" ",Sep!Z52,Q72+Sep!Z52)</f>
        <v>0</v>
      </c>
      <c r="AA72" s="49">
        <f>IF(R72=" ",Sep!AA52,R72+Sep!AA52)</f>
        <v>0</v>
      </c>
      <c r="AC72" s="49">
        <f>IF(T72=" ",Sep!AC52,T72+Sep!AC52)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IF(T$69="Y",Sep!H53,0)</f>
        <v>0</v>
      </c>
      <c r="I73" s="92">
        <f>IF(T$69="Y",Sep!I53,0)</f>
        <v>0</v>
      </c>
      <c r="J73" s="92">
        <f>IF(T$69="Y",Sep!J53,0)</f>
        <v>0</v>
      </c>
      <c r="K73" s="92">
        <f>IF(T$69="Y",Sep!K53,I73*J73)</f>
        <v>0</v>
      </c>
      <c r="L73" s="111">
        <f>IF(T$69="Y",Sep!L53,0)</f>
        <v>0</v>
      </c>
      <c r="M73" s="100" t="str">
        <f>IF(E73=" "," ",IF(T$69="Y",Sep!M53,IF((H73+K73+L73)&gt;0,H73+K73+L73,"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IF(Employee!H$87=E$69,Employee!D$86+SUM(M73)+Sep!V53,SUM(M73)+Sep!V53)</f>
        <v>0</v>
      </c>
      <c r="W73" s="49">
        <f>IF(Employee!H$87=E$69,Employee!D$87+SUM(N73)+Sep!W53,SUM(N73)+Sep!W53)</f>
        <v>0</v>
      </c>
      <c r="X73" s="49">
        <f>IF(O73=" ",Sep!X53,O73+Sep!X53)</f>
        <v>0</v>
      </c>
      <c r="Y73" s="49">
        <f>IF(P73=" ",Sep!Y53,P73+Sep!Y53)</f>
        <v>0</v>
      </c>
      <c r="Z73" s="49">
        <f>IF(Q73=" ",Sep!Z53,Q73+Sep!Z53)</f>
        <v>0</v>
      </c>
      <c r="AA73" s="49">
        <f>IF(R73=" ",Sep!AA53,R73+Sep!AA53)</f>
        <v>0</v>
      </c>
      <c r="AC73" s="49">
        <f>IF(T73=" ",Sep!AC53,T73+Sep!AC53)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IF(T$69="Y",Sep!H54,0)</f>
        <v>0</v>
      </c>
      <c r="I74" s="92">
        <f>IF(T$69="Y",Sep!I54,0)</f>
        <v>0</v>
      </c>
      <c r="J74" s="92">
        <f>IF(T$69="Y",Sep!J54,0)</f>
        <v>0</v>
      </c>
      <c r="K74" s="92">
        <f>IF(T$69="Y",Sep!K54,I74*J74)</f>
        <v>0</v>
      </c>
      <c r="L74" s="111">
        <f>IF(T$69="Y",Sep!L54,0)</f>
        <v>0</v>
      </c>
      <c r="M74" s="100" t="str">
        <f>IF(E74=" "," ",IF(T$69="Y",Sep!M54,IF((H74+K74+L74)&gt;0,H74+K74+L74,"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IF(Employee!H$113=E$69,Employee!D$112+SUM(M74)+Sep!V54,SUM(M74)+Sep!V54)</f>
        <v>0</v>
      </c>
      <c r="W74" s="49">
        <f>IF(Employee!H$113=E$69,Employee!D$113+SUM(N74)+Sep!W54,SUM(N74)+Sep!W54)</f>
        <v>0</v>
      </c>
      <c r="X74" s="49">
        <f>IF(O74=" ",Sep!X54,O74+Sep!X54)</f>
        <v>0</v>
      </c>
      <c r="Y74" s="49">
        <f>IF(P74=" ",Sep!Y54,P74+Sep!Y54)</f>
        <v>0</v>
      </c>
      <c r="Z74" s="49">
        <f>IF(Q74=" ",Sep!Z54,Q74+Sep!Z54)</f>
        <v>0</v>
      </c>
      <c r="AA74" s="49">
        <f>IF(R74=" ",Sep!AA54,R74+Sep!AA54)</f>
        <v>0</v>
      </c>
      <c r="AC74" s="49">
        <f>IF(T74=" ",Sep!AC54,T74+Sep!AC54)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IF(T$69="Y",Sep!H55,0)</f>
        <v>0</v>
      </c>
      <c r="I75" s="245">
        <f>IF(T$69="Y",Sep!I55,0)</f>
        <v>0</v>
      </c>
      <c r="J75" s="245">
        <f>IF(T$69="Y",Sep!J55,0)</f>
        <v>0</v>
      </c>
      <c r="K75" s="245">
        <f>IF(T$69="Y",Sep!K55,I75*J75)</f>
        <v>0</v>
      </c>
      <c r="L75" s="246">
        <f>IF(T$69="Y",Sep!L55,0)</f>
        <v>0</v>
      </c>
      <c r="M75" s="100" t="str">
        <f>IF(E75=" "," ",IF(T$69="Y",Sep!M55,IF((H75+K75+L75)&gt;0,H75+K75+L75,"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IF(Employee!H$139=E$69,Employee!D$138+SUM(M75)+Sep!V55,SUM(M75)+Sep!V55)</f>
        <v>0</v>
      </c>
      <c r="W75" s="49">
        <f>IF(Employee!H$139=E$69,Employee!D$139+SUM(N75)+Sep!W55,SUM(N75)+Sep!W55)</f>
        <v>0</v>
      </c>
      <c r="X75" s="49">
        <f>IF(O75=" ",Sep!X55,O75+Sep!X55)</f>
        <v>0</v>
      </c>
      <c r="Y75" s="49">
        <f>IF(P75=" ",Sep!Y55,P75+Sep!Y55)</f>
        <v>0</v>
      </c>
      <c r="Z75" s="49">
        <f>IF(Q75=" ",Sep!Z55,Q75+Sep!Z55)</f>
        <v>0</v>
      </c>
      <c r="AA75" s="49">
        <f>IF(R75=" ",Sep!AA55,R75+Sep!AA55)</f>
        <v>0</v>
      </c>
      <c r="AC75" s="49">
        <f>IF(T75=" ",Sep!AC55,T75+Sep!AC55)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AD80+Sep!AD65</f>
        <v>0</v>
      </c>
      <c r="AE85" s="158">
        <f>AE80+Sep!AE65</f>
        <v>0</v>
      </c>
      <c r="AF85" s="158">
        <f>AF80+Sep!AF65</f>
        <v>0</v>
      </c>
      <c r="AG85" s="158">
        <f>AG80+Sep!AG65</f>
        <v>0</v>
      </c>
    </row>
    <row r="86" spans="6:33" ht="14" thickTop="1" x14ac:dyDescent="0.15"/>
    <row r="87" spans="6:33" x14ac:dyDescent="0.15">
      <c r="AD87" s="162"/>
      <c r="AE87" s="158">
        <f>AE82+Sep!AE67</f>
        <v>0</v>
      </c>
      <c r="AF87" s="158">
        <f>AF82+Sep!AF67</f>
        <v>0</v>
      </c>
      <c r="AG87" s="158">
        <f>AG82+Sep!AG67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Nov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45025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45025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45025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45025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45025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DATE(2023,4,30)</f>
        <v>45046</v>
      </c>
      <c r="C4" s="229">
        <f>DATE(2023,5,19)</f>
        <v>45065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DATE(2023,5,31)</f>
        <v>45077</v>
      </c>
      <c r="C5" s="229">
        <f>DATE(2023,6,19)</f>
        <v>45096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DATE(2023,6,30)</f>
        <v>45107</v>
      </c>
      <c r="C6" s="229">
        <f>DATE(2023,7,19)</f>
        <v>45126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DATE(2023,7,31)</f>
        <v>45138</v>
      </c>
      <c r="C7" s="229">
        <f>DATE(2023,8,19)</f>
        <v>45157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DATE(2023,8,31)</f>
        <v>45169</v>
      </c>
      <c r="C8" s="229">
        <f>DATE(2023,9,19)</f>
        <v>45188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DATE(2023,9,30)</f>
        <v>45199</v>
      </c>
      <c r="C9" s="229">
        <f>DATE(2023,10,19)</f>
        <v>45218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DATE(2023,10,31)</f>
        <v>45230</v>
      </c>
      <c r="C10" s="229">
        <f>DATE(2023,11,19)</f>
        <v>45249</v>
      </c>
      <c r="D10" s="227">
        <f>Oct!T1+Oct!O1</f>
        <v>0</v>
      </c>
      <c r="E10" s="228">
        <f>Oct!N1</f>
        <v>0</v>
      </c>
      <c r="F10" s="228">
        <f>Oct!AD80+Oct!AE80+Oct!AF80+Oct!AG80</f>
        <v>0</v>
      </c>
      <c r="G10" s="228">
        <f>Oct!AE82+Oct!AF82+Oct!AG82</f>
        <v>0</v>
      </c>
      <c r="H10" s="228">
        <f>Oct!P1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DATE(2023,11,30)</f>
        <v>45260</v>
      </c>
      <c r="C11" s="229">
        <f>DATE(2023,12,19)</f>
        <v>45279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DATE(2023,12,31)</f>
        <v>45291</v>
      </c>
      <c r="C12" s="229">
        <f>DATE(2024,1,19)</f>
        <v>45310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DATE(2024,1,31)</f>
        <v>45322</v>
      </c>
      <c r="C13" s="229">
        <f>DATE(2024,2,19)</f>
        <v>45341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DATE(2024,2,29)</f>
        <v>45351</v>
      </c>
      <c r="C14" s="229">
        <f>DATE(2024,3,19)</f>
        <v>45370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DATE(2024,3,31)</f>
        <v>45382</v>
      </c>
      <c r="C15" s="229">
        <f>DATE(2024,4,19)</f>
        <v>45401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45387</v>
      </c>
      <c r="J1" s="493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TEXT(DATE(YEAR(B$2),MONTH(B$2)+(D2-1)+7,1),"Mmm")</f>
        <v>Nov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TEXT(DATE(YEAR(B$2),MONTH(B$2)+(D3-1)+7,1),"Mmm")</f>
        <v>Nov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Nov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Nov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Nov</v>
      </c>
      <c r="B6" s="308">
        <f t="shared" si="1"/>
        <v>45026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Nov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Nov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Nov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Nov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Nov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Nov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Nov</v>
      </c>
      <c r="B13" s="308">
        <f t="shared" si="1"/>
        <v>45033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Nov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Nov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Nov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Nov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Nov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Nov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Nov</v>
      </c>
      <c r="B20" s="308">
        <f t="shared" si="1"/>
        <v>45040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Nov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Nov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Nov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Nov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Nov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Nov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Nov</v>
      </c>
      <c r="B27" s="308">
        <f t="shared" si="1"/>
        <v>45047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Dec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Dec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Dec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Dec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Dec</v>
      </c>
      <c r="B32" s="308">
        <f t="shared" si="1"/>
        <v>45052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Dec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Dec</v>
      </c>
      <c r="B34" s="308">
        <f t="shared" si="1"/>
        <v>45054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Dec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Dec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Dec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Dec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Dec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Dec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Dec</v>
      </c>
      <c r="B41" s="308">
        <f t="shared" si="1"/>
        <v>45061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Dec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Dec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Dec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Dec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Dec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Dec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Dec</v>
      </c>
      <c r="B48" s="308">
        <f t="shared" si="1"/>
        <v>45068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Dec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Dec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Dec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Dec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Dec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Dec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Dec</v>
      </c>
      <c r="B55" s="308">
        <f t="shared" si="1"/>
        <v>45075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Jan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Jan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Jan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Jan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Jan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Jan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Jan</v>
      </c>
      <c r="B62" s="308">
        <f t="shared" si="1"/>
        <v>45082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Jan</v>
      </c>
      <c r="B63" s="308">
        <f t="shared" si="1"/>
        <v>45083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Jan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Jan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Jan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TEXT(DATE(YEAR(B$2),MONTH(B$2)+(D67-1)+7,1),"Mmm")</f>
        <v>Jan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Jan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Jan</v>
      </c>
      <c r="B69" s="308">
        <f t="shared" si="3"/>
        <v>45089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Jan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Jan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Jan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Jan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Jan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Jan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Jan</v>
      </c>
      <c r="B76" s="308">
        <f t="shared" si="3"/>
        <v>45096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Jan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Jan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Jan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Jan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Jan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Jan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Jan</v>
      </c>
      <c r="B83" s="308">
        <f t="shared" si="3"/>
        <v>45103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Jan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Jan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Jan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Jan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Jan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Jan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Jan</v>
      </c>
      <c r="B90" s="308">
        <f t="shared" si="3"/>
        <v>45110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Feb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Feb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Feb</v>
      </c>
      <c r="B93" s="308">
        <f t="shared" si="3"/>
        <v>45113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Feb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Feb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Feb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Feb</v>
      </c>
      <c r="B97" s="308">
        <f t="shared" si="3"/>
        <v>45117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Feb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Feb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Feb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Feb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Feb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Feb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Feb</v>
      </c>
      <c r="B104" s="308">
        <f t="shared" si="3"/>
        <v>45124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Feb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Feb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Feb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Feb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Feb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Feb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Feb</v>
      </c>
      <c r="B111" s="308">
        <f t="shared" si="3"/>
        <v>45131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Feb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Feb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Feb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Feb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Feb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Feb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Feb</v>
      </c>
      <c r="B118" s="308">
        <f t="shared" si="3"/>
        <v>45138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Mar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Mar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Mar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Mar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Mar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Mar</v>
      </c>
      <c r="B124" s="308">
        <f t="shared" si="3"/>
        <v>45144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Mar</v>
      </c>
      <c r="B125" s="308">
        <f t="shared" si="3"/>
        <v>45145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Mar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Mar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Mar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Mar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Mar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TEXT(DATE(YEAR(B$2),MONTH(B$2)+(D131-1)+7,1),"Mmm")</f>
        <v>Mar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Mar</v>
      </c>
      <c r="B132" s="308">
        <f t="shared" ref="B132:B195" si="5">B131+1</f>
        <v>45152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Mar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Mar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Mar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Mar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Mar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Mar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Mar</v>
      </c>
      <c r="B139" s="308">
        <f t="shared" si="5"/>
        <v>45159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Mar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Mar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Mar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Mar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Mar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Mar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Mar</v>
      </c>
      <c r="B146" s="308">
        <f t="shared" si="5"/>
        <v>45166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Apr</v>
      </c>
      <c r="B147" s="308">
        <f t="shared" si="5"/>
        <v>45167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Apr</v>
      </c>
      <c r="B148" s="308">
        <f t="shared" si="5"/>
        <v>45168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Apr</v>
      </c>
      <c r="B149" s="308">
        <f t="shared" si="5"/>
        <v>45169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Apr</v>
      </c>
      <c r="B150" s="308">
        <f t="shared" si="5"/>
        <v>45170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Apr</v>
      </c>
      <c r="B151" s="308">
        <f t="shared" si="5"/>
        <v>45171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Apr</v>
      </c>
      <c r="B152" s="308">
        <f t="shared" si="5"/>
        <v>45172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Apr</v>
      </c>
      <c r="B153" s="308">
        <f t="shared" si="5"/>
        <v>45173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Apr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Apr</v>
      </c>
      <c r="B155" s="321">
        <f t="shared" si="5"/>
        <v>45175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Apr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Apr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Apr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Apr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Apr</v>
      </c>
      <c r="B160" s="308">
        <f t="shared" si="5"/>
        <v>45180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Apr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Apr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Apr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Apr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Apr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Apr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Apr</v>
      </c>
      <c r="B167" s="308">
        <f t="shared" si="5"/>
        <v>45187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Apr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Apr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Apr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Apr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Apr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Apr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Apr</v>
      </c>
      <c r="B174" s="308">
        <f t="shared" si="5"/>
        <v>45194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Apr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Apr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Apr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Apr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Apr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Apr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Apr</v>
      </c>
      <c r="B181" s="308">
        <f t="shared" si="5"/>
        <v>45201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May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May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May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May</v>
      </c>
      <c r="B185" s="321">
        <f t="shared" si="5"/>
        <v>45205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May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May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May</v>
      </c>
      <c r="B188" s="308">
        <f t="shared" si="5"/>
        <v>45208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May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May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May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May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May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May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TEXT(DATE(YEAR(B$2),MONTH(B$2)+(D195-1)+7,1),"Mmm")</f>
        <v>May</v>
      </c>
      <c r="B195" s="308">
        <f t="shared" si="5"/>
        <v>45215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May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May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May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May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May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May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May</v>
      </c>
      <c r="B202" s="308">
        <f t="shared" si="7"/>
        <v>45222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May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May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May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May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May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May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May</v>
      </c>
      <c r="B209" s="308">
        <f t="shared" si="7"/>
        <v>45229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Jun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Jun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Jun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Jun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Jun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Jun</v>
      </c>
      <c r="B215" s="308">
        <f t="shared" si="7"/>
        <v>45235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Jun</v>
      </c>
      <c r="B216" s="321">
        <f t="shared" si="7"/>
        <v>45236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Jun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Jun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Jun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Jun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Jun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Jun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Jun</v>
      </c>
      <c r="B223" s="308">
        <f t="shared" si="7"/>
        <v>45243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Jun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Jun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Jun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Jun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Jun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Jun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Jun</v>
      </c>
      <c r="B230" s="308">
        <f t="shared" si="7"/>
        <v>45250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Jun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Jun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Jun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Jun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Jun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Jun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Jun</v>
      </c>
      <c r="B237" s="308">
        <f t="shared" si="7"/>
        <v>45257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Jul</v>
      </c>
      <c r="B238" s="308">
        <f t="shared" si="7"/>
        <v>45258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Jul</v>
      </c>
      <c r="B239" s="308">
        <f t="shared" si="7"/>
        <v>45259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Jul</v>
      </c>
      <c r="B240" s="308">
        <f t="shared" si="7"/>
        <v>45260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Jul</v>
      </c>
      <c r="B241" s="308">
        <f t="shared" si="7"/>
        <v>45261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Jul</v>
      </c>
      <c r="B242" s="308">
        <f t="shared" si="7"/>
        <v>45262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Jul</v>
      </c>
      <c r="B243" s="308">
        <f t="shared" si="7"/>
        <v>45263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Jul</v>
      </c>
      <c r="B244" s="308">
        <f t="shared" si="7"/>
        <v>45264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Jul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Jul</v>
      </c>
      <c r="B246" s="321">
        <f t="shared" si="7"/>
        <v>45266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Jul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Jul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Jul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Jul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Jul</v>
      </c>
      <c r="B251" s="308">
        <f t="shared" si="7"/>
        <v>45271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Jul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Jul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Jul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Jul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Jul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Jul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Jul</v>
      </c>
      <c r="B258" s="308">
        <f t="shared" si="7"/>
        <v>45278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TEXT(DATE(YEAR(B$2),MONTH(B$2)+(D259-1)+7,1),"Mmm")</f>
        <v>Jul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Jul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Jul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Jul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Jul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Jul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Jul</v>
      </c>
      <c r="B265" s="308">
        <f t="shared" si="9"/>
        <v>45285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Jul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Jul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Jul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Jul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Jul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Jul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Jul</v>
      </c>
      <c r="B272" s="308">
        <f t="shared" si="9"/>
        <v>45292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Aug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Aug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Aug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Aug</v>
      </c>
      <c r="B276" s="321">
        <f t="shared" si="9"/>
        <v>45296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Aug</v>
      </c>
      <c r="B277" s="321">
        <f t="shared" si="9"/>
        <v>45297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Aug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Aug</v>
      </c>
      <c r="B279" s="308">
        <f t="shared" si="9"/>
        <v>45299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Aug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Aug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Aug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Aug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Aug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Aug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Aug</v>
      </c>
      <c r="B286" s="308">
        <f t="shared" si="9"/>
        <v>45306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Aug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Aug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Aug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Aug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Aug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Aug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Aug</v>
      </c>
      <c r="B293" s="308">
        <f t="shared" si="9"/>
        <v>45313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Aug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Aug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Aug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Aug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Aug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Aug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Aug</v>
      </c>
      <c r="B300" s="308">
        <f t="shared" si="9"/>
        <v>45320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Sep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Sep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Sep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Sep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Sep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Sep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Sep</v>
      </c>
      <c r="B307" s="308">
        <f t="shared" si="9"/>
        <v>45327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Sep</v>
      </c>
      <c r="B308" s="321">
        <f t="shared" si="9"/>
        <v>45328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Sep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Sep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Sep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Sep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Sep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Sep</v>
      </c>
      <c r="B314" s="308">
        <f t="shared" si="9"/>
        <v>45334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Sep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Sep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Sep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Sep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Sep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Sep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Sep</v>
      </c>
      <c r="B321" s="308">
        <f t="shared" si="9"/>
        <v>45341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Sep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TEXT(DATE(YEAR(B$2),MONTH(B$2)+(D323-1)+7,1),"Mmm")</f>
        <v>Sep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Sep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Sep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Sep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Sep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Sep</v>
      </c>
      <c r="B328" s="308">
        <f t="shared" si="11"/>
        <v>45348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Oct</v>
      </c>
      <c r="B329" s="308">
        <f t="shared" si="11"/>
        <v>45349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Oct</v>
      </c>
      <c r="B330" s="308">
        <f t="shared" si="11"/>
        <v>45350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Oct</v>
      </c>
      <c r="B331" s="308">
        <f t="shared" si="11"/>
        <v>45351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Oct</v>
      </c>
      <c r="B332" s="308">
        <f t="shared" si="11"/>
        <v>45352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Oct</v>
      </c>
      <c r="B333" s="308">
        <f t="shared" si="11"/>
        <v>45353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Oct</v>
      </c>
      <c r="B334" s="308">
        <f t="shared" si="11"/>
        <v>45354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Oct</v>
      </c>
      <c r="B335" s="308">
        <f t="shared" si="11"/>
        <v>45355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Oct</v>
      </c>
      <c r="B336" s="321">
        <f t="shared" si="11"/>
        <v>45356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Oct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Oct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Oct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Oct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Oct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Oct</v>
      </c>
      <c r="B342" s="308">
        <f t="shared" si="11"/>
        <v>45362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Oct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Oct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Oct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Oct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Oct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Oct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Oct</v>
      </c>
      <c r="B349" s="308">
        <f t="shared" si="11"/>
        <v>45369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Oct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Oct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Oct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Oct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Oct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Oct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Oct</v>
      </c>
      <c r="B356" s="308">
        <f t="shared" si="11"/>
        <v>45376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Oct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Oct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Oct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Oct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Oct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Oct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Oct</v>
      </c>
      <c r="B363" s="308">
        <f t="shared" si="11"/>
        <v>45383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Oct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Oct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Oct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Oct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Oct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Oct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Oct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Oct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Oct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Oct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Oct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Oct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Oct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Oct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Oct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Oct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Oct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Oct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