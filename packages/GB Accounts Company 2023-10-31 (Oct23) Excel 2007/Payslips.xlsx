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Nov" sheetId="12" r:id="rId2"/>
    <sheet name="Dec" sheetId="11" r:id="rId3"/>
    <sheet name="Jan" sheetId="10" r:id="rId4"/>
    <sheet name="Feb" sheetId="9" r:id="rId5"/>
    <sheet name="Mar" sheetId="8" r:id="rId6"/>
    <sheet name="Apr" sheetId="17" r:id="rId7"/>
    <sheet name="May" sheetId="16" r:id="rId8"/>
    <sheet name="Jun" sheetId="15" r:id="rId9"/>
    <sheet name="Jul" sheetId="14" r:id="rId10"/>
    <sheet name="Aug" sheetId="13" r:id="rId11"/>
    <sheet name="Sep" sheetId="19" r:id="rId12"/>
    <sheet name="Oct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<sst xmlns="http://schemas.openxmlformats.org/spreadsheetml/2006/main" count="1383" uniqueCount="138">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</sst>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45022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45023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45024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45025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45026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45027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45028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45022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45029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45030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45031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45032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45033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45034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45035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45036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45037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45038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45039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45040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45041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45042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45043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45044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45045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45046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45047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45048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45049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45050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45051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45052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45053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45054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45055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45056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45057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45058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45059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45060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45061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45062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45063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45064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45065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45066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45067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45068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45069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45070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45071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45072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45073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45074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45075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45076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45077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45078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45079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45080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45081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45082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45083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45084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45085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45086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45087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45088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45089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45090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45091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45092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45093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45094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45095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45096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45097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45098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45099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45100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45101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45102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45103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45104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45105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45106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45107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45108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45109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45110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45111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45112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45113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45114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45115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45116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45117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45118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45119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45120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45121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45122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45123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45124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45125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45126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45127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45128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45129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45130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45131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45132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45133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45134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45135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45136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45137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45138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45139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45140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45141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45142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45143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45144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45145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45146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45147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45148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45149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45150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45151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45152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45153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45154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45155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45156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45157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45158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45159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45160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45161</v>
      </c>
    </row>
    <row r="142" spans="1:23" x14ac:dyDescent="0.15">
      <c r="W142" s="206">
        <f>Admin!B142</f>
        <v>45162</v>
      </c>
    </row>
    <row r="143" spans="1:23" x14ac:dyDescent="0.15">
      <c r="W143" s="206">
        <f>Admin!B143</f>
        <v>45163</v>
      </c>
    </row>
    <row r="144" spans="1:23" x14ac:dyDescent="0.15">
      <c r="W144" s="206">
        <f>Admin!B144</f>
        <v>45164</v>
      </c>
    </row>
    <row r="145" spans="23:23" x14ac:dyDescent="0.15">
      <c r="W145" s="206">
        <f>Admin!B145</f>
        <v>45165</v>
      </c>
    </row>
    <row r="146" spans="23:23" x14ac:dyDescent="0.15">
      <c r="W146" s="206">
        <f>Admin!B146</f>
        <v>45166</v>
      </c>
    </row>
    <row r="147" spans="23:23" x14ac:dyDescent="0.15">
      <c r="W147" s="206">
        <f>Admin!B147</f>
        <v>45167</v>
      </c>
    </row>
    <row r="148" spans="23:23" x14ac:dyDescent="0.15">
      <c r="W148" s="206">
        <f>Admin!B148</f>
        <v>45168</v>
      </c>
    </row>
    <row r="149" spans="23:23" x14ac:dyDescent="0.15">
      <c r="W149" s="206">
        <f>Admin!B149</f>
        <v>45169</v>
      </c>
    </row>
    <row r="150" spans="23:23" x14ac:dyDescent="0.15">
      <c r="W150" s="206">
        <f>Admin!B150</f>
        <v>45170</v>
      </c>
    </row>
    <row r="151" spans="23:23" x14ac:dyDescent="0.15">
      <c r="W151" s="206">
        <f>Admin!B151</f>
        <v>45171</v>
      </c>
    </row>
    <row r="152" spans="23:23" x14ac:dyDescent="0.15">
      <c r="W152" s="206">
        <f>Admin!B152</f>
        <v>45172</v>
      </c>
    </row>
    <row r="153" spans="23:23" x14ac:dyDescent="0.15">
      <c r="W153" s="206">
        <f>Admin!B153</f>
        <v>45173</v>
      </c>
    </row>
    <row r="154" spans="23:23" x14ac:dyDescent="0.15">
      <c r="W154" s="206">
        <f>Admin!B154</f>
        <v>45174</v>
      </c>
    </row>
    <row r="155" spans="23:23" x14ac:dyDescent="0.15">
      <c r="W155" s="206">
        <f>Admin!B155</f>
        <v>45175</v>
      </c>
    </row>
    <row r="156" spans="23:23" x14ac:dyDescent="0.15">
      <c r="W156" s="206">
        <f>Admin!B156</f>
        <v>45176</v>
      </c>
    </row>
    <row r="157" spans="23:23" x14ac:dyDescent="0.15">
      <c r="W157" s="206">
        <f>Admin!B157</f>
        <v>45177</v>
      </c>
    </row>
    <row r="158" spans="23:23" x14ac:dyDescent="0.15">
      <c r="W158" s="206">
        <f>Admin!B158</f>
        <v>45178</v>
      </c>
    </row>
    <row r="159" spans="23:23" x14ac:dyDescent="0.15">
      <c r="W159" s="206">
        <f>Admin!B159</f>
        <v>45179</v>
      </c>
    </row>
    <row r="160" spans="23:23" x14ac:dyDescent="0.15">
      <c r="W160" s="206">
        <f>Admin!B160</f>
        <v>45180</v>
      </c>
    </row>
    <row r="161" spans="23:23" x14ac:dyDescent="0.15">
      <c r="W161" s="206">
        <f>Admin!B161</f>
        <v>45181</v>
      </c>
    </row>
    <row r="162" spans="23:23" x14ac:dyDescent="0.15">
      <c r="W162" s="206">
        <f>Admin!B162</f>
        <v>45182</v>
      </c>
    </row>
    <row r="163" spans="23:23" x14ac:dyDescent="0.15">
      <c r="W163" s="206">
        <f>Admin!B163</f>
        <v>45183</v>
      </c>
    </row>
    <row r="164" spans="23:23" x14ac:dyDescent="0.15">
      <c r="W164" s="206">
        <f>Admin!B164</f>
        <v>45184</v>
      </c>
    </row>
    <row r="165" spans="23:23" x14ac:dyDescent="0.15">
      <c r="W165" s="206">
        <f>Admin!B165</f>
        <v>45185</v>
      </c>
    </row>
    <row r="166" spans="23:23" x14ac:dyDescent="0.15">
      <c r="W166" s="206">
        <f>Admin!B166</f>
        <v>45186</v>
      </c>
    </row>
    <row r="167" spans="23:23" x14ac:dyDescent="0.15">
      <c r="W167" s="206">
        <f>Admin!B167</f>
        <v>45187</v>
      </c>
    </row>
    <row r="168" spans="23:23" x14ac:dyDescent="0.15">
      <c r="W168" s="206">
        <f>Admin!B168</f>
        <v>45188</v>
      </c>
    </row>
    <row r="169" spans="23:23" x14ac:dyDescent="0.15">
      <c r="W169" s="206">
        <f>Admin!B169</f>
        <v>45189</v>
      </c>
    </row>
    <row r="170" spans="23:23" x14ac:dyDescent="0.15">
      <c r="W170" s="206">
        <f>Admin!B170</f>
        <v>45190</v>
      </c>
    </row>
    <row r="171" spans="23:23" x14ac:dyDescent="0.15">
      <c r="W171" s="206">
        <f>Admin!B171</f>
        <v>45191</v>
      </c>
    </row>
    <row r="172" spans="23:23" x14ac:dyDescent="0.15">
      <c r="W172" s="206">
        <f>Admin!B172</f>
        <v>45192</v>
      </c>
    </row>
    <row r="173" spans="23:23" x14ac:dyDescent="0.15">
      <c r="W173" s="206">
        <f>Admin!B173</f>
        <v>45193</v>
      </c>
    </row>
    <row r="174" spans="23:23" x14ac:dyDescent="0.15">
      <c r="W174" s="206">
        <f>Admin!B174</f>
        <v>45194</v>
      </c>
    </row>
    <row r="175" spans="23:23" x14ac:dyDescent="0.15">
      <c r="W175" s="206">
        <f>Admin!B175</f>
        <v>45195</v>
      </c>
    </row>
    <row r="176" spans="23:23" x14ac:dyDescent="0.15">
      <c r="W176" s="206">
        <f>Admin!B176</f>
        <v>45196</v>
      </c>
    </row>
    <row r="177" spans="23:23" x14ac:dyDescent="0.15">
      <c r="W177" s="206">
        <f>Admin!B177</f>
        <v>45197</v>
      </c>
    </row>
    <row r="178" spans="23:23" x14ac:dyDescent="0.15">
      <c r="W178" s="206">
        <f>Admin!B178</f>
        <v>45198</v>
      </c>
    </row>
    <row r="179" spans="23:23" x14ac:dyDescent="0.15">
      <c r="W179" s="206">
        <f>Admin!B179</f>
        <v>45199</v>
      </c>
    </row>
    <row r="180" spans="23:23" x14ac:dyDescent="0.15">
      <c r="W180" s="206">
        <f>Admin!B180</f>
        <v>45200</v>
      </c>
    </row>
    <row r="181" spans="23:23" x14ac:dyDescent="0.15">
      <c r="W181" s="206">
        <f>Admin!B181</f>
        <v>45201</v>
      </c>
    </row>
    <row r="182" spans="23:23" x14ac:dyDescent="0.15">
      <c r="W182" s="206">
        <f>Admin!B182</f>
        <v>45202</v>
      </c>
    </row>
    <row r="183" spans="23:23" x14ac:dyDescent="0.15">
      <c r="W183" s="206">
        <f>Admin!B183</f>
        <v>45203</v>
      </c>
    </row>
    <row r="184" spans="23:23" x14ac:dyDescent="0.15">
      <c r="W184" s="206">
        <f>Admin!B184</f>
        <v>45204</v>
      </c>
    </row>
    <row r="185" spans="23:23" x14ac:dyDescent="0.15">
      <c r="W185" s="206">
        <f>Admin!B185</f>
        <v>45205</v>
      </c>
    </row>
    <row r="186" spans="23:23" x14ac:dyDescent="0.15">
      <c r="W186" s="206">
        <f>Admin!B186</f>
        <v>45206</v>
      </c>
    </row>
    <row r="187" spans="23:23" x14ac:dyDescent="0.15">
      <c r="W187" s="206">
        <f>Admin!B187</f>
        <v>45207</v>
      </c>
    </row>
    <row r="188" spans="23:23" x14ac:dyDescent="0.15">
      <c r="W188" s="206">
        <f>Admin!B188</f>
        <v>45208</v>
      </c>
    </row>
    <row r="189" spans="23:23" x14ac:dyDescent="0.15">
      <c r="W189" s="206">
        <f>Admin!B189</f>
        <v>45209</v>
      </c>
    </row>
    <row r="190" spans="23:23" x14ac:dyDescent="0.15">
      <c r="W190" s="206">
        <f>Admin!B190</f>
        <v>45210</v>
      </c>
    </row>
    <row r="191" spans="23:23" x14ac:dyDescent="0.15">
      <c r="W191" s="206">
        <f>Admin!B191</f>
        <v>45211</v>
      </c>
    </row>
    <row r="192" spans="23:23" x14ac:dyDescent="0.15">
      <c r="W192" s="206">
        <f>Admin!B192</f>
        <v>45212</v>
      </c>
    </row>
    <row r="193" spans="23:23" x14ac:dyDescent="0.15">
      <c r="W193" s="206">
        <f>Admin!B193</f>
        <v>45213</v>
      </c>
    </row>
    <row r="194" spans="23:23" x14ac:dyDescent="0.15">
      <c r="W194" s="206">
        <f>Admin!B194</f>
        <v>45214</v>
      </c>
    </row>
    <row r="195" spans="23:23" x14ac:dyDescent="0.15">
      <c r="W195" s="206">
        <f>Admin!B195</f>
        <v>45215</v>
      </c>
    </row>
    <row r="196" spans="23:23" x14ac:dyDescent="0.15">
      <c r="W196" s="206">
        <f>Admin!B196</f>
        <v>45216</v>
      </c>
    </row>
    <row r="197" spans="23:23" x14ac:dyDescent="0.15">
      <c r="W197" s="206">
        <f>Admin!B197</f>
        <v>45217</v>
      </c>
    </row>
    <row r="198" spans="23:23" x14ac:dyDescent="0.15">
      <c r="W198" s="206">
        <f>Admin!B198</f>
        <v>45218</v>
      </c>
    </row>
    <row r="199" spans="23:23" x14ac:dyDescent="0.15">
      <c r="W199" s="206">
        <f>Admin!B199</f>
        <v>45219</v>
      </c>
    </row>
    <row r="200" spans="23:23" x14ac:dyDescent="0.15">
      <c r="W200" s="206">
        <f>Admin!B200</f>
        <v>45220</v>
      </c>
    </row>
    <row r="201" spans="23:23" x14ac:dyDescent="0.15">
      <c r="W201" s="206">
        <f>Admin!B201</f>
        <v>45221</v>
      </c>
    </row>
    <row r="202" spans="23:23" x14ac:dyDescent="0.15">
      <c r="W202" s="206">
        <f>Admin!B202</f>
        <v>45222</v>
      </c>
    </row>
    <row r="203" spans="23:23" x14ac:dyDescent="0.15">
      <c r="W203" s="206">
        <f>Admin!B203</f>
        <v>45223</v>
      </c>
    </row>
    <row r="204" spans="23:23" x14ac:dyDescent="0.15">
      <c r="W204" s="206">
        <f>Admin!B204</f>
        <v>45224</v>
      </c>
    </row>
    <row r="205" spans="23:23" x14ac:dyDescent="0.15">
      <c r="W205" s="206">
        <f>Admin!B205</f>
        <v>45225</v>
      </c>
    </row>
    <row r="206" spans="23:23" x14ac:dyDescent="0.15">
      <c r="W206" s="206">
        <f>Admin!B206</f>
        <v>45226</v>
      </c>
    </row>
    <row r="207" spans="23:23" x14ac:dyDescent="0.15">
      <c r="W207" s="206">
        <f>Admin!B207</f>
        <v>45227</v>
      </c>
    </row>
    <row r="208" spans="23:23" x14ac:dyDescent="0.15">
      <c r="W208" s="206">
        <f>Admin!B208</f>
        <v>45228</v>
      </c>
    </row>
    <row r="209" spans="23:23" x14ac:dyDescent="0.15">
      <c r="W209" s="206">
        <f>Admin!B209</f>
        <v>45229</v>
      </c>
    </row>
    <row r="210" spans="23:23" x14ac:dyDescent="0.15">
      <c r="W210" s="206">
        <f>Admin!B210</f>
        <v>45230</v>
      </c>
    </row>
    <row r="211" spans="23:23" x14ac:dyDescent="0.15">
      <c r="W211" s="206">
        <f>Admin!B211</f>
        <v>45231</v>
      </c>
    </row>
    <row r="212" spans="23:23" x14ac:dyDescent="0.15">
      <c r="W212" s="206">
        <f>Admin!B212</f>
        <v>45232</v>
      </c>
    </row>
    <row r="213" spans="23:23" x14ac:dyDescent="0.15">
      <c r="W213" s="206">
        <f>Admin!B213</f>
        <v>45233</v>
      </c>
    </row>
    <row r="214" spans="23:23" x14ac:dyDescent="0.15">
      <c r="W214" s="206">
        <f>Admin!B214</f>
        <v>45234</v>
      </c>
    </row>
    <row r="215" spans="23:23" x14ac:dyDescent="0.15">
      <c r="W215" s="206">
        <f>Admin!B215</f>
        <v>45235</v>
      </c>
    </row>
    <row r="216" spans="23:23" x14ac:dyDescent="0.15">
      <c r="W216" s="206">
        <f>Admin!B216</f>
        <v>45236</v>
      </c>
    </row>
    <row r="217" spans="23:23" x14ac:dyDescent="0.15">
      <c r="W217" s="206">
        <f>Admin!B217</f>
        <v>45237</v>
      </c>
    </row>
    <row r="218" spans="23:23" x14ac:dyDescent="0.15">
      <c r="W218" s="206">
        <f>Admin!B218</f>
        <v>45238</v>
      </c>
    </row>
    <row r="219" spans="23:23" x14ac:dyDescent="0.15">
      <c r="W219" s="206">
        <f>Admin!B219</f>
        <v>45239</v>
      </c>
    </row>
    <row r="220" spans="23:23" x14ac:dyDescent="0.15">
      <c r="W220" s="206">
        <f>Admin!B220</f>
        <v>45240</v>
      </c>
    </row>
    <row r="221" spans="23:23" x14ac:dyDescent="0.15">
      <c r="W221" s="206">
        <f>Admin!B221</f>
        <v>45241</v>
      </c>
    </row>
    <row r="222" spans="23:23" x14ac:dyDescent="0.15">
      <c r="W222" s="206">
        <f>Admin!B222</f>
        <v>45242</v>
      </c>
    </row>
    <row r="223" spans="23:23" x14ac:dyDescent="0.15">
      <c r="W223" s="206">
        <f>Admin!B223</f>
        <v>45243</v>
      </c>
    </row>
    <row r="224" spans="23:23" x14ac:dyDescent="0.15">
      <c r="W224" s="206">
        <f>Admin!B224</f>
        <v>45244</v>
      </c>
    </row>
    <row r="225" spans="23:23" x14ac:dyDescent="0.15">
      <c r="W225" s="206">
        <f>Admin!B225</f>
        <v>45245</v>
      </c>
    </row>
    <row r="226" spans="23:23" x14ac:dyDescent="0.15">
      <c r="W226" s="206">
        <f>Admin!B226</f>
        <v>45246</v>
      </c>
    </row>
    <row r="227" spans="23:23" x14ac:dyDescent="0.15">
      <c r="W227" s="206">
        <f>Admin!B227</f>
        <v>45247</v>
      </c>
    </row>
    <row r="228" spans="23:23" x14ac:dyDescent="0.15">
      <c r="W228" s="206">
        <f>Admin!B228</f>
        <v>45248</v>
      </c>
    </row>
    <row r="229" spans="23:23" x14ac:dyDescent="0.15">
      <c r="W229" s="206">
        <f>Admin!B229</f>
        <v>45249</v>
      </c>
    </row>
    <row r="230" spans="23:23" x14ac:dyDescent="0.15">
      <c r="W230" s="206">
        <f>Admin!B230</f>
        <v>45250</v>
      </c>
    </row>
    <row r="231" spans="23:23" x14ac:dyDescent="0.15">
      <c r="W231" s="206">
        <f>Admin!B231</f>
        <v>45251</v>
      </c>
    </row>
    <row r="232" spans="23:23" x14ac:dyDescent="0.15">
      <c r="W232" s="206">
        <f>Admin!B232</f>
        <v>45252</v>
      </c>
    </row>
    <row r="233" spans="23:23" x14ac:dyDescent="0.15">
      <c r="W233" s="206">
        <f>Admin!B233</f>
        <v>45253</v>
      </c>
    </row>
    <row r="234" spans="23:23" x14ac:dyDescent="0.15">
      <c r="W234" s="206">
        <f>Admin!B234</f>
        <v>45254</v>
      </c>
    </row>
    <row r="235" spans="23:23" x14ac:dyDescent="0.15">
      <c r="W235" s="206">
        <f>Admin!B235</f>
        <v>45255</v>
      </c>
    </row>
    <row r="236" spans="23:23" x14ac:dyDescent="0.15">
      <c r="W236" s="206">
        <f>Admin!B236</f>
        <v>45256</v>
      </c>
    </row>
    <row r="237" spans="23:23" x14ac:dyDescent="0.15">
      <c r="W237" s="206">
        <f>Admin!B237</f>
        <v>45257</v>
      </c>
    </row>
    <row r="238" spans="23:23" x14ac:dyDescent="0.15">
      <c r="W238" s="206">
        <f>Admin!B238</f>
        <v>45258</v>
      </c>
    </row>
    <row r="239" spans="23:23" x14ac:dyDescent="0.15">
      <c r="W239" s="206">
        <f>Admin!B239</f>
        <v>45259</v>
      </c>
    </row>
    <row r="240" spans="23:23" x14ac:dyDescent="0.15">
      <c r="W240" s="206">
        <f>Admin!B240</f>
        <v>45260</v>
      </c>
    </row>
    <row r="241" spans="23:23" x14ac:dyDescent="0.15">
      <c r="W241" s="206">
        <f>Admin!B241</f>
        <v>45261</v>
      </c>
    </row>
    <row r="242" spans="23:23" x14ac:dyDescent="0.15">
      <c r="W242" s="206">
        <f>Admin!B242</f>
        <v>45262</v>
      </c>
    </row>
    <row r="243" spans="23:23" x14ac:dyDescent="0.15">
      <c r="W243" s="206">
        <f>Admin!B243</f>
        <v>45263</v>
      </c>
    </row>
    <row r="244" spans="23:23" x14ac:dyDescent="0.15">
      <c r="W244" s="206">
        <f>Admin!B244</f>
        <v>45264</v>
      </c>
    </row>
    <row r="245" spans="23:23" x14ac:dyDescent="0.15">
      <c r="W245" s="206">
        <f>Admin!B245</f>
        <v>45265</v>
      </c>
    </row>
    <row r="246" spans="23:23" x14ac:dyDescent="0.15">
      <c r="W246" s="206">
        <f>Admin!B246</f>
        <v>45266</v>
      </c>
    </row>
    <row r="247" spans="23:23" x14ac:dyDescent="0.15">
      <c r="W247" s="206">
        <f>Admin!B247</f>
        <v>45267</v>
      </c>
    </row>
    <row r="248" spans="23:23" x14ac:dyDescent="0.15">
      <c r="W248" s="206">
        <f>Admin!B248</f>
        <v>45268</v>
      </c>
    </row>
    <row r="249" spans="23:23" x14ac:dyDescent="0.15">
      <c r="W249" s="206">
        <f>Admin!B249</f>
        <v>45269</v>
      </c>
    </row>
    <row r="250" spans="23:23" x14ac:dyDescent="0.15">
      <c r="W250" s="206">
        <f>Admin!B250</f>
        <v>45270</v>
      </c>
    </row>
    <row r="251" spans="23:23" x14ac:dyDescent="0.15">
      <c r="W251" s="206">
        <f>Admin!B251</f>
        <v>45271</v>
      </c>
    </row>
    <row r="252" spans="23:23" x14ac:dyDescent="0.15">
      <c r="W252" s="206">
        <f>Admin!B252</f>
        <v>45272</v>
      </c>
    </row>
    <row r="253" spans="23:23" x14ac:dyDescent="0.15">
      <c r="W253" s="206">
        <f>Admin!B253</f>
        <v>45273</v>
      </c>
    </row>
    <row r="254" spans="23:23" x14ac:dyDescent="0.15">
      <c r="W254" s="206">
        <f>Admin!B254</f>
        <v>45274</v>
      </c>
    </row>
    <row r="255" spans="23:23" x14ac:dyDescent="0.15">
      <c r="W255" s="206">
        <f>Admin!B255</f>
        <v>45275</v>
      </c>
    </row>
    <row r="256" spans="23:23" x14ac:dyDescent="0.15">
      <c r="W256" s="206">
        <f>Admin!B256</f>
        <v>45276</v>
      </c>
    </row>
    <row r="257" spans="23:23" x14ac:dyDescent="0.15">
      <c r="W257" s="206">
        <f>Admin!B257</f>
        <v>45277</v>
      </c>
    </row>
    <row r="258" spans="23:23" x14ac:dyDescent="0.15">
      <c r="W258" s="206">
        <f>Admin!B258</f>
        <v>45278</v>
      </c>
    </row>
    <row r="259" spans="23:23" x14ac:dyDescent="0.15">
      <c r="W259" s="206">
        <f>Admin!B259</f>
        <v>45279</v>
      </c>
    </row>
    <row r="260" spans="23:23" x14ac:dyDescent="0.15">
      <c r="W260" s="206">
        <f>Admin!B260</f>
        <v>45280</v>
      </c>
    </row>
    <row r="261" spans="23:23" x14ac:dyDescent="0.15">
      <c r="W261" s="206">
        <f>Admin!B261</f>
        <v>45281</v>
      </c>
    </row>
    <row r="262" spans="23:23" x14ac:dyDescent="0.15">
      <c r="W262" s="206">
        <f>Admin!B262</f>
        <v>45282</v>
      </c>
    </row>
    <row r="263" spans="23:23" x14ac:dyDescent="0.15">
      <c r="W263" s="206">
        <f>Admin!B263</f>
        <v>45283</v>
      </c>
    </row>
    <row r="264" spans="23:23" x14ac:dyDescent="0.15">
      <c r="W264" s="206">
        <f>Admin!B264</f>
        <v>45284</v>
      </c>
    </row>
    <row r="265" spans="23:23" x14ac:dyDescent="0.15">
      <c r="W265" s="206">
        <f>Admin!B265</f>
        <v>45285</v>
      </c>
    </row>
    <row r="266" spans="23:23" x14ac:dyDescent="0.15">
      <c r="W266" s="206">
        <f>Admin!B266</f>
        <v>45286</v>
      </c>
    </row>
    <row r="267" spans="23:23" x14ac:dyDescent="0.15">
      <c r="W267" s="206">
        <f>Admin!B267</f>
        <v>45287</v>
      </c>
    </row>
    <row r="268" spans="23:23" x14ac:dyDescent="0.15">
      <c r="W268" s="206">
        <f>Admin!B268</f>
        <v>45288</v>
      </c>
    </row>
    <row r="269" spans="23:23" x14ac:dyDescent="0.15">
      <c r="W269" s="206">
        <f>Admin!B269</f>
        <v>45289</v>
      </c>
    </row>
    <row r="270" spans="23:23" x14ac:dyDescent="0.15">
      <c r="W270" s="206">
        <f>Admin!B270</f>
        <v>45290</v>
      </c>
    </row>
    <row r="271" spans="23:23" x14ac:dyDescent="0.15">
      <c r="W271" s="206">
        <f>Admin!B271</f>
        <v>45291</v>
      </c>
    </row>
    <row r="272" spans="23:23" x14ac:dyDescent="0.15">
      <c r="W272" s="206">
        <f>Admin!B272</f>
        <v>45292</v>
      </c>
    </row>
    <row r="273" spans="23:23" x14ac:dyDescent="0.15">
      <c r="W273" s="206">
        <f>Admin!B273</f>
        <v>45293</v>
      </c>
    </row>
    <row r="274" spans="23:23" x14ac:dyDescent="0.15">
      <c r="W274" s="206">
        <f>Admin!B274</f>
        <v>45294</v>
      </c>
    </row>
    <row r="275" spans="23:23" x14ac:dyDescent="0.15">
      <c r="W275" s="206">
        <f>Admin!B275</f>
        <v>45295</v>
      </c>
    </row>
    <row r="276" spans="23:23" x14ac:dyDescent="0.15">
      <c r="W276" s="206">
        <f>Admin!B276</f>
        <v>45296</v>
      </c>
    </row>
    <row r="277" spans="23:23" x14ac:dyDescent="0.15">
      <c r="W277" s="206">
        <f>Admin!B277</f>
        <v>45297</v>
      </c>
    </row>
    <row r="278" spans="23:23" x14ac:dyDescent="0.15">
      <c r="W278" s="206">
        <f>Admin!B278</f>
        <v>45298</v>
      </c>
    </row>
    <row r="279" spans="23:23" x14ac:dyDescent="0.15">
      <c r="W279" s="206">
        <f>Admin!B279</f>
        <v>45299</v>
      </c>
    </row>
    <row r="280" spans="23:23" x14ac:dyDescent="0.15">
      <c r="W280" s="206">
        <f>Admin!B280</f>
        <v>45300</v>
      </c>
    </row>
    <row r="281" spans="23:23" x14ac:dyDescent="0.15">
      <c r="W281" s="206">
        <f>Admin!B281</f>
        <v>45301</v>
      </c>
    </row>
    <row r="282" spans="23:23" x14ac:dyDescent="0.15">
      <c r="W282" s="206">
        <f>Admin!B282</f>
        <v>45302</v>
      </c>
    </row>
    <row r="283" spans="23:23" x14ac:dyDescent="0.15">
      <c r="W283" s="206">
        <f>Admin!B283</f>
        <v>45303</v>
      </c>
    </row>
    <row r="284" spans="23:23" x14ac:dyDescent="0.15">
      <c r="W284" s="206">
        <f>Admin!B284</f>
        <v>45304</v>
      </c>
    </row>
    <row r="285" spans="23:23" x14ac:dyDescent="0.15">
      <c r="W285" s="206">
        <f>Admin!B285</f>
        <v>45305</v>
      </c>
    </row>
    <row r="286" spans="23:23" x14ac:dyDescent="0.15">
      <c r="W286" s="206">
        <f>Admin!B286</f>
        <v>45306</v>
      </c>
    </row>
    <row r="287" spans="23:23" x14ac:dyDescent="0.15">
      <c r="W287" s="206">
        <f>Admin!B287</f>
        <v>45307</v>
      </c>
    </row>
    <row r="288" spans="23:23" x14ac:dyDescent="0.15">
      <c r="W288" s="206">
        <f>Admin!B288</f>
        <v>45308</v>
      </c>
    </row>
    <row r="289" spans="23:23" x14ac:dyDescent="0.15">
      <c r="W289" s="206">
        <f>Admin!B289</f>
        <v>45309</v>
      </c>
    </row>
    <row r="290" spans="23:23" x14ac:dyDescent="0.15">
      <c r="W290" s="206">
        <f>Admin!B290</f>
        <v>45310</v>
      </c>
    </row>
    <row r="291" spans="23:23" x14ac:dyDescent="0.15">
      <c r="W291" s="206">
        <f>Admin!B291</f>
        <v>45311</v>
      </c>
    </row>
    <row r="292" spans="23:23" x14ac:dyDescent="0.15">
      <c r="W292" s="206">
        <f>Admin!B292</f>
        <v>45312</v>
      </c>
    </row>
    <row r="293" spans="23:23" x14ac:dyDescent="0.15">
      <c r="W293" s="206">
        <f>Admin!B293</f>
        <v>45313</v>
      </c>
    </row>
    <row r="294" spans="23:23" x14ac:dyDescent="0.15">
      <c r="W294" s="206">
        <f>Admin!B294</f>
        <v>45314</v>
      </c>
    </row>
    <row r="295" spans="23:23" x14ac:dyDescent="0.15">
      <c r="W295" s="206">
        <f>Admin!B295</f>
        <v>45315</v>
      </c>
    </row>
    <row r="296" spans="23:23" x14ac:dyDescent="0.15">
      <c r="W296" s="206">
        <f>Admin!B296</f>
        <v>45316</v>
      </c>
    </row>
    <row r="297" spans="23:23" x14ac:dyDescent="0.15">
      <c r="W297" s="206">
        <f>Admin!B297</f>
        <v>45317</v>
      </c>
    </row>
    <row r="298" spans="23:23" x14ac:dyDescent="0.15">
      <c r="W298" s="206">
        <f>Admin!B298</f>
        <v>45318</v>
      </c>
    </row>
    <row r="299" spans="23:23" x14ac:dyDescent="0.15">
      <c r="W299" s="206">
        <f>Admin!B299</f>
        <v>45319</v>
      </c>
    </row>
    <row r="300" spans="23:23" x14ac:dyDescent="0.15">
      <c r="W300" s="206">
        <f>Admin!B300</f>
        <v>45320</v>
      </c>
    </row>
    <row r="301" spans="23:23" x14ac:dyDescent="0.15">
      <c r="W301" s="206">
        <f>Admin!B301</f>
        <v>45321</v>
      </c>
    </row>
    <row r="302" spans="23:23" x14ac:dyDescent="0.15">
      <c r="W302" s="206">
        <f>Admin!B302</f>
        <v>45322</v>
      </c>
    </row>
    <row r="303" spans="23:23" x14ac:dyDescent="0.15">
      <c r="W303" s="206">
        <f>Admin!B303</f>
        <v>45323</v>
      </c>
    </row>
    <row r="304" spans="23:23" x14ac:dyDescent="0.15">
      <c r="W304" s="206">
        <f>Admin!B304</f>
        <v>45324</v>
      </c>
    </row>
    <row r="305" spans="23:23" x14ac:dyDescent="0.15">
      <c r="W305" s="206">
        <f>Admin!B305</f>
        <v>45325</v>
      </c>
    </row>
    <row r="306" spans="23:23" x14ac:dyDescent="0.15">
      <c r="W306" s="206">
        <f>Admin!B306</f>
        <v>45326</v>
      </c>
    </row>
    <row r="307" spans="23:23" x14ac:dyDescent="0.15">
      <c r="W307" s="206">
        <f>Admin!B307</f>
        <v>45327</v>
      </c>
    </row>
    <row r="308" spans="23:23" x14ac:dyDescent="0.15">
      <c r="W308" s="206">
        <f>Admin!B308</f>
        <v>45328</v>
      </c>
    </row>
    <row r="309" spans="23:23" x14ac:dyDescent="0.15">
      <c r="W309" s="206">
        <f>Admin!B309</f>
        <v>45329</v>
      </c>
    </row>
    <row r="310" spans="23:23" x14ac:dyDescent="0.15">
      <c r="W310" s="206">
        <f>Admin!B310</f>
        <v>45330</v>
      </c>
    </row>
    <row r="311" spans="23:23" x14ac:dyDescent="0.15">
      <c r="W311" s="206">
        <f>Admin!B311</f>
        <v>45331</v>
      </c>
    </row>
    <row r="312" spans="23:23" x14ac:dyDescent="0.15">
      <c r="W312" s="206">
        <f>Admin!B312</f>
        <v>45332</v>
      </c>
    </row>
    <row r="313" spans="23:23" x14ac:dyDescent="0.15">
      <c r="W313" s="206">
        <f>Admin!B313</f>
        <v>45333</v>
      </c>
    </row>
    <row r="314" spans="23:23" x14ac:dyDescent="0.15">
      <c r="W314" s="206">
        <f>Admin!B314</f>
        <v>45334</v>
      </c>
    </row>
    <row r="315" spans="23:23" x14ac:dyDescent="0.15">
      <c r="W315" s="206">
        <f>Admin!B315</f>
        <v>45335</v>
      </c>
    </row>
    <row r="316" spans="23:23" x14ac:dyDescent="0.15">
      <c r="W316" s="206">
        <f>Admin!B316</f>
        <v>45336</v>
      </c>
    </row>
    <row r="317" spans="23:23" x14ac:dyDescent="0.15">
      <c r="W317" s="206">
        <f>Admin!B317</f>
        <v>45337</v>
      </c>
    </row>
    <row r="318" spans="23:23" x14ac:dyDescent="0.15">
      <c r="W318" s="206">
        <f>Admin!B318</f>
        <v>45338</v>
      </c>
    </row>
    <row r="319" spans="23:23" x14ac:dyDescent="0.15">
      <c r="W319" s="206">
        <f>Admin!B319</f>
        <v>45339</v>
      </c>
    </row>
    <row r="320" spans="23:23" x14ac:dyDescent="0.15">
      <c r="W320" s="206">
        <f>Admin!B320</f>
        <v>45340</v>
      </c>
    </row>
    <row r="321" spans="23:23" x14ac:dyDescent="0.15">
      <c r="W321" s="206">
        <f>Admin!B321</f>
        <v>45341</v>
      </c>
    </row>
    <row r="322" spans="23:23" x14ac:dyDescent="0.15">
      <c r="W322" s="206">
        <f>Admin!B322</f>
        <v>45342</v>
      </c>
    </row>
    <row r="323" spans="23:23" x14ac:dyDescent="0.15">
      <c r="W323" s="206">
        <f>Admin!B323</f>
        <v>45343</v>
      </c>
    </row>
    <row r="324" spans="23:23" x14ac:dyDescent="0.15">
      <c r="W324" s="206">
        <f>Admin!B324</f>
        <v>45344</v>
      </c>
    </row>
    <row r="325" spans="23:23" x14ac:dyDescent="0.15">
      <c r="W325" s="206">
        <f>Admin!B325</f>
        <v>45345</v>
      </c>
    </row>
    <row r="326" spans="23:23" x14ac:dyDescent="0.15">
      <c r="W326" s="206">
        <f>Admin!B326</f>
        <v>45346</v>
      </c>
    </row>
    <row r="327" spans="23:23" x14ac:dyDescent="0.15">
      <c r="W327" s="206">
        <f>Admin!B327</f>
        <v>45347</v>
      </c>
    </row>
    <row r="328" spans="23:23" x14ac:dyDescent="0.15">
      <c r="W328" s="206">
        <f>Admin!B328</f>
        <v>45348</v>
      </c>
    </row>
    <row r="329" spans="23:23" x14ac:dyDescent="0.15">
      <c r="W329" s="206">
        <f>Admin!B329</f>
        <v>45349</v>
      </c>
    </row>
    <row r="330" spans="23:23" x14ac:dyDescent="0.15">
      <c r="W330" s="206">
        <f>Admin!B330</f>
        <v>45350</v>
      </c>
    </row>
    <row r="331" spans="23:23" x14ac:dyDescent="0.15">
      <c r="W331" s="206">
        <f>Admin!B331</f>
        <v>45351</v>
      </c>
    </row>
    <row r="332" spans="23:23" x14ac:dyDescent="0.15">
      <c r="W332" s="206">
        <f>Admin!B332</f>
        <v>45352</v>
      </c>
    </row>
    <row r="333" spans="23:23" x14ac:dyDescent="0.15">
      <c r="W333" s="206">
        <f>Admin!B333</f>
        <v>45353</v>
      </c>
    </row>
    <row r="334" spans="23:23" x14ac:dyDescent="0.15">
      <c r="W334" s="206">
        <f>Admin!B334</f>
        <v>45354</v>
      </c>
    </row>
    <row r="335" spans="23:23" x14ac:dyDescent="0.15">
      <c r="W335" s="206">
        <f>Admin!B335</f>
        <v>45355</v>
      </c>
    </row>
    <row r="336" spans="23:23" x14ac:dyDescent="0.15">
      <c r="W336" s="206">
        <f>Admin!B336</f>
        <v>45356</v>
      </c>
    </row>
    <row r="337" spans="23:23" x14ac:dyDescent="0.15">
      <c r="W337" s="206">
        <f>Admin!B337</f>
        <v>45357</v>
      </c>
    </row>
    <row r="338" spans="23:23" x14ac:dyDescent="0.15">
      <c r="W338" s="206">
        <f>Admin!B338</f>
        <v>45358</v>
      </c>
    </row>
    <row r="339" spans="23:23" x14ac:dyDescent="0.15">
      <c r="W339" s="206">
        <f>Admin!B339</f>
        <v>45359</v>
      </c>
    </row>
    <row r="340" spans="23:23" x14ac:dyDescent="0.15">
      <c r="W340" s="206">
        <f>Admin!B340</f>
        <v>45360</v>
      </c>
    </row>
    <row r="341" spans="23:23" x14ac:dyDescent="0.15">
      <c r="W341" s="206">
        <f>Admin!B341</f>
        <v>45361</v>
      </c>
    </row>
    <row r="342" spans="23:23" x14ac:dyDescent="0.15">
      <c r="W342" s="206">
        <f>Admin!B342</f>
        <v>45362</v>
      </c>
    </row>
    <row r="343" spans="23:23" x14ac:dyDescent="0.15">
      <c r="W343" s="206">
        <f>Admin!B343</f>
        <v>45363</v>
      </c>
    </row>
    <row r="344" spans="23:23" x14ac:dyDescent="0.15">
      <c r="W344" s="206">
        <f>Admin!B344</f>
        <v>45364</v>
      </c>
    </row>
    <row r="345" spans="23:23" x14ac:dyDescent="0.15">
      <c r="W345" s="206">
        <f>Admin!B345</f>
        <v>45365</v>
      </c>
    </row>
    <row r="346" spans="23:23" x14ac:dyDescent="0.15">
      <c r="W346" s="206">
        <f>Admin!B346</f>
        <v>45366</v>
      </c>
    </row>
    <row r="347" spans="23:23" x14ac:dyDescent="0.15">
      <c r="W347" s="206">
        <f>Admin!B347</f>
        <v>45367</v>
      </c>
    </row>
    <row r="348" spans="23:23" x14ac:dyDescent="0.15">
      <c r="W348" s="206">
        <f>Admin!B348</f>
        <v>45368</v>
      </c>
    </row>
    <row r="349" spans="23:23" x14ac:dyDescent="0.15">
      <c r="W349" s="206">
        <f>Admin!B349</f>
        <v>45369</v>
      </c>
    </row>
    <row r="350" spans="23:23" x14ac:dyDescent="0.15">
      <c r="W350" s="206">
        <f>Admin!B350</f>
        <v>45370</v>
      </c>
    </row>
    <row r="351" spans="23:23" x14ac:dyDescent="0.15">
      <c r="W351" s="206">
        <f>Admin!B351</f>
        <v>45371</v>
      </c>
    </row>
    <row r="352" spans="23:23" x14ac:dyDescent="0.15">
      <c r="W352" s="206">
        <f>Admin!B352</f>
        <v>45372</v>
      </c>
    </row>
    <row r="353" spans="23:23" x14ac:dyDescent="0.15">
      <c r="W353" s="206">
        <f>Admin!B353</f>
        <v>45373</v>
      </c>
    </row>
    <row r="354" spans="23:23" x14ac:dyDescent="0.15">
      <c r="W354" s="206">
        <f>Admin!B354</f>
        <v>45374</v>
      </c>
    </row>
    <row r="355" spans="23:23" x14ac:dyDescent="0.15">
      <c r="W355" s="206">
        <f>Admin!B355</f>
        <v>45375</v>
      </c>
    </row>
    <row r="356" spans="23:23" x14ac:dyDescent="0.15">
      <c r="W356" s="206">
        <f>Admin!B356</f>
        <v>45376</v>
      </c>
    </row>
    <row r="357" spans="23:23" x14ac:dyDescent="0.15">
      <c r="W357" s="206">
        <f>Admin!B357</f>
        <v>45377</v>
      </c>
    </row>
    <row r="358" spans="23:23" x14ac:dyDescent="0.15">
      <c r="W358" s="206">
        <f>Admin!B358</f>
        <v>45378</v>
      </c>
    </row>
    <row r="359" spans="23:23" x14ac:dyDescent="0.15">
      <c r="W359" s="206">
        <f>Admin!B359</f>
        <v>45379</v>
      </c>
    </row>
    <row r="360" spans="23:23" x14ac:dyDescent="0.15">
      <c r="W360" s="206">
        <f>Admin!B360</f>
        <v>45380</v>
      </c>
    </row>
    <row r="361" spans="23:23" x14ac:dyDescent="0.15">
      <c r="W361" s="206">
        <f>Admin!B361</f>
        <v>45381</v>
      </c>
    </row>
    <row r="362" spans="23:23" x14ac:dyDescent="0.15">
      <c r="W362" s="206">
        <f>Admin!B362</f>
        <v>45382</v>
      </c>
    </row>
    <row r="363" spans="23:23" x14ac:dyDescent="0.15">
      <c r="W363" s="206">
        <f>Admin!B363</f>
        <v>45383</v>
      </c>
    </row>
    <row r="364" spans="23:23" x14ac:dyDescent="0.15">
      <c r="W364" s="206">
        <f>Admin!B364</f>
        <v>45384</v>
      </c>
    </row>
    <row r="365" spans="23:23" x14ac:dyDescent="0.15">
      <c r="W365" s="206">
        <f>Admin!B365</f>
        <v>45385</v>
      </c>
    </row>
    <row r="366" spans="23:23" x14ac:dyDescent="0.15">
      <c r="W366" s="206">
        <f>Admin!B366</f>
        <v>45386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45022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45022</v>
      </c>
      <c r="L49" s="203" t="s">
        <v>76</v>
      </c>
      <c r="M49" s="205">
        <f>Admin!B26</f>
        <v>45046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Nov!M39+1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45047</v>
      </c>
      <c r="L49" s="203" t="s">
        <v>76</v>
      </c>
      <c r="M49" s="205">
        <f>Admin!B57</f>
        <v>45077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Dec!M39+1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45078</v>
      </c>
      <c r="L59" s="203" t="s">
        <v>76</v>
      </c>
      <c r="M59" s="205">
        <f>Admin!B87</f>
        <v>45107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45111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89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92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92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92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5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45108</v>
      </c>
      <c r="L49" s="203" t="s">
        <v>76</v>
      </c>
      <c r="M49" s="205">
        <f>Admin!B118</f>
        <v>45138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45139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IF(T$9="Y",Feb!H41,0)</f>
        <v>0</v>
      </c>
      <c r="I12" s="92">
        <f>IF(T$9="Y",Feb!I41,0)</f>
        <v>0</v>
      </c>
      <c r="J12" s="92">
        <f>IF(T$9="Y",Feb!J41,0)</f>
        <v>0</v>
      </c>
      <c r="K12" s="92">
        <f>IF(T$9="Y",Feb!K41,I12*J12)</f>
        <v>0</v>
      </c>
      <c r="L12" s="111">
        <f>IF(T$9="Y",Feb!L41,0)</f>
        <v>0</v>
      </c>
      <c r="M12" s="111" t="str">
        <f>IF(E12=" "," ",IF(T$9="Y",Feb!M41,IF((H12+K12+L12)&gt;0,H12+K12+L12,"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IF(T$9="Y",Feb!H41,0)</f>
        <v>0</v>
      </c>
      <c r="I13" s="92">
        <f>IF(T$9="Y",Feb!I41,0)</f>
        <v>0</v>
      </c>
      <c r="J13" s="92">
        <f>IF(T$9="Y",Feb!J41,0)</f>
        <v>0</v>
      </c>
      <c r="K13" s="92">
        <f>IF(T$9="Y",Feb!K41,I13*J13)</f>
        <v>0</v>
      </c>
      <c r="L13" s="111">
        <f>IF(T$9="Y",Feb!L41,0)</f>
        <v>0</v>
      </c>
      <c r="M13" s="111" t="str">
        <f>IF(E13=" "," ",IF(T$9="Y",Feb!M41,IF((H13+K13+L13)&gt;0,H13+K13+L13,"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IF(T$9="Y",Feb!H41,0)</f>
        <v>0</v>
      </c>
      <c r="I14" s="92">
        <f>IF(T$9="Y",Feb!I41,0)</f>
        <v>0</v>
      </c>
      <c r="J14" s="92">
        <f>IF(T$9="Y",Feb!J41,0)</f>
        <v>0</v>
      </c>
      <c r="K14" s="92">
        <f>IF(T$9="Y",Feb!K41,I14*J14)</f>
        <v>0</v>
      </c>
      <c r="L14" s="111">
        <f>IF(T$9="Y",Feb!L41,0)</f>
        <v>0</v>
      </c>
      <c r="M14" s="111" t="str">
        <f>IF(E14=" "," ",IF(T$9="Y",Feb!M41,IF((H14+K14+L14)&gt;0,H14+K14+L14,"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IF(T$9="Y",Feb!H41,0)</f>
        <v>0</v>
      </c>
      <c r="I15" s="245">
        <f>IF(T$9="Y",Feb!I41,0)</f>
        <v>0</v>
      </c>
      <c r="J15" s="245">
        <f>IF(T$9="Y",Feb!J41,0)</f>
        <v>0</v>
      </c>
      <c r="K15" s="245">
        <f>IF(T$9="Y",Feb!K41,I15*J15)</f>
        <v>0</v>
      </c>
      <c r="L15" s="246">
        <f>IF(T$9="Y",Feb!L41,0)</f>
        <v>0</v>
      </c>
      <c r="M15" s="246" t="str">
        <f>IF(E15=" "," ",IF(T$9="Y",Feb!M41,IF((H15+K15+L15)&gt;0,H15+K15+L15,"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45139</v>
      </c>
      <c r="L49" s="203" t="s">
        <v>76</v>
      </c>
      <c r="M49" s="205">
        <f>Admin!B149</f>
        <v>45169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89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92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92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92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IF(T$49="Y",Feb!H55,0)</f>
        <v>0</v>
      </c>
      <c r="I55" s="92">
        <f>IF(T$49="Y",Feb!I55,0)</f>
        <v>0</v>
      </c>
      <c r="J55" s="92">
        <f>IF(T$49="Y",Feb!J55,0)</f>
        <v>0</v>
      </c>
      <c r="K55" s="92">
        <f>IF(T$49="Y",Feb!K55,I55*J55)</f>
        <v>0</v>
      </c>
      <c r="L55" s="92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45195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45170</v>
      </c>
      <c r="L59" s="203" t="s">
        <v>76</v>
      </c>
      <c r="M59" s="205">
        <f>Admin!B179</f>
        <v>45199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45202</v>
      </c>
      <c r="L9" s="203" t="s">
        <v>76</v>
      </c>
      <c r="M9" s="205">
        <f>Admin!B188</f>
        <v>45208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99" t="str">
        <f>IF(E11=" "," ",IF(T$9="Y",Apr!M51,IF((H11+K11+L11)&gt;0,H11+K11+L11,"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00" t="str">
        <f>IF(E12=" "," ",IF(T$9="Y",Apr!M52,IF((H12+K12+L12)&gt;0,H12+K12+L12,"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00" t="str">
        <f>IF(E13=" "," ",IF(T$9="Y",Apr!M53,IF((H13+K13+L13)&gt;0,H13+K13+L13,"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00" t="str">
        <f>IF(E14=" "," ",IF(T$9="Y",Apr!M54,IF((H14+K14+L14)&gt;0,H14+K14+L14,"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247" t="str">
        <f>IF(E15=" "," ",IF(T$9="Y",Apr!M55,IF((H15+K15+L15)&gt;0,H15+K15+L15,"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45200</v>
      </c>
      <c r="L49" s="203" t="s">
        <v>76</v>
      </c>
      <c r="M49" s="205">
        <f>Admin!B210</f>
        <v>45230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45230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45231</v>
      </c>
      <c r="L49" s="203" t="s">
        <v>76</v>
      </c>
      <c r="M49" s="205">
        <f>Admin!B240</f>
        <v>45260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45261</v>
      </c>
      <c r="L59" s="203" t="s">
        <v>76</v>
      </c>
      <c r="M59" s="205">
        <f>Admin!B271</f>
        <v>45291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Jul!M49+1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110" t="str">
        <f>IF(E11=" "," ",IF(T$9="Y",Jul!M51,IF((H11+K11+L11)&gt;0,H11+K11+L11,"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11" t="str">
        <f>IF(E12=" "," ",IF(T$9="Y",Jul!M52,IF((H12+K12+L12)&gt;0,H12+K12+L12,"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11" t="str">
        <f>IF(E13=" "," ",IF(T$9="Y",Jul!M53,IF((H13+K13+L13)&gt;0,H13+K13+L13,"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11" t="str">
        <f>IF(E14=" "," ",IF(T$9="Y",Jul!M54,IF((H14+K14+L14)&gt;0,H14+K14+L14,"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111" t="str">
        <f>IF(E15=" "," ",IF(T$9="Y",Jul!M55,IF((H15+K15+L15)&gt;0,H15+K15+L15,"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45292</v>
      </c>
      <c r="L49" s="203" t="s">
        <v>76</v>
      </c>
      <c r="M49" s="205">
        <f>Admin!B302</f>
        <v>45322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Aug!M39+1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IF(T$19="Y",Aug!L45,0)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45323</v>
      </c>
      <c r="L49" s="203" t="s">
        <v>76</v>
      </c>
      <c r="M49" s="205">
        <f>Admin!B330</f>
        <v>45350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Sep!M39+1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45351</v>
      </c>
      <c r="L69" s="203" t="s">
        <v>76</v>
      </c>
      <c r="M69" s="205">
        <f>Admin!B361</f>
        <v>45381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IF(T$69="Y",Sep!H51,0)</f>
        <v>0</v>
      </c>
      <c r="I71" s="89">
        <f>IF(T$69="Y",Sep!I51,0)</f>
        <v>0</v>
      </c>
      <c r="J71" s="89">
        <f>IF(T$69="Y",Sep!J51,0)</f>
        <v>0</v>
      </c>
      <c r="K71" s="89">
        <f>IF(T$69="Y",Sep!K51,I71*J71)</f>
        <v>0</v>
      </c>
      <c r="L71" s="110">
        <f>IF(T$69="Y",Sep!L51,0)</f>
        <v>0</v>
      </c>
      <c r="M71" s="99" t="str">
        <f>IF(E71=" "," ",IF(T$69="Y",Sep!M51,IF((H71+K71+L71)&gt;0,H71+K71+L71,"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IF(Employee!H$35=E$69,Employee!D$34+SUM(M71)+Sep!V51,SUM(M71)+Sep!V51)</f>
        <v>0</v>
      </c>
      <c r="W71" s="49">
        <f>IF(Employee!H$35=E$69,Employee!D$35+SUM(N71)+Sep!W51,SUM(N71)+Sep!W51)</f>
        <v>0</v>
      </c>
      <c r="X71" s="49">
        <f>IF(O71=" ",Sep!X51,O71+Sep!X51)</f>
        <v>0</v>
      </c>
      <c r="Y71" s="49">
        <f>IF(P71=" ",Sep!Y51,P71+Sep!Y51)</f>
        <v>0</v>
      </c>
      <c r="Z71" s="49">
        <f>IF(Q71=" ",Sep!Z51,Q71+Sep!Z51)</f>
        <v>0</v>
      </c>
      <c r="AA71" s="49">
        <f>IF(R71=" ",Sep!AA51,R71+Sep!AA51)</f>
        <v>0</v>
      </c>
      <c r="AC71" s="49">
        <f>IF(T71=" ",Sep!AC51,T71+Sep!AC51)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IF(T$69="Y",Sep!H52,0)</f>
        <v>0</v>
      </c>
      <c r="I72" s="92">
        <f>IF(T$69="Y",Sep!I52,0)</f>
        <v>0</v>
      </c>
      <c r="J72" s="92">
        <f>IF(T$69="Y",Sep!J52,0)</f>
        <v>0</v>
      </c>
      <c r="K72" s="92">
        <f>IF(T$69="Y",Sep!K52,I72*J72)</f>
        <v>0</v>
      </c>
      <c r="L72" s="111">
        <f>IF(T$69="Y",Sep!L52,0)</f>
        <v>0</v>
      </c>
      <c r="M72" s="100" t="str">
        <f>IF(E72=" "," ",IF(T$69="Y",Sep!M52,IF((H72+K72+L72)&gt;0,H72+K72+L72,"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IF(Employee!H$61=E$69,Employee!D$60+SUM(M72)+Sep!V52,SUM(M72)+Sep!V52)</f>
        <v>0</v>
      </c>
      <c r="W72" s="49">
        <f>IF(Employee!H$61=E$69,Employee!D$61+SUM(N72)+Sep!W52,SUM(N72)+Sep!W52)</f>
        <v>0</v>
      </c>
      <c r="X72" s="49">
        <f>IF(O72=" ",Sep!X52,O72+Sep!X52)</f>
        <v>0</v>
      </c>
      <c r="Y72" s="49">
        <f>IF(P72=" ",Sep!Y52,P72+Sep!Y52)</f>
        <v>0</v>
      </c>
      <c r="Z72" s="49">
        <f>IF(Q72=" ",Sep!Z52,Q72+Sep!Z52)</f>
        <v>0</v>
      </c>
      <c r="AA72" s="49">
        <f>IF(R72=" ",Sep!AA52,R72+Sep!AA52)</f>
        <v>0</v>
      </c>
      <c r="AC72" s="49">
        <f>IF(T72=" ",Sep!AC52,T72+Sep!AC52)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IF(T$69="Y",Sep!H53,0)</f>
        <v>0</v>
      </c>
      <c r="I73" s="92">
        <f>IF(T$69="Y",Sep!I53,0)</f>
        <v>0</v>
      </c>
      <c r="J73" s="92">
        <f>IF(T$69="Y",Sep!J53,0)</f>
        <v>0</v>
      </c>
      <c r="K73" s="92">
        <f>IF(T$69="Y",Sep!K53,I73*J73)</f>
        <v>0</v>
      </c>
      <c r="L73" s="111">
        <f>IF(T$69="Y",Sep!L53,0)</f>
        <v>0</v>
      </c>
      <c r="M73" s="100" t="str">
        <f>IF(E73=" "," ",IF(T$69="Y",Sep!M53,IF((H73+K73+L73)&gt;0,H73+K73+L73,"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IF(Employee!H$87=E$69,Employee!D$86+SUM(M73)+Sep!V53,SUM(M73)+Sep!V53)</f>
        <v>0</v>
      </c>
      <c r="W73" s="49">
        <f>IF(Employee!H$87=E$69,Employee!D$87+SUM(N73)+Sep!W53,SUM(N73)+Sep!W53)</f>
        <v>0</v>
      </c>
      <c r="X73" s="49">
        <f>IF(O73=" ",Sep!X53,O73+Sep!X53)</f>
        <v>0</v>
      </c>
      <c r="Y73" s="49">
        <f>IF(P73=" ",Sep!Y53,P73+Sep!Y53)</f>
        <v>0</v>
      </c>
      <c r="Z73" s="49">
        <f>IF(Q73=" ",Sep!Z53,Q73+Sep!Z53)</f>
        <v>0</v>
      </c>
      <c r="AA73" s="49">
        <f>IF(R73=" ",Sep!AA53,R73+Sep!AA53)</f>
        <v>0</v>
      </c>
      <c r="AC73" s="49">
        <f>IF(T73=" ",Sep!AC53,T73+Sep!AC53)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IF(T$69="Y",Sep!H54,0)</f>
        <v>0</v>
      </c>
      <c r="I74" s="92">
        <f>IF(T$69="Y",Sep!I54,0)</f>
        <v>0</v>
      </c>
      <c r="J74" s="92">
        <f>IF(T$69="Y",Sep!J54,0)</f>
        <v>0</v>
      </c>
      <c r="K74" s="92">
        <f>IF(T$69="Y",Sep!K54,I74*J74)</f>
        <v>0</v>
      </c>
      <c r="L74" s="111">
        <f>IF(T$69="Y",Sep!L54,0)</f>
        <v>0</v>
      </c>
      <c r="M74" s="100" t="str">
        <f>IF(E74=" "," ",IF(T$69="Y",Sep!M54,IF((H74+K74+L74)&gt;0,H74+K74+L74,"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IF(Employee!H$113=E$69,Employee!D$112+SUM(M74)+Sep!V54,SUM(M74)+Sep!V54)</f>
        <v>0</v>
      </c>
      <c r="W74" s="49">
        <f>IF(Employee!H$113=E$69,Employee!D$113+SUM(N74)+Sep!W54,SUM(N74)+Sep!W54)</f>
        <v>0</v>
      </c>
      <c r="X74" s="49">
        <f>IF(O74=" ",Sep!X54,O74+Sep!X54)</f>
        <v>0</v>
      </c>
      <c r="Y74" s="49">
        <f>IF(P74=" ",Sep!Y54,P74+Sep!Y54)</f>
        <v>0</v>
      </c>
      <c r="Z74" s="49">
        <f>IF(Q74=" ",Sep!Z54,Q74+Sep!Z54)</f>
        <v>0</v>
      </c>
      <c r="AA74" s="49">
        <f>IF(R74=" ",Sep!AA54,R74+Sep!AA54)</f>
        <v>0</v>
      </c>
      <c r="AC74" s="49">
        <f>IF(T74=" ",Sep!AC54,T74+Sep!AC54)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IF(T$69="Y",Sep!H55,0)</f>
        <v>0</v>
      </c>
      <c r="I75" s="245">
        <f>IF(T$69="Y",Sep!I55,0)</f>
        <v>0</v>
      </c>
      <c r="J75" s="245">
        <f>IF(T$69="Y",Sep!J55,0)</f>
        <v>0</v>
      </c>
      <c r="K75" s="245">
        <f>IF(T$69="Y",Sep!K55,I75*J75)</f>
        <v>0</v>
      </c>
      <c r="L75" s="246">
        <f>IF(T$69="Y",Sep!L55,0)</f>
        <v>0</v>
      </c>
      <c r="M75" s="100" t="str">
        <f>IF(E75=" "," ",IF(T$69="Y",Sep!M55,IF((H75+K75+L75)&gt;0,H75+K75+L75,"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IF(Employee!H$139=E$69,Employee!D$138+SUM(M75)+Sep!V55,SUM(M75)+Sep!V55)</f>
        <v>0</v>
      </c>
      <c r="W75" s="49">
        <f>IF(Employee!H$139=E$69,Employee!D$139+SUM(N75)+Sep!W55,SUM(N75)+Sep!W55)</f>
        <v>0</v>
      </c>
      <c r="X75" s="49">
        <f>IF(O75=" ",Sep!X55,O75+Sep!X55)</f>
        <v>0</v>
      </c>
      <c r="Y75" s="49">
        <f>IF(P75=" ",Sep!Y55,P75+Sep!Y55)</f>
        <v>0</v>
      </c>
      <c r="Z75" s="49">
        <f>IF(Q75=" ",Sep!Z55,Q75+Sep!Z55)</f>
        <v>0</v>
      </c>
      <c r="AA75" s="49">
        <f>IF(R75=" ",Sep!AA55,R75+Sep!AA55)</f>
        <v>0</v>
      </c>
      <c r="AC75" s="49">
        <f>IF(T75=" ",Sep!AC55,T75+Sep!AC55)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AD80+Sep!AD65</f>
        <v>0</v>
      </c>
      <c r="AE85" s="158">
        <f>AE80+Sep!AE65</f>
        <v>0</v>
      </c>
      <c r="AF85" s="158">
        <f>AF80+Sep!AF65</f>
        <v>0</v>
      </c>
      <c r="AG85" s="158">
        <f>AG80+Sep!AG65</f>
        <v>0</v>
      </c>
    </row>
    <row r="86" spans="6:33" ht="14" thickTop="1" x14ac:dyDescent="0.15"/>
    <row r="87" spans="6:33" x14ac:dyDescent="0.15">
      <c r="AD87" s="162"/>
      <c r="AE87" s="158">
        <f>AE82+Sep!AE67</f>
        <v>0</v>
      </c>
      <c r="AF87" s="158">
        <f>AF82+Sep!AF67</f>
        <v>0</v>
      </c>
      <c r="AG87" s="158">
        <f>AG82+Sep!AG67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Nov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45046</v>
      </c>
      <c r="C4" s="229">
        <f>Admin!$B$45</f>
        <v>45065</v>
      </c>
      <c r="D4" s="227">
        <f>Nov!T1+Nov!O1</f>
        <v>0</v>
      </c>
      <c r="E4" s="228">
        <f>Nov!N1</f>
        <v>0</v>
      </c>
      <c r="F4" s="228">
        <f>Nov!AD60+Nov!AE60+Nov!AF60+Nov!AG60</f>
        <v>0</v>
      </c>
      <c r="G4" s="228">
        <f>Nov!AE62+Nov!AF62+Nov!AG62</f>
        <v>0</v>
      </c>
      <c r="H4" s="228">
        <f>Nov!P1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45077</v>
      </c>
      <c r="C5" s="229">
        <f>Admin!$B$76</f>
        <v>45096</v>
      </c>
      <c r="D5" s="227">
        <f>Dec!T1+Dec!O1</f>
        <v>0</v>
      </c>
      <c r="E5" s="228">
        <f>Dec!N1</f>
        <v>0</v>
      </c>
      <c r="F5" s="228">
        <f>Dec!AD60+Dec!AE60+Dec!AF60+Dec!AG60</f>
        <v>0</v>
      </c>
      <c r="G5" s="228">
        <f>Dec!AE62+Dec!AF62+Dec!AG62</f>
        <v>0</v>
      </c>
      <c r="H5" s="228">
        <f>Dec!P1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45107</v>
      </c>
      <c r="C6" s="229">
        <f>Admin!$B$106</f>
        <v>45126</v>
      </c>
      <c r="D6" s="227">
        <f>Jan!T1+Jan!O1</f>
        <v>0</v>
      </c>
      <c r="E6" s="228">
        <f>Jan!N1</f>
        <v>0</v>
      </c>
      <c r="F6" s="228">
        <f>Jan!AD70+Jan!AE70+Jan!AF70+Jan!AG70</f>
        <v>0</v>
      </c>
      <c r="G6" s="228">
        <f>Jan!AE72+Jan!AF72+Jan!AG72</f>
        <v>0</v>
      </c>
      <c r="H6" s="228">
        <f>Jan!P1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45138</v>
      </c>
      <c r="C7" s="229">
        <f>Admin!$B$137</f>
        <v>45157</v>
      </c>
      <c r="D7" s="227">
        <f>Feb!T1+Feb!O1</f>
        <v>0</v>
      </c>
      <c r="E7" s="228">
        <f>Feb!N1</f>
        <v>0</v>
      </c>
      <c r="F7" s="228">
        <f>Feb!AD60+Feb!AE60+Feb!AF60+Feb!AG60</f>
        <v>0</v>
      </c>
      <c r="G7" s="228">
        <f>Feb!AE62+Feb!AF62+Feb!AG62</f>
        <v>0</v>
      </c>
      <c r="H7" s="228">
        <f>Feb!P1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45169</v>
      </c>
      <c r="C8" s="229">
        <f>Admin!$B$168</f>
        <v>45188</v>
      </c>
      <c r="D8" s="227">
        <f>Mar!T1+Mar!O1</f>
        <v>0</v>
      </c>
      <c r="E8" s="228">
        <f>Mar!N1</f>
        <v>0</v>
      </c>
      <c r="F8" s="228">
        <f>Mar!AD60+Mar!AE60+Mar!AF60+Mar!AG60</f>
        <v>0</v>
      </c>
      <c r="G8" s="228">
        <f>Mar!AE62+Mar!AF62+Mar!AG62</f>
        <v>0</v>
      </c>
      <c r="H8" s="228">
        <f>Mar!P1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45199</v>
      </c>
      <c r="C9" s="229">
        <f>Admin!$B$198</f>
        <v>45218</v>
      </c>
      <c r="D9" s="227">
        <f>Apr!T1+Apr!O1</f>
        <v>0</v>
      </c>
      <c r="E9" s="228">
        <f>Apr!N1</f>
        <v>0</v>
      </c>
      <c r="F9" s="228">
        <f>Apr!AD70+Apr!AE70+Apr!AF70+Apr!AG70</f>
        <v>0</v>
      </c>
      <c r="G9" s="228">
        <f>Apr!AE72+Apr!AF72+Apr!AG72</f>
        <v>0</v>
      </c>
      <c r="H9" s="228">
        <f>Apr!P1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45230</v>
      </c>
      <c r="C10" s="229">
        <f>Admin!$B$229</f>
        <v>45249</v>
      </c>
      <c r="D10" s="227">
        <f>May!T1+May!O1</f>
        <v>0</v>
      </c>
      <c r="E10" s="228">
        <f>May!N1</f>
        <v>0</v>
      </c>
      <c r="F10" s="228">
        <f>May!AD60+May!AE60+May!AF60+May!AG60</f>
        <v>0</v>
      </c>
      <c r="G10" s="228">
        <f>May!AE62+May!AF62+May!AG62</f>
        <v>0</v>
      </c>
      <c r="H10" s="228">
        <f>May!P1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45260</v>
      </c>
      <c r="C11" s="229">
        <f>Admin!$B$259</f>
        <v>45279</v>
      </c>
      <c r="D11" s="227">
        <f>Jun!T1+Jun!O1</f>
        <v>0</v>
      </c>
      <c r="E11" s="228">
        <f>Jun!N1</f>
        <v>0</v>
      </c>
      <c r="F11" s="228">
        <f>Jun!AD60+Jun!AE60+Jun!AF60+Jun!AG60</f>
        <v>0</v>
      </c>
      <c r="G11" s="228">
        <f>Jun!AE62+Jun!AF62+Jun!AG62</f>
        <v>0</v>
      </c>
      <c r="H11" s="228">
        <f>Jun!P1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45291</v>
      </c>
      <c r="C12" s="229">
        <f>Admin!$B$290</f>
        <v>45310</v>
      </c>
      <c r="D12" s="227">
        <f>Jul!T1+Jul!O1</f>
        <v>0</v>
      </c>
      <c r="E12" s="228">
        <f>Jul!N1</f>
        <v>0</v>
      </c>
      <c r="F12" s="228">
        <f>Jul!AD70+Jul!AE70+Jul!AF70+Jul!AG70</f>
        <v>0</v>
      </c>
      <c r="G12" s="228">
        <f>Jul!AE72+Jul!AF72+Jul!AG72</f>
        <v>0</v>
      </c>
      <c r="H12" s="228">
        <f>Jul!P1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45322</v>
      </c>
      <c r="C13" s="229">
        <f>Admin!$B$321</f>
        <v>45341</v>
      </c>
      <c r="D13" s="227">
        <f>Aug!T1+Aug!O1</f>
        <v>0</v>
      </c>
      <c r="E13" s="228">
        <f>Aug!N1</f>
        <v>0</v>
      </c>
      <c r="F13" s="228">
        <f>Aug!AD60+Aug!AE60+Aug!AF60+Aug!AG60</f>
        <v>0</v>
      </c>
      <c r="G13" s="228">
        <f>Aug!AE62+Aug!AF62+Aug!AG62</f>
        <v>0</v>
      </c>
      <c r="H13" s="228">
        <f>Aug!P1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45350</v>
      </c>
      <c r="C14" s="229">
        <f>Admin!$B$350</f>
        <v>45370</v>
      </c>
      <c r="D14" s="227">
        <f>Sep!T1+Sep!O1</f>
        <v>0</v>
      </c>
      <c r="E14" s="228">
        <f>Sep!N1</f>
        <v>0</v>
      </c>
      <c r="F14" s="228">
        <f>Sep!AD60+Sep!AE60+Sep!AF60+Sep!AG60</f>
        <v>0</v>
      </c>
      <c r="G14" s="228">
        <f>Sep!AE62+Sep!AF62+Sep!AG62</f>
        <v>0</v>
      </c>
      <c r="H14" s="228">
        <f>Sep!P1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45381</v>
      </c>
      <c r="C15" s="229">
        <f>Admin!$B$381</f>
        <v>45401</v>
      </c>
      <c r="D15" s="227">
        <f>Oct!T1+Oct!O1</f>
        <v>0</v>
      </c>
      <c r="E15" s="228">
        <f>Oct!N1</f>
        <v>0</v>
      </c>
      <c r="F15" s="228">
        <f>Oct!AD80+Oct!AE80+Oct!AF80+Oct!AG80</f>
        <v>0</v>
      </c>
      <c r="G15" s="228">
        <f>Oct!AE82+Oct!AF82+Oct!AG82</f>
        <v>0</v>
      </c>
      <c r="H15" s="228">
        <f>Oct!P1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TEXT(DATE(YEAR(B$2),MONTH(B$2)+(D2-1)+7,1),"Mmm")</f>
        <v>Nov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TEXT(DATE(YEAR(B$2),MONTH(B$2)+(D3-1)+7,1),"Mmm")</f>
        <v>Nov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Nov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Nov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Nov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Nov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Nov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Nov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Nov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Nov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Nov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Nov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Nov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Nov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Nov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Nov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Nov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Nov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Nov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Nov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Nov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Nov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Nov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Nov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Nov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Nov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Dec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Dec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Dec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Dec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Dec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Dec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Dec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Dec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Dec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Dec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Dec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Dec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Dec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Dec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Dec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Dec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Dec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Dec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Dec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Dec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Dec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Dec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Dec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Dec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Dec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Dec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Dec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Dec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Jan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Jan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Jan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Jan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Jan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Jan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Jan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Jan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Jan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Jan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Jan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TEXT(DATE(YEAR(B$2),MONTH(B$2)+(D67-1)+7,1),"Mmm")</f>
        <v>Jan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Jan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Jan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Jan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Jan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Jan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Jan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Jan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Jan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Jan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Jan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Jan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Jan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Jan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Jan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Jan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Jan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Jan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Jan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Jan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Jan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Jan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Jan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Jan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Feb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Feb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Feb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Feb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Feb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Feb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Feb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Feb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Feb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Feb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Feb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Feb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Feb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Feb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Feb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Feb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Feb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Feb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Feb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Feb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Feb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Feb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Feb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Feb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Feb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Feb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Feb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Feb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Mar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Mar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Mar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Mar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Mar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Mar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Mar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Mar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Mar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Mar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Mar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Mar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TEXT(DATE(YEAR(B$2),MONTH(B$2)+(D131-1)+7,1),"Mmm")</f>
        <v>Mar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Mar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Mar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Mar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Mar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Mar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Mar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Mar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Mar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Mar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Mar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Mar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Mar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Mar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Mar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Mar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Apr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Apr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Apr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Apr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Apr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Apr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Apr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Apr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Apr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Apr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Apr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Apr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Apr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Apr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Apr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Apr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Apr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Apr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Apr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Apr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Apr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Apr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Apr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Apr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Apr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Apr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Apr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Apr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Apr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Apr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Apr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Apr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Apr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Apr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Apr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May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May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May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May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May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May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May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May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May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May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May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May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May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TEXT(DATE(YEAR(B$2),MONTH(B$2)+(D195-1)+7,1),"Mmm")</f>
        <v>May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May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May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May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May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May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May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May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May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May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May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May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May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May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May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Jun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Jun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Jun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Jun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Jun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Jun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Jun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Jun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Jun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Jun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Jun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Jun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Jun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Jun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Jun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Jun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Jun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Jun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Jun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Jun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Jun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Jun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Jun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Jun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Jun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Jun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Jun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Jun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Jul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Jul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Jul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Jul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Jul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Jul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Jul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Jul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Jul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Jul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Jul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Jul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Jul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Jul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Jul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Jul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Jul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Jul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Jul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Jul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Jul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TEXT(DATE(YEAR(B$2),MONTH(B$2)+(D259-1)+7,1),"Mmm")</f>
        <v>Jul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Jul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Jul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Jul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Jul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Jul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Jul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Jul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Jul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Jul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Jul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Jul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Jul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Jul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Aug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Aug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Aug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Aug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Aug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Aug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Aug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Aug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Aug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Aug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Aug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Aug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Aug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Aug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Aug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Aug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Aug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Aug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Aug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Aug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Aug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Aug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Aug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Aug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Aug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Aug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Aug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Aug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Sep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Sep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Sep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Sep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Sep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Sep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Sep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Sep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Sep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Sep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Sep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Sep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Sep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Sep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Sep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Sep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Sep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Sep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Sep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Sep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Sep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Sep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TEXT(DATE(YEAR(B$2),MONTH(B$2)+(D323-1)+7,1),"Mmm")</f>
        <v>Sep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Sep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Sep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Sep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Sep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Sep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Oct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Oct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Oct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Oct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Oct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Oct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Oct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Oct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Oct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Oct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Oct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Oct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Oct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Oct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Oct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Oct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Oct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Oct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Oct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Oct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Oct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Oct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Oct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Oct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Oct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Oct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Oct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Oct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Oct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Oct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Oct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Oct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Oct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Oct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Oct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Oct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Oct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Oct</v>
      </c>
      <c r="B366" s="308">
        <f t="shared" si="11"/>
        <v>45386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Oct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Oct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Oct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Oct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Oct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Oct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Oct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Oct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Oct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Oct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Oct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Oct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Oct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Oct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Oct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