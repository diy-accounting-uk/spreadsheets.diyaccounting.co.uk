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limited/diy-accounting/app/templates/taxi/"/>
    </mc:Choice>
  </mc:AlternateContent>
  <xr:revisionPtr revIDLastSave="0" documentId="13_ncr:1_{8DD1CA86-B75E-EF41-803E-07C2737075E8}" xr6:coauthVersionLast="47" xr6:coauthVersionMax="47" xr10:uidLastSave="{00000000-0000-0000-0000-000000000000}"/>
  <bookViews>
    <workbookView xWindow="620" yWindow="700" windowWidth="19680" windowHeight="1710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 sheetId="23" r:id="rId9"/>
    <sheet name="PurchasesApr" sheetId="35" r:id="rId10"/>
    <sheet name="SalesMay" sheetId="24" r:id="rId11"/>
    <sheet name="PurchasesMay" sheetId="36" r:id="rId12"/>
    <sheet name="SalesJun" sheetId="25" r:id="rId13"/>
    <sheet name="PurchasesJun" sheetId="37" r:id="rId14"/>
    <sheet name="SalesJul" sheetId="26" r:id="rId15"/>
    <sheet name="PurchasesJul" sheetId="38" r:id="rId16"/>
    <sheet name="SalesAug" sheetId="27" r:id="rId17"/>
    <sheet name="PurchasesAug" sheetId="39" r:id="rId18"/>
    <sheet name="SalesSep" sheetId="28" r:id="rId19"/>
    <sheet name="PurchasesSep" sheetId="40" r:id="rId20"/>
    <sheet name="SalesOct" sheetId="29" r:id="rId21"/>
    <sheet name="PurchasesOct" sheetId="41" r:id="rId22"/>
    <sheet name="SalesNov" sheetId="30" r:id="rId23"/>
    <sheet name="PurchasesNov" sheetId="42" r:id="rId24"/>
    <sheet name="SalesDec" sheetId="31" r:id="rId25"/>
    <sheet name="PurchasesDec" sheetId="43" r:id="rId26"/>
    <sheet name="SalesJan" sheetId="32" r:id="rId27"/>
    <sheet name="PurchasesJan" sheetId="44" r:id="rId28"/>
    <sheet name="SalesFeb" sheetId="33" r:id="rId29"/>
    <sheet name="PurchasesFeb" sheetId="45" r:id="rId30"/>
    <sheet name="SalesMar" sheetId="34" r:id="rId31"/>
    <sheet name="PurchasesMar" sheetId="46" r:id="rId32"/>
    <sheet name="Admin" sheetId="18" r:id="rId33"/>
  </sheets>
  <definedNames>
    <definedName name="_xlnm._FilterDatabase" localSheetId="31" hidden="1">PurchasesMar!$G$2:$W$2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PurchasesApr!$A$1:$U$68</definedName>
    <definedName name="_xlnm.Print_Area" localSheetId="17">PurchasesAug!$A$1:$U$68</definedName>
    <definedName name="_xlnm.Print_Area" localSheetId="25">PurchasesDec!$A$1:$U$68</definedName>
    <definedName name="_xlnm.Print_Area" localSheetId="29">PurchasesFeb!$A$1:$U$68</definedName>
    <definedName name="_xlnm.Print_Area" localSheetId="27">PurchasesJan!$A$1:$U$68</definedName>
    <definedName name="_xlnm.Print_Area" localSheetId="15">PurchasesJul!$A$1:$U$68</definedName>
    <definedName name="_xlnm.Print_Area" localSheetId="13">PurchasesJun!$A$1:$U$68</definedName>
    <definedName name="_xlnm.Print_Area" localSheetId="31">PurchasesMar!$A$1:$U$68</definedName>
    <definedName name="_xlnm.Print_Area" localSheetId="11">PurchasesMay!$A$1:$U$67</definedName>
    <definedName name="_xlnm.Print_Area" localSheetId="23">PurchasesNov!$A$1:$U$68</definedName>
    <definedName name="_xlnm.Print_Area" localSheetId="21">PurchasesOct!$A$1:$U$68</definedName>
    <definedName name="_xlnm.Print_Area" localSheetId="19">PurchasesSep!$A$1:$U$68</definedName>
    <definedName name="_xlnm.Print_Titles" localSheetId="5">'Fixed Assets'!$1:$4</definedName>
    <definedName name="_xlnm.Print_Titles" localSheetId="3">'Profit &amp; Loss Acc'!$2:$4</definedName>
    <definedName name="_xlnm.Print_Titles" localSheetId="9">PurchasesApr!$A:$A,PurchasesApr!$1:$4</definedName>
    <definedName name="_xlnm.Print_Titles" localSheetId="17">PurchasesAug!$A:$A,PurchasesAug!$1:$4</definedName>
    <definedName name="_xlnm.Print_Titles" localSheetId="25">PurchasesDec!$A:$A,PurchasesDec!$1:$4</definedName>
    <definedName name="_xlnm.Print_Titles" localSheetId="29">PurchasesFeb!$A:$A,PurchasesFeb!$1:$4</definedName>
    <definedName name="_xlnm.Print_Titles" localSheetId="27">PurchasesJan!$A:$A,PurchasesJan!$1:$4</definedName>
    <definedName name="_xlnm.Print_Titles" localSheetId="15">PurchasesJul!$A:$A,PurchasesJul!$1:$4</definedName>
    <definedName name="_xlnm.Print_Titles" localSheetId="13">PurchasesJun!$A:$A,PurchasesJun!$1:$4</definedName>
    <definedName name="_xlnm.Print_Titles" localSheetId="31">PurchasesMar!$A:$A,PurchasesMar!$1:$4</definedName>
    <definedName name="_xlnm.Print_Titles" localSheetId="11">PurchasesMay!$A:$A,PurchasesMay!$1:$4</definedName>
    <definedName name="_xlnm.Print_Titles" localSheetId="23">PurchasesNov!$A:$A,PurchasesNov!$1:$4</definedName>
    <definedName name="_xlnm.Print_Titles" localSheetId="21">PurchasesOct!$A:$A,PurchasesOct!$1:$4</definedName>
    <definedName name="_xlnm.Print_Titles" localSheetId="19">PurchasesSep!$A:$A,PurchasesSep!$1:$4</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<sst xmlns="http://schemas.openxmlformats.org/spreadsheetml/2006/main" count="1047" uniqueCount="318">
  <si>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</si>
  <si>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</si>
  <si>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</si>
  <si>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</si>
  <si>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</si>
  <si>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</si>
  <si>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</si>
  <si>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</si>
  <si>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</si>
  <si>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</si>
  <si>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</si>
  <si>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</si>
  <si>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</si>
  <si>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</si>
  <si>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</si>
  <si>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</si>
  <si>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</si>
  <si>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</si>
  <si>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</si>
  <si>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</si>
  <si>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</si>
  <si>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</si>
  <si>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</si>
  <si>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</si>
  <si>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</si>
  <si>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</si>
  <si>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</si>
  <si>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</si>
  <si>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</si>
  <si>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</si>
  <si>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</si>
  <si>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</si>
  <si>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</si>
  <si>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</si>
  <si>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</si>
  <si>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</si>
  <si>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</si>
  <si>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</si>
  <si>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</si>
  <si>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</si>
  <si>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</si>
  <si>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</si>
  <si>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</si>
  <si>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</si>
  <si>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</si>
  <si>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</si>
  <si>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</si>
  <si>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</si>
  <si>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</si>
  <si>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</si>
  <si>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</si>
  <si>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</si>
  <si>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</si>
  <si>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</si>
  <si>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</si>
  <si>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</si>
  <si>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</si>
  <si>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</si>
  <si>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</si>
  <si>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</si>
  <si>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</si>
  <si>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</si>
  <si>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</si>
  <si>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</si>
  <si>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</si>
  <si>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</si>
  <si>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</si>
  <si>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</si>
  <si>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</si>
  <si>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</si>
  <si>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</si>
  <si>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</si>
  <si>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</si>
  <si>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</si>
  <si>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</si>
  <si>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</si>
  <si>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</si>
  <si>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</si>
  <si>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</si>
  <si>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</si>
  <si>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</si>
  <si>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</si>
  <si>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</si>
  <si>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</si>
  <si>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</si>
  <si>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</si>
  <si>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</si>
  <si>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</si>
  <si>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</si>
  <si>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</si>
  <si>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</si>
  <si>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</si>
  <si>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</si>
  <si>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</si>
  <si>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</si>
  <si>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</si>
  <si>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</si>
  <si>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</si>
  <si>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</si>
  <si>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</si>
  <si>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</si>
  <si>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</si>
  <si>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</si>
  <si>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</si>
  <si>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</si>
  <si>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</si>
  <si>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</si>
  <si>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</si>
  <si>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</si>
  <si>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</si>
  <si>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</si>
  <si>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</si>
  <si>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</si>
  <si>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</si>
  <si>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</si>
  <si>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</si>
  <si>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</si>
  <si>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</si>
  <si>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</si>
  <si>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</si>
  <si>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</si>
  <si>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</si>
  <si>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</si>
  <si>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</si>
  <si>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</si>
  <si>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</si>
  <si>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</si>
  <si>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</si>
  <si>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</si>
  <si>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</si>
  <si>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</si>
  <si>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</si>
  <si>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</si>
  <si>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</si>
  <si>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</si>
  <si>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</si>
  <si>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</si>
  <si>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</si>
  <si>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</si>
  <si>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</si>
  <si>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</si>
  <si>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</si>
  <si>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</si>
  <si>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</si>
  <si>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</si>
  <si>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</si>
  <si>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</si>
  <si>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</si>
  <si>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</si>
  <si>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</si>
  <si>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</si>
  <si>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</si>
  <si>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</si>
  <si>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</si>
  <si>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</si>
  <si>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</si>
  <si>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</si>
  <si>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</si>
  <si>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</si>
  <si>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</si>
  <si>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</si>
  <si>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</si>
  <si>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</si>
  <si>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9</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</si>
  <si>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</si>
  <si>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</si>
  <si>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</si>
  <si>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the VAT threshold shown above</t>
    </r>
  </si>
  <si>
    <t>you may just put your total expenses in box 20,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</si>
  <si>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</si>
  <si>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</si>
  <si>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</si>
  <si>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</si>
  <si>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</si>
  <si>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</si>
  <si>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</si>
  <si>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</si>
  <si>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</si>
  <si>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</si>
  <si>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</si>
  <si>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11 to 19</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</si>
  <si>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</si>
  <si>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</si>
  <si>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</si>
  <si>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9 + box 10 minus box 20)</t>
  </si>
  <si>
    <t>income (box 9 + box 10 minus box 20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</si>
  <si>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</si>
  <si>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</si>
  <si>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</si>
  <si>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</si>
  <si>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</si>
  <si>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</si>
  <si>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</si>
  <si>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</si>
  <si>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</si>
  <si>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</si>
  <si>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9 or 10</t>
  </si>
  <si>
    <t xml:space="preserve"> - for example, Business Start-up Allowance</t>
  </si>
  <si>
    <t>Total taxable profits or net business loss</t>
  </si>
  <si>
    <t>Losses, Class 4 NICs and deductions</t>
  </si>
  <si>
    <r>
      <t xml:space="preserve">If you have made a loss for tax purposes (box 32), read page SESN 7 of the </t>
    </r>
    <r>
      <rPr>
        <i/>
        <sz val="8"/>
        <rFont val="Arial"/>
        <family val="2"/>
      </rPr>
      <t>notes</t>
    </r>
    <r>
      <rPr>
        <sz val="8"/>
        <rFont val="Arial"/>
        <family val="2"/>
      </rPr>
      <t xml:space="preserve"> and fill in boxes 33 to 35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</si>
  <si>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</si>
  <si>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</si>
  <si>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</si>
  <si>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</si>
  <si>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</si>
  <si>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</si>
  <si>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</si>
  <si>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</si>
  <si>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</si>
  <si>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</si>
  <si>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</si>
  <si>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</si>
  <si>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</si>
  <si>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</si>
  <si>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</si>
  <si>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</si>
  <si>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</si>
  <si>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</si>
  <si>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28</t>
    </r>
  </si>
  <si>
    <t>Net business profit for tax purposes (if box 21 + box 26 +</t>
  </si>
  <si>
    <t>box 27 minus boxes 22 to 25) is positive)</t>
  </si>
  <si>
    <t>Total taxable profits from this business</t>
  </si>
  <si>
    <t>Net business loss for tax purposes (if boxes 22 to 25</t>
  </si>
  <si>
    <t>if box 28 + box 30 minus box 29 is positive</t>
  </si>
  <si>
    <t>minus (box 21 + box 26 + box 27)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</si>
  <si>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</si>
  <si>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</si>
  <si>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</si>
  <si>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</si>
  <si>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</si>
  <si>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</si>
  <si>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</si>
  <si>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</si>
  <si>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</si>
  <si>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</si>
  <si>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</si>
  <si>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</si>
  <si>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</si>
  <si>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</si>
  <si>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</si>
  <si>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</si>
  <si>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</si>
  <si>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</si>
  <si>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</si>
  <si>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</si>
  <si>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</si>
  <si>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</si>
  <si>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</si>
  <si>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</si>
  <si>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</si>
  <si>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</si>
  <si>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</si>
  <si>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</si>
  <si>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</si>
  <si>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</si>
  <si>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</si>
  <si>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</si>
  <si>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</si>
  <si>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</si>
  <si>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</si>
  <si>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</si>
  <si>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</si>
  <si>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</si>
  <si>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</si>
  <si>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</si>
  <si>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</si>
  <si>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</si>
  <si>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</si>
  <si>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</si>
  <si>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</si>
  <si>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</si>
  <si>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</si>
  <si>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</si>
  <si>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</si>
  <si>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</si>
  <si>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</si>
  <si>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</si>
  <si>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</si>
  <si>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</si>
  <si>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</si>
  <si>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</si>
  <si>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</si>
  <si>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</si>
  <si>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</si>
  <si>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</si>
  <si>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</si>
  <si>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</si>
  <si>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</si>
  <si>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</si>
  <si>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</si>
  <si>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</si>
  <si>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</si>
  <si>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</si>
  <si>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</si>
  <si>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</si>
  <si>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</si>
  <si>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</si>
  <si>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</si>
  <si>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</si>
  <si>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</si>
  <si>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</si>
  <si>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</si>
  <si>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</si>
  <si>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</si>
  <si>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</si>
  <si>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</si>
  <si>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</si>
  <si>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</si>
  <si>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</si>
  <si>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</si>
  <si>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</si>
  <si>
    <t>2025-26</t>
  </si>
  <si>
    <t>Above Lower Profits Threshold (LPT)</t>
  </si>
  <si>
    <t>2026-27</t>
  </si>
  <si>
    <t>choose to pay Class 2 NICs voluntarily, put 'X' in the box</t>
  </si>
  <si>
    <t>Copyright (C) 2006-2026 DIY Accounting Limited</t>
  </si>
  <si>
    <t>Licensed under the PolyForm Internal Use License 1.0.0 with an additional grant for accountants. Free to use, source available: https://spreadsheets.diyaccounting.co.uk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</si>
</sst>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11" fillId="0" borderId="47" xfId="0" applyFont="1" applyBorder="1" applyAlignment="1">
      <alignment horizontal="right"/>
    </xf>
    <xf numFmtId="0" fontId="11" fillId="0" borderId="49" xfId="0" applyFont="1" applyBorder="1" applyAlignment="1">
      <alignment horizontal="right"/>
    </xf>
    <xf numFmtId="168" fontId="26" fillId="3" borderId="0" xfId="0" applyNumberFormat="1" applyFont="1" applyFill="1" applyAlignment="1">
      <alignment horizontal="lef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0" fillId="3" borderId="0" xfId="0" applyFill="1" applyAlignment="1">
      <alignment horizontal="left"/>
    </xf>
    <xf numFmtId="0" fontId="26" fillId="3" borderId="0" xfId="0" applyFont="1" applyFill="1" applyAlignment="1">
      <alignment vertical="center"/>
    </xf>
    <xf numFmtId="169" fontId="27" fillId="0" borderId="49" xfId="0" applyNumberFormat="1" applyFont="1" applyBorder="1" applyAlignment="1">
      <alignment horizontal="center" vertical="center"/>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0" fontId="38" fillId="0" borderId="39" xfId="0" applyFont="1" applyBorder="1" applyAlignment="1" applyProtection="1">
      <alignment vertical="center"/>
      <protection hidden="1"/>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0" fontId="38" fillId="0" borderId="0" xfId="0" applyFont="1" applyAlignment="1" applyProtection="1">
      <alignment vertical="center"/>
      <protection hidden="1"/>
    </xf>
    <xf numFmtId="0" fontId="38" fillId="0" borderId="33" xfId="0" applyFont="1" applyBorder="1" applyAlignment="1" applyProtection="1">
      <alignment vertical="center"/>
      <protection hidden="1"/>
    </xf>
    <xf numFmtId="0" fontId="26" fillId="0" borderId="33" xfId="0" applyFont="1" applyBorder="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38" fillId="0" borderId="48" xfId="0" applyFont="1" applyBorder="1" applyAlignment="1" applyProtection="1">
      <alignment vertical="center"/>
      <protection hidden="1"/>
    </xf>
    <xf numFmtId="0" fontId="26" fillId="3" borderId="0" xfId="0" applyFont="1" applyFill="1" applyAlignment="1" applyProtection="1">
      <alignment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168" fontId="26" fillId="3" borderId="0" xfId="0" applyNumberFormat="1" applyFont="1" applyFill="1" applyAlignment="1" applyProtection="1">
      <alignment horizontal="left"/>
      <protection hidden="1"/>
    </xf>
    <xf numFmtId="0" fontId="38" fillId="0" borderId="50" xfId="0" applyFont="1" applyBorder="1" applyAlignment="1" applyProtection="1">
      <alignment vertical="center"/>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11" fillId="3" borderId="22" xfId="0" applyFont="1" applyFill="1" applyBorder="1" applyAlignment="1" applyProtection="1">
      <alignment horizontal="center" vertical="center" wrapText="1"/>
      <protection hidden="1"/>
    </xf>
    <xf numFmtId="0" fontId="4" fillId="3" borderId="2" xfId="3" applyFont="1" applyFill="1" applyBorder="1" applyAlignment="1" applyProtection="1">
      <alignment horizontal="center" vertical="center"/>
      <protection hidden="1"/>
    </xf>
    <xf numFmtId="15" fontId="8" fillId="3" borderId="6"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applyAlignment="1">
      <alignment horizontal="right" vertical="center"/>
    </xf>
    <xf numFmtId="0" fontId="0" fillId="2" borderId="41" xfId="0" applyFill="1" applyBorder="1"/>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56"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0" fontId="23" fillId="3" borderId="16" xfId="0"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3" borderId="16" xfId="0" applyFill="1"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23" fillId="3" borderId="0" xfId="0" applyFont="1" applyFill="1" applyProtection="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indent="1"/>
      <protection hidden="1"/>
    </xf>
    <xf numFmtId="0" fontId="12" fillId="0" borderId="3"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xf numFmtId="0" fontId="23" fillId="0" borderId="0" xfId="0" applyFont="1" applyProtection="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3"/>
  <sheetViews>
    <sheetView tabSelected="1"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HYPERLINK("#'Business Details'!C5","Business Details")</f>
        <v>Business Details</v>
      </c>
      <c r="C8" s="282" t="str">
        <f>HYPERLINK("#'SalesApr'!E5","SalesApr")</f>
        <v>SalesApr</v>
      </c>
      <c r="D8" s="282" t="str">
        <f>HYPERLINK("#'PurchasesApr'!A5","PurchasesApr")</f>
        <v>PurchasesApr</v>
      </c>
      <c r="E8" s="281" t="str">
        <f>HYPERLINK("#'SE Short'!C8","SE Short")</f>
        <v>SE Short</v>
      </c>
      <c r="G8" t="s">
        <v>279</v>
      </c>
    </row>
    <row r="9" spans="2:7" x14ac:dyDescent="0.15">
      <c r="B9" s="281" t="str">
        <f>HYPERLINK("#'Fixed Assets'!A7","Fixed Assets")</f>
        <v>Fixed Assets</v>
      </c>
      <c r="C9" s="282" t="str">
        <f>HYPERLINK("#'SalesMay'!E5","SalesMay")</f>
        <v>SalesMay</v>
      </c>
      <c r="D9" s="282" t="str">
        <f>HYPERLINK("#'PurchasesMay'!A5","PurchasesMay")</f>
        <v>PurchasesMay</v>
      </c>
      <c r="E9" s="281" t="str">
        <f>HYPERLINK("#'Profit &amp; Loss Acc'!A1","Profit &amp; Loss Acc")</f>
        <v>Profit &amp; Loss Acc</v>
      </c>
    </row>
    <row r="10" spans="2:7" x14ac:dyDescent="0.15">
      <c r="B10" s="281"/>
      <c r="C10" s="282" t="str">
        <f>HYPERLINK("#'SalesJun'!E5","SalesJun")</f>
        <v>SalesJun</v>
      </c>
      <c r="D10" s="282" t="str">
        <f>HYPERLINK("#'PurchasesJun'!A5","PurchasesJun")</f>
        <v>PurchasesJun</v>
      </c>
      <c r="E10" s="281" t="str">
        <f>HYPERLINK("#'Draft Tax calculation'!D2","Draft Tax Calculation")</f>
        <v>Draft Tax Calculation</v>
      </c>
    </row>
    <row r="11" spans="2:7" x14ac:dyDescent="0.15">
      <c r="B11" s="282"/>
      <c r="C11" s="282" t="str">
        <f>HYPERLINK("#'SalesJul'!E5","SalesJul")</f>
        <v>SalesJul</v>
      </c>
      <c r="D11" s="282" t="str">
        <f>HYPERLINK("#'PurchasesJul'!A5","PurchasesJul")</f>
        <v>PurchasesJul</v>
      </c>
      <c r="E11" s="281"/>
    </row>
    <row r="12" spans="2:7" x14ac:dyDescent="0.15">
      <c r="B12" s="282"/>
      <c r="C12" s="282" t="str">
        <f>HYPERLINK("#'SalesAug'!E5","SalesAug")</f>
        <v>SalesAug</v>
      </c>
      <c r="D12" s="282" t="str">
        <f>HYPERLINK("#'PurchasesAug'!A5","PurchasesAug")</f>
        <v>PurchasesAug</v>
      </c>
      <c r="E12" s="281"/>
    </row>
    <row r="13" spans="2:7" x14ac:dyDescent="0.15">
      <c r="B13" s="282"/>
      <c r="C13" s="282" t="str">
        <f>HYPERLINK("#'SalesSep'!E5","SalesSep")</f>
        <v>SalesSep</v>
      </c>
      <c r="D13" s="282" t="str">
        <f>HYPERLINK("#'PurchasesSep'!A5","PurchasesSep")</f>
        <v>PurchasesSep</v>
      </c>
      <c r="E13" s="281"/>
    </row>
    <row r="14" spans="2:7" x14ac:dyDescent="0.15">
      <c r="B14" s="282"/>
      <c r="C14" s="282" t="str">
        <f>HYPERLINK("#'SalesOct'!E5","SalesOct")</f>
        <v>SalesOct</v>
      </c>
      <c r="D14" s="282" t="str">
        <f>HYPERLINK("#'PurchasesOct'!A5","PurchasesOct")</f>
        <v>PurchasesOct</v>
      </c>
      <c r="E14" s="281"/>
    </row>
    <row r="15" spans="2:7" x14ac:dyDescent="0.15">
      <c r="B15" s="282"/>
      <c r="C15" s="282" t="str">
        <f>HYPERLINK("#'SalesNov'!E5","SalesNov")</f>
        <v>SalesNov</v>
      </c>
      <c r="D15" s="282" t="str">
        <f>HYPERLINK("#'PurchasesNov'!A5","PurchasesNov")</f>
        <v>PurchasesNov</v>
      </c>
      <c r="E15" s="281"/>
    </row>
    <row r="16" spans="2:7" x14ac:dyDescent="0.15">
      <c r="B16" s="282"/>
      <c r="C16" s="282" t="str">
        <f>HYPERLINK("#'SalesDec'!E5","SalesDec")</f>
        <v>SalesDec</v>
      </c>
      <c r="D16" s="282" t="str">
        <f>HYPERLINK("#'PurchasesDec'!A5","PurchasesDec")</f>
        <v>PurchasesDec</v>
      </c>
      <c r="E16" s="281"/>
    </row>
    <row r="17" spans="2:5" x14ac:dyDescent="0.15">
      <c r="B17" s="282"/>
      <c r="C17" s="282" t="str">
        <f>HYPERLINK("#'SalesJan'!E5","SalesJan")</f>
        <v>SalesJan</v>
      </c>
      <c r="D17" s="282" t="str">
        <f>HYPERLINK("#'PurchasesJan'!A5","PurchasesJan")</f>
        <v>PurchasesJan</v>
      </c>
      <c r="E17" s="279"/>
    </row>
    <row r="18" spans="2:5" x14ac:dyDescent="0.15">
      <c r="B18" s="282"/>
      <c r="C18" s="282" t="str">
        <f>HYPERLINK("#'SalesFeb'!E5","SalesFeb")</f>
        <v>SalesFeb</v>
      </c>
      <c r="D18" s="282" t="str">
        <f>HYPERLINK("#'PurchasesFeb'!A5","PurchasesFeb")</f>
        <v>PurchasesFeb</v>
      </c>
      <c r="E18" s="279"/>
    </row>
    <row r="19" spans="2:5" x14ac:dyDescent="0.15">
      <c r="B19" s="282"/>
      <c r="C19" s="282" t="str">
        <f>HYPERLINK("#'SalesMar'!E5","SalesMar")</f>
        <v>SalesMar</v>
      </c>
      <c r="D19" s="282" t="str">
        <f>HYPERLINK("#'PurchasesMar'!A5","PurchasesMar")</f>
        <v>PurchasesMar</v>
      </c>
      <c r="E19" s="279"/>
    </row>
    <row r="20" spans="2:5" x14ac:dyDescent="0.15">
      <c r="B20" s="279"/>
      <c r="C20" s="279"/>
      <c r="D20" s="279"/>
      <c r="E20" s="279"/>
    </row>
    <row r="22">
      <c r="B22" s="348" t="s">
        <v>316</v>
      </c>
    </row>
    <row r="23">
      <c r="B23" s="348" t="s">
        <v>317</v>
      </c>
    </row>
  </sheetData>
  <mergeCells count="4">
    <mergeCell ref="B2:E2"/>
    <mergeCell ref="B4:E4"/>
    <mergeCell ref="B22:E22"/>
    <mergeCell ref="B23:E2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72" t="s">
        <v>133</v>
      </c>
      <c r="B1" s="373"/>
      <c r="C1" s="373"/>
      <c r="D1" s="373"/>
      <c r="E1" s="373"/>
      <c r="F1" s="373"/>
      <c r="G1" s="373"/>
      <c r="H1" s="373"/>
      <c r="I1" s="373"/>
      <c r="J1" s="373"/>
      <c r="K1" s="373"/>
      <c r="L1" s="373"/>
      <c r="M1" s="373"/>
      <c r="N1" s="373"/>
      <c r="O1" s="373"/>
      <c r="P1" s="373"/>
      <c r="Q1" s="373"/>
      <c r="R1" s="373"/>
      <c r="S1" s="373"/>
      <c r="T1" s="373"/>
      <c r="U1" s="373"/>
      <c r="V1" s="373"/>
      <c r="W1" s="374"/>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66"/>
      <c r="D5" s="367"/>
      <c r="E5" s="367"/>
      <c r="F5" s="367"/>
      <c r="G5" s="367"/>
      <c r="H5" s="367"/>
      <c r="I5" s="367"/>
      <c r="J5" s="368"/>
      <c r="K5" s="174"/>
      <c r="L5" s="174"/>
      <c r="M5" s="174"/>
      <c r="N5" s="174"/>
      <c r="O5" s="375"/>
      <c r="P5" s="376"/>
      <c r="Q5" s="174"/>
      <c r="R5" s="375"/>
      <c r="S5" s="377"/>
      <c r="T5" s="377"/>
      <c r="U5" s="376"/>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66" t="s">
        <v>213</v>
      </c>
      <c r="D8" s="367"/>
      <c r="E8" s="367"/>
      <c r="F8" s="367"/>
      <c r="G8" s="367"/>
      <c r="H8" s="367"/>
      <c r="I8" s="367"/>
      <c r="J8" s="368"/>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66"/>
      <c r="D10" s="367"/>
      <c r="E10" s="367"/>
      <c r="F10" s="367"/>
      <c r="G10" s="367"/>
      <c r="H10" s="367"/>
      <c r="I10" s="367"/>
      <c r="J10" s="368"/>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66"/>
      <c r="D12" s="367"/>
      <c r="E12" s="367"/>
      <c r="F12" s="367"/>
      <c r="G12" s="367"/>
      <c r="H12" s="367"/>
      <c r="I12" s="367"/>
      <c r="J12" s="368"/>
      <c r="K12" s="174"/>
      <c r="L12" s="178">
        <v>5</v>
      </c>
      <c r="M12" s="174"/>
      <c r="N12" s="175" t="s">
        <v>139</v>
      </c>
      <c r="O12" s="175"/>
      <c r="P12" s="175"/>
      <c r="Q12" s="175"/>
      <c r="R12" s="179"/>
      <c r="S12" s="352">
        <f>Admin!B4</f>
        <v>45753</v>
      </c>
      <c r="T12" s="369"/>
      <c r="U12" s="369"/>
      <c r="V12" s="369"/>
      <c r="W12" s="181"/>
    </row>
    <row r="13" spans="1:23" ht="11.25" customHeight="1" x14ac:dyDescent="0.15">
      <c r="A13" s="182"/>
      <c r="B13" s="174"/>
      <c r="C13" s="174"/>
      <c r="D13" s="174"/>
      <c r="E13" s="174"/>
      <c r="F13" s="174"/>
      <c r="G13" s="174"/>
      <c r="H13" s="174"/>
      <c r="I13" s="174"/>
      <c r="J13" s="174"/>
      <c r="K13" s="174"/>
      <c r="L13" s="174"/>
      <c r="M13" s="174"/>
      <c r="N13" s="370" t="s">
        <v>140</v>
      </c>
      <c r="O13" s="370"/>
      <c r="P13" s="370"/>
      <c r="Q13" s="370"/>
      <c r="R13" s="370"/>
      <c r="S13" s="370"/>
      <c r="T13" s="370"/>
      <c r="U13" s="370"/>
      <c r="V13" s="370"/>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58"/>
      <c r="O15" s="359"/>
      <c r="P15" s="359"/>
      <c r="Q15" s="371"/>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50"/>
      <c r="D17" s="351"/>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2">
        <f>Admin!B17</f>
        <v>46117</v>
      </c>
      <c r="T18" s="353"/>
      <c r="U18" s="354"/>
      <c r="V18" s="354"/>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58"/>
      <c r="O21" s="359"/>
      <c r="P21" s="359"/>
      <c r="Q21" s="360"/>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58">
        <f>Admin!B17</f>
        <v>46117</v>
      </c>
      <c r="O25" s="359"/>
      <c r="P25" s="359"/>
      <c r="Q25" s="360"/>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61"/>
      <c r="E29" s="362"/>
      <c r="F29" s="363"/>
      <c r="G29" s="194" t="s">
        <v>153</v>
      </c>
      <c r="H29" s="195">
        <v>0</v>
      </c>
      <c r="I29" s="195">
        <v>0</v>
      </c>
      <c r="J29" s="174"/>
      <c r="K29" s="174"/>
      <c r="L29" s="175"/>
      <c r="M29" s="174"/>
      <c r="N29" s="193" t="s">
        <v>50</v>
      </c>
      <c r="O29" s="361"/>
      <c r="P29" s="364"/>
      <c r="Q29" s="365"/>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55">
        <f>'SE Short'!O94</f>
        <v>0</v>
      </c>
      <c r="E34" s="356"/>
      <c r="F34" s="357"/>
      <c r="G34" s="194" t="s">
        <v>153</v>
      </c>
      <c r="H34" s="195">
        <v>0</v>
      </c>
      <c r="I34" s="195">
        <v>0</v>
      </c>
      <c r="J34" s="174"/>
      <c r="K34" s="174"/>
      <c r="L34" s="174"/>
      <c r="M34" s="174"/>
      <c r="N34" s="193" t="s">
        <v>50</v>
      </c>
      <c r="O34" s="355">
        <f>D29-D34+'SE Short'!O106</f>
        <v>0</v>
      </c>
      <c r="P34" s="356"/>
      <c r="Q34" s="357"/>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A1:W1"/>
    <mergeCell ref="C5:J5"/>
    <mergeCell ref="O5:P5"/>
    <mergeCell ref="R5:U5"/>
    <mergeCell ref="C8:J8"/>
    <mergeCell ref="C10:J10"/>
    <mergeCell ref="C12:J12"/>
    <mergeCell ref="S12:V12"/>
    <mergeCell ref="N13:V13"/>
    <mergeCell ref="N15:Q15"/>
    <mergeCell ref="C17:D17"/>
    <mergeCell ref="S18:V18"/>
    <mergeCell ref="D34:F34"/>
    <mergeCell ref="O34:Q34"/>
    <mergeCell ref="N21:Q21"/>
    <mergeCell ref="N25:Q25"/>
    <mergeCell ref="D29:F29"/>
    <mergeCell ref="O29:Q29"/>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403" t="s">
        <v>157</v>
      </c>
      <c r="B1" s="403"/>
      <c r="C1" s="403"/>
      <c r="D1" s="403"/>
      <c r="E1" s="403"/>
      <c r="F1" s="403"/>
      <c r="G1" s="404" t="s">
        <v>281</v>
      </c>
      <c r="H1" s="404"/>
      <c r="I1" s="404"/>
      <c r="J1" s="404"/>
      <c r="K1" s="404"/>
      <c r="L1" s="404"/>
      <c r="M1" s="404"/>
      <c r="N1" s="404"/>
      <c r="O1" s="405" t="s">
        <v>158</v>
      </c>
      <c r="P1" s="405"/>
      <c r="Q1" s="405"/>
      <c r="R1" s="405"/>
      <c r="S1" s="405"/>
      <c r="T1" s="405"/>
      <c r="U1" s="405"/>
      <c r="V1" s="405"/>
      <c r="W1" s="405"/>
    </row>
    <row r="2" spans="1:23" ht="30" customHeight="1" x14ac:dyDescent="0.15">
      <c r="A2" s="403"/>
      <c r="B2" s="403"/>
      <c r="C2" s="403"/>
      <c r="D2" s="403"/>
      <c r="E2" s="403"/>
      <c r="F2" s="403"/>
      <c r="G2" s="404"/>
      <c r="H2" s="404"/>
      <c r="I2" s="404"/>
      <c r="J2" s="404"/>
      <c r="K2" s="404"/>
      <c r="L2" s="404"/>
      <c r="M2" s="404"/>
      <c r="N2" s="404"/>
      <c r="O2" s="406" t="s">
        <v>159</v>
      </c>
      <c r="P2" s="406"/>
      <c r="Q2" s="407">
        <f>Admin!B4</f>
        <v>45753</v>
      </c>
      <c r="R2" s="407"/>
      <c r="S2" s="407"/>
      <c r="T2" s="407"/>
      <c r="U2" s="205" t="s">
        <v>160</v>
      </c>
      <c r="V2" s="407">
        <f>Admin!B17</f>
        <v>46117</v>
      </c>
      <c r="W2" s="407"/>
    </row>
    <row r="3" spans="1:23" ht="8.25" customHeight="1" x14ac:dyDescent="0.15">
      <c r="A3" s="398"/>
      <c r="B3" s="398"/>
      <c r="C3" s="398"/>
      <c r="D3" s="398"/>
      <c r="E3" s="398"/>
      <c r="F3" s="398"/>
      <c r="G3" s="398"/>
      <c r="H3" s="398"/>
      <c r="I3" s="398"/>
      <c r="J3" s="398"/>
      <c r="K3" s="398"/>
      <c r="L3" s="398"/>
      <c r="M3" s="398"/>
      <c r="N3" s="398"/>
      <c r="O3" s="398"/>
      <c r="P3" s="398"/>
      <c r="Q3" s="398"/>
      <c r="R3" s="398"/>
      <c r="S3" s="398"/>
      <c r="T3" s="398"/>
      <c r="U3" s="398"/>
      <c r="V3" s="398"/>
      <c r="W3" s="398"/>
    </row>
    <row r="4" spans="1:23" ht="10" customHeight="1" x14ac:dyDescent="0.15">
      <c r="A4" s="399"/>
      <c r="B4" s="399"/>
      <c r="C4" s="399"/>
      <c r="D4" s="399"/>
      <c r="E4" s="399"/>
      <c r="F4" s="399"/>
      <c r="G4" s="399"/>
      <c r="H4" s="399"/>
      <c r="I4" s="399"/>
      <c r="J4" s="399"/>
      <c r="K4" s="399"/>
      <c r="L4" s="399"/>
      <c r="M4" s="399"/>
      <c r="N4" s="399"/>
      <c r="O4" s="399"/>
      <c r="P4" s="399"/>
      <c r="Q4" s="399"/>
      <c r="R4" s="399"/>
      <c r="S4" s="399"/>
      <c r="T4" s="399"/>
      <c r="U4" s="399"/>
      <c r="V4" s="399"/>
      <c r="W4" s="399"/>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5" t="str">
        <f>IF('Business Details'!C5&gt;0,'Business Details'!C5," ")</f>
        <v xml:space="preserve"> </v>
      </c>
      <c r="D8" s="396"/>
      <c r="E8" s="396"/>
      <c r="F8" s="396"/>
      <c r="G8" s="396"/>
      <c r="H8" s="396"/>
      <c r="I8" s="396"/>
      <c r="J8" s="397"/>
      <c r="K8" s="249"/>
      <c r="L8" s="249"/>
      <c r="M8" s="249"/>
      <c r="N8" s="249"/>
      <c r="O8" s="400" t="str">
        <f>IF('Business Details'!O5&gt;0,'Business Details'!O5," ")</f>
        <v xml:space="preserve"> </v>
      </c>
      <c r="P8" s="401"/>
      <c r="Q8" s="249"/>
      <c r="R8" s="400" t="str">
        <f>IF('Business Details'!R5&gt;0,'Business Details'!R5," ")</f>
        <v xml:space="preserve"> </v>
      </c>
      <c r="S8" s="402"/>
      <c r="T8" s="402"/>
      <c r="U8" s="401"/>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4" t="s">
        <v>33</v>
      </c>
      <c r="B10" s="394"/>
      <c r="C10" s="394"/>
      <c r="D10" s="394"/>
      <c r="E10" s="394"/>
      <c r="F10" s="394"/>
      <c r="G10" s="394"/>
      <c r="H10" s="394"/>
      <c r="I10" s="394"/>
      <c r="J10" s="394"/>
      <c r="K10" s="394"/>
      <c r="L10" s="394"/>
      <c r="M10" s="394"/>
      <c r="N10" s="394"/>
      <c r="O10" s="394"/>
      <c r="P10" s="394"/>
      <c r="Q10" s="394"/>
      <c r="R10" s="394"/>
      <c r="S10" s="394"/>
      <c r="T10" s="394"/>
      <c r="U10" s="394"/>
      <c r="V10" s="394"/>
      <c r="W10" s="394"/>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5" t="str">
        <f>IF('Business Details'!C8&gt;0,'Business Details'!C8," ")</f>
        <v>Taxi Driver</v>
      </c>
      <c r="D13" s="396"/>
      <c r="E13" s="396"/>
      <c r="F13" s="396"/>
      <c r="G13" s="396"/>
      <c r="H13" s="396"/>
      <c r="I13" s="396"/>
      <c r="J13" s="397"/>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5" t="str">
        <f>IF('Business Details'!C10&gt;0,'Business Details'!C10," ")</f>
        <v xml:space="preserve"> </v>
      </c>
      <c r="D15" s="396"/>
      <c r="E15" s="396"/>
      <c r="F15" s="396"/>
      <c r="G15" s="396"/>
      <c r="H15" s="396"/>
      <c r="I15" s="396"/>
      <c r="J15" s="397"/>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5" t="str">
        <f>IF('Business Details'!C12&gt;0,'Business Details'!C12," ")</f>
        <v xml:space="preserve"> </v>
      </c>
      <c r="D17" s="396"/>
      <c r="E17" s="396"/>
      <c r="F17" s="396"/>
      <c r="G17" s="396"/>
      <c r="H17" s="396"/>
      <c r="I17" s="396"/>
      <c r="J17" s="397"/>
      <c r="K17" s="158"/>
      <c r="L17" s="219">
        <v>5</v>
      </c>
      <c r="M17" s="158"/>
      <c r="N17" s="210" t="s">
        <v>139</v>
      </c>
      <c r="O17" s="210"/>
      <c r="P17" s="210"/>
      <c r="Q17" s="210"/>
      <c r="R17" s="220"/>
      <c r="S17" s="393">
        <f>Admin!B4</f>
        <v>45753</v>
      </c>
      <c r="T17" s="393"/>
      <c r="U17" s="393"/>
      <c r="V17" s="393"/>
      <c r="W17" s="222"/>
    </row>
    <row r="18" spans="1:23" ht="12" customHeight="1" x14ac:dyDescent="0.15">
      <c r="A18" s="223"/>
      <c r="B18" s="158"/>
      <c r="C18" s="158"/>
      <c r="D18" s="158"/>
      <c r="E18" s="158"/>
      <c r="F18" s="158"/>
      <c r="G18" s="158"/>
      <c r="H18" s="158"/>
      <c r="I18" s="158"/>
      <c r="J18" s="158"/>
      <c r="K18" s="158"/>
      <c r="L18" s="158"/>
      <c r="M18" s="158"/>
      <c r="N18" s="390" t="s">
        <v>161</v>
      </c>
      <c r="O18" s="390"/>
      <c r="P18" s="390"/>
      <c r="Q18" s="390"/>
      <c r="R18" s="390"/>
      <c r="S18" s="390"/>
      <c r="T18" s="390"/>
      <c r="U18" s="390"/>
      <c r="V18" s="390"/>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386" t="str">
        <f>IF('Business Details'!N15&gt;0,'Business Details'!N15," ")</f>
        <v xml:space="preserve"> </v>
      </c>
      <c r="O20" s="387"/>
      <c r="P20" s="387"/>
      <c r="Q20" s="388"/>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391" t="str">
        <f>IF('Business Details'!C17&gt;0,'Business Details'!C17," ")</f>
        <v xml:space="preserve"> </v>
      </c>
      <c r="D22" s="392"/>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3">
        <f>Admin!B17</f>
        <v>46117</v>
      </c>
      <c r="T23" s="393"/>
      <c r="U23" s="393"/>
      <c r="V23" s="393"/>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386" t="str">
        <f>IF('Business Details'!N21&gt;0,'Business Details'!N21," ")</f>
        <v xml:space="preserve"> </v>
      </c>
      <c r="O26" s="387"/>
      <c r="P26" s="387"/>
      <c r="Q26" s="388"/>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386">
        <f>Admin!B17</f>
        <v>46117</v>
      </c>
      <c r="O31" s="387"/>
      <c r="P31" s="387"/>
      <c r="Q31" s="388"/>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389" t="str">
        <f>"Business income - if your annual turnover was below £"&amp;Admin!F26&amp;" VAT threshold"</f>
        <v>Business income - if your annual turnover was below £90000 VAT threshold</v>
      </c>
      <c r="B33" s="389"/>
      <c r="C33" s="389"/>
      <c r="D33" s="389"/>
      <c r="E33" s="389"/>
      <c r="F33" s="389"/>
      <c r="G33" s="389"/>
      <c r="H33" s="389"/>
      <c r="I33" s="389"/>
      <c r="J33" s="389"/>
      <c r="K33" s="389"/>
      <c r="L33" s="389"/>
      <c r="M33" s="389"/>
      <c r="N33" s="389"/>
      <c r="O33" s="389"/>
      <c r="P33" s="389"/>
      <c r="Q33" s="389"/>
      <c r="R33" s="389"/>
      <c r="S33" s="389"/>
      <c r="T33" s="389"/>
      <c r="U33" s="389"/>
      <c r="V33" s="389"/>
      <c r="W33" s="389"/>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9</v>
      </c>
      <c r="B35" s="158"/>
      <c r="C35" s="210" t="s">
        <v>162</v>
      </c>
      <c r="D35" s="210"/>
      <c r="E35" s="210"/>
      <c r="F35" s="210"/>
      <c r="G35" s="210"/>
      <c r="H35" s="210"/>
      <c r="I35" s="210"/>
      <c r="J35" s="210"/>
      <c r="K35" s="210"/>
      <c r="L35" s="219">
        <v>10</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9">
        <f>'Profit &amp; Loss Acc'!B5</f>
        <v>0</v>
      </c>
      <c r="E38" s="380"/>
      <c r="F38" s="381"/>
      <c r="G38" s="234" t="s">
        <v>153</v>
      </c>
      <c r="H38" s="235">
        <v>0</v>
      </c>
      <c r="I38" s="235">
        <v>0</v>
      </c>
      <c r="J38" s="158"/>
      <c r="K38" s="158"/>
      <c r="L38" s="158"/>
      <c r="M38" s="158"/>
      <c r="N38" s="233" t="s">
        <v>50</v>
      </c>
      <c r="O38" s="379"/>
      <c r="P38" s="380"/>
      <c r="Q38" s="381"/>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378" t="s">
        <v>166</v>
      </c>
      <c r="B40" s="378"/>
      <c r="C40" s="378"/>
      <c r="D40" s="378"/>
      <c r="E40" s="378"/>
      <c r="F40" s="378"/>
      <c r="G40" s="378"/>
      <c r="H40" s="378"/>
      <c r="I40" s="378"/>
      <c r="J40" s="378"/>
      <c r="K40" s="378"/>
      <c r="L40" s="378"/>
      <c r="M40" s="378"/>
      <c r="N40" s="378"/>
      <c r="O40" s="378"/>
      <c r="P40" s="378"/>
      <c r="Q40" s="378"/>
      <c r="R40" s="378"/>
      <c r="S40" s="378"/>
      <c r="T40" s="378"/>
      <c r="U40" s="378"/>
      <c r="V40" s="378"/>
      <c r="W40" s="378"/>
    </row>
    <row r="41" spans="1:23" s="238" customFormat="1" ht="14" customHeight="1" x14ac:dyDescent="0.15">
      <c r="A41" s="382" t="s">
        <v>167</v>
      </c>
      <c r="B41" s="382"/>
      <c r="C41" s="382"/>
      <c r="D41" s="382"/>
      <c r="E41" s="382"/>
      <c r="F41" s="382"/>
      <c r="G41" s="382"/>
      <c r="H41" s="382"/>
      <c r="I41" s="382"/>
      <c r="J41" s="382"/>
      <c r="K41" s="382"/>
      <c r="L41" s="382"/>
      <c r="M41" s="382"/>
      <c r="N41" s="382"/>
      <c r="O41" s="382"/>
      <c r="P41" s="382"/>
      <c r="Q41" s="382"/>
      <c r="R41" s="382"/>
      <c r="S41" s="382"/>
      <c r="T41" s="382"/>
      <c r="U41" s="382"/>
      <c r="V41" s="382"/>
      <c r="W41" s="382"/>
    </row>
    <row r="42" spans="1:23" s="238" customFormat="1" ht="14" customHeight="1" x14ac:dyDescent="0.15">
      <c r="A42" s="385" t="s">
        <v>168</v>
      </c>
      <c r="B42" s="385"/>
      <c r="C42" s="385"/>
      <c r="D42" s="385"/>
      <c r="E42" s="385"/>
      <c r="F42" s="385"/>
      <c r="G42" s="385"/>
      <c r="H42" s="385"/>
      <c r="I42" s="385"/>
      <c r="J42" s="385"/>
      <c r="K42" s="385"/>
      <c r="L42" s="385"/>
      <c r="M42" s="385"/>
      <c r="N42" s="385"/>
      <c r="O42" s="385"/>
      <c r="P42" s="385"/>
      <c r="Q42" s="385"/>
      <c r="R42" s="385"/>
      <c r="S42" s="385"/>
      <c r="T42" s="385"/>
      <c r="U42" s="385"/>
      <c r="V42" s="385"/>
      <c r="W42" s="385"/>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11</v>
      </c>
      <c r="B44" s="158"/>
      <c r="C44" s="210" t="s">
        <v>169</v>
      </c>
      <c r="D44" s="210"/>
      <c r="E44" s="210"/>
      <c r="F44" s="210"/>
      <c r="G44" s="210"/>
      <c r="H44" s="210"/>
      <c r="I44" s="210"/>
      <c r="J44" s="210"/>
      <c r="K44" s="210"/>
      <c r="L44" s="219">
        <v>16</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9" t="str">
        <f>IF(('Profit &amp; Loss Acc'!B5&lt;Admin!F26)," ",'Profit &amp; Loss Acc'!B12-'Profit &amp; Loss Acc'!B10)</f>
        <v xml:space="preserve"> </v>
      </c>
      <c r="E46" s="380"/>
      <c r="F46" s="381"/>
      <c r="G46" s="234" t="s">
        <v>153</v>
      </c>
      <c r="H46" s="235">
        <v>0</v>
      </c>
      <c r="I46" s="235">
        <v>0</v>
      </c>
      <c r="J46" s="158"/>
      <c r="K46" s="158"/>
      <c r="L46" s="158"/>
      <c r="M46" s="158"/>
      <c r="N46" s="233" t="s">
        <v>50</v>
      </c>
      <c r="O46" s="379" t="str">
        <f>IF(('Profit &amp; Loss Acc'!B5&lt;Admin!F26)," ",'Profit &amp; Loss Acc'!B18)</f>
        <v xml:space="preserve"> </v>
      </c>
      <c r="P46" s="380"/>
      <c r="Q46" s="381"/>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12</v>
      </c>
      <c r="B48" s="158"/>
      <c r="C48" s="210" t="s">
        <v>171</v>
      </c>
      <c r="D48" s="210"/>
      <c r="E48" s="210"/>
      <c r="F48" s="210"/>
      <c r="G48" s="210"/>
      <c r="H48" s="210"/>
      <c r="I48" s="210"/>
      <c r="J48" s="210"/>
      <c r="K48" s="210"/>
      <c r="L48" s="219">
        <v>17</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9"/>
      <c r="E51" s="380"/>
      <c r="F51" s="381"/>
      <c r="G51" s="234" t="s">
        <v>153</v>
      </c>
      <c r="H51" s="235">
        <v>0</v>
      </c>
      <c r="I51" s="235">
        <v>0</v>
      </c>
      <c r="J51" s="158"/>
      <c r="K51" s="158"/>
      <c r="L51" s="158"/>
      <c r="M51" s="158"/>
      <c r="N51" s="233" t="s">
        <v>50</v>
      </c>
      <c r="O51" s="379" t="str">
        <f>IF(('Profit &amp; Loss Acc'!B5&lt;Admin!F26)," ",'Profit &amp; Loss Acc'!B19+'Profit &amp; Loss Acc'!B20)</f>
        <v xml:space="preserve"> </v>
      </c>
      <c r="P51" s="380"/>
      <c r="Q51" s="381"/>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13</v>
      </c>
      <c r="B53" s="158"/>
      <c r="C53" s="210" t="s">
        <v>174</v>
      </c>
      <c r="D53" s="210"/>
      <c r="E53" s="210"/>
      <c r="F53" s="210"/>
      <c r="G53" s="210"/>
      <c r="H53" s="210"/>
      <c r="I53" s="210"/>
      <c r="J53" s="210"/>
      <c r="K53" s="210"/>
      <c r="L53" s="219">
        <v>18</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9" t="str">
        <f>IF(('Profit &amp; Loss Acc'!B5&lt;Admin!F26)," ",'Profit &amp; Loss Acc'!B14)</f>
        <v xml:space="preserve"> </v>
      </c>
      <c r="E55" s="380"/>
      <c r="F55" s="381"/>
      <c r="G55" s="234" t="s">
        <v>153</v>
      </c>
      <c r="H55" s="235">
        <v>0</v>
      </c>
      <c r="I55" s="235">
        <v>0</v>
      </c>
      <c r="J55" s="158"/>
      <c r="K55" s="158"/>
      <c r="L55" s="158"/>
      <c r="M55" s="158"/>
      <c r="N55" s="233" t="s">
        <v>50</v>
      </c>
      <c r="O55" s="379" t="str">
        <f>IF(('Profit &amp; Loss Acc'!B5&lt;Admin!F26)," ",'Profit &amp; Loss Acc'!B16)</f>
        <v xml:space="preserve"> </v>
      </c>
      <c r="P55" s="380"/>
      <c r="Q55" s="381"/>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14</v>
      </c>
      <c r="B57" s="158"/>
      <c r="C57" s="210" t="s">
        <v>176</v>
      </c>
      <c r="D57" s="210"/>
      <c r="E57" s="210"/>
      <c r="F57" s="210"/>
      <c r="G57" s="210"/>
      <c r="H57" s="210"/>
      <c r="I57" s="210"/>
      <c r="J57" s="210"/>
      <c r="K57" s="210"/>
      <c r="L57" s="219">
        <v>19</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9" t="str">
        <f>IF(('Profit &amp; Loss Acc'!B5&lt;Admin!F26)," ",'Profit &amp; Loss Acc'!B15)</f>
        <v xml:space="preserve"> </v>
      </c>
      <c r="E60" s="380"/>
      <c r="F60" s="381"/>
      <c r="G60" s="234" t="s">
        <v>153</v>
      </c>
      <c r="H60" s="235">
        <v>0</v>
      </c>
      <c r="I60" s="235">
        <v>0</v>
      </c>
      <c r="J60" s="158"/>
      <c r="K60" s="158"/>
      <c r="L60" s="158"/>
      <c r="M60" s="158"/>
      <c r="N60" s="233" t="s">
        <v>50</v>
      </c>
      <c r="O60" s="379" t="str">
        <f>IF(('Profit &amp; Loss Acc'!B5&lt;Admin!F26)," ",'Profit &amp; Loss Acc'!B17+'Profit &amp; Loss Acc'!B21)</f>
        <v xml:space="preserve"> </v>
      </c>
      <c r="P60" s="380"/>
      <c r="Q60" s="381"/>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15</v>
      </c>
      <c r="B62" s="158"/>
      <c r="C62" s="210" t="s">
        <v>179</v>
      </c>
      <c r="D62" s="210"/>
      <c r="E62" s="210"/>
      <c r="F62" s="210"/>
      <c r="G62" s="210"/>
      <c r="H62" s="210"/>
      <c r="I62" s="210"/>
      <c r="J62" s="210"/>
      <c r="K62" s="210"/>
      <c r="L62" s="219">
        <v>20</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9"/>
      <c r="E64" s="380"/>
      <c r="F64" s="381"/>
      <c r="G64" s="234" t="s">
        <v>153</v>
      </c>
      <c r="H64" s="235">
        <v>0</v>
      </c>
      <c r="I64" s="235">
        <v>0</v>
      </c>
      <c r="J64" s="158"/>
      <c r="K64" s="158"/>
      <c r="L64" s="158"/>
      <c r="M64" s="158"/>
      <c r="N64" s="233" t="s">
        <v>50</v>
      </c>
      <c r="O64" s="379">
        <f>'Profit &amp; Loss Acc'!B12+'Profit &amp; Loss Acc'!B22-'Profit &amp; Loss Acc'!B10</f>
        <v>0</v>
      </c>
      <c r="P64" s="380"/>
      <c r="Q64" s="381"/>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384" t="s">
        <v>181</v>
      </c>
      <c r="B66" s="384"/>
      <c r="C66" s="384"/>
      <c r="D66" s="384"/>
      <c r="E66" s="384"/>
      <c r="F66" s="384"/>
      <c r="G66" s="384"/>
      <c r="H66" s="384"/>
      <c r="I66" s="384"/>
      <c r="J66" s="384"/>
      <c r="K66" s="384"/>
      <c r="L66" s="384"/>
      <c r="M66" s="384"/>
      <c r="N66" s="384"/>
      <c r="O66" s="384"/>
      <c r="P66" s="384"/>
      <c r="Q66" s="384"/>
      <c r="R66" s="384"/>
      <c r="S66" s="384"/>
      <c r="T66" s="384"/>
      <c r="U66" s="384"/>
      <c r="V66" s="384"/>
      <c r="W66" s="384"/>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21</v>
      </c>
      <c r="B68" s="158"/>
      <c r="C68" s="210" t="s">
        <v>182</v>
      </c>
      <c r="D68" s="210"/>
      <c r="E68" s="210"/>
      <c r="F68" s="210"/>
      <c r="G68" s="210"/>
      <c r="H68" s="210"/>
      <c r="I68" s="210"/>
      <c r="J68" s="210"/>
      <c r="K68" s="210"/>
      <c r="L68" s="219">
        <v>22</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9">
        <f>IF((D38+O38-O64)&gt;=0,D38+O38-O64,0)</f>
        <v>0</v>
      </c>
      <c r="E71" s="380"/>
      <c r="F71" s="381"/>
      <c r="G71" s="234" t="s">
        <v>153</v>
      </c>
      <c r="H71" s="235">
        <v>0</v>
      </c>
      <c r="I71" s="235">
        <v>0</v>
      </c>
      <c r="J71" s="158"/>
      <c r="K71" s="158"/>
      <c r="L71" s="158"/>
      <c r="M71" s="158"/>
      <c r="N71" s="233" t="s">
        <v>50</v>
      </c>
      <c r="O71" s="379">
        <f>IF((D38+O38-O64)&lt;0,-D38-O38+O64,0)</f>
        <v>0</v>
      </c>
      <c r="P71" s="380"/>
      <c r="Q71" s="381"/>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383" t="s">
        <v>186</v>
      </c>
      <c r="B73" s="383"/>
      <c r="C73" s="383"/>
      <c r="D73" s="383"/>
      <c r="E73" s="383"/>
      <c r="F73" s="383"/>
      <c r="G73" s="383"/>
      <c r="H73" s="383"/>
      <c r="I73" s="383"/>
      <c r="J73" s="383"/>
      <c r="K73" s="383"/>
      <c r="L73" s="383"/>
      <c r="M73" s="383"/>
      <c r="N73" s="383"/>
      <c r="O73" s="383"/>
      <c r="P73" s="383"/>
      <c r="Q73" s="383"/>
      <c r="R73" s="383"/>
      <c r="S73" s="383"/>
      <c r="T73" s="383"/>
      <c r="U73" s="383"/>
      <c r="V73" s="383"/>
      <c r="W73" s="383"/>
      <c r="Y73" s="241"/>
      <c r="Z73" s="241"/>
    </row>
    <row r="74" spans="1:26" ht="14" customHeight="1" x14ac:dyDescent="0.15">
      <c r="A74" s="382" t="s">
        <v>187</v>
      </c>
      <c r="B74" s="382"/>
      <c r="C74" s="382"/>
      <c r="D74" s="382"/>
      <c r="E74" s="382"/>
      <c r="F74" s="382"/>
      <c r="G74" s="382"/>
      <c r="H74" s="382"/>
      <c r="I74" s="382"/>
      <c r="J74" s="382"/>
      <c r="K74" s="382"/>
      <c r="L74" s="382"/>
      <c r="M74" s="382"/>
      <c r="N74" s="382"/>
      <c r="O74" s="382"/>
      <c r="P74" s="382"/>
      <c r="Q74" s="382"/>
      <c r="R74" s="382"/>
      <c r="S74" s="382"/>
      <c r="T74" s="382"/>
      <c r="U74" s="382"/>
      <c r="V74" s="382"/>
      <c r="W74" s="382"/>
    </row>
    <row r="75" spans="1:26" ht="14" customHeight="1" x14ac:dyDescent="0.15">
      <c r="A75" s="382" t="s">
        <v>188</v>
      </c>
      <c r="B75" s="382"/>
      <c r="C75" s="382"/>
      <c r="D75" s="382"/>
      <c r="E75" s="382"/>
      <c r="F75" s="382"/>
      <c r="G75" s="382"/>
      <c r="H75" s="382"/>
      <c r="I75" s="382"/>
      <c r="J75" s="382"/>
      <c r="K75" s="382"/>
      <c r="L75" s="382"/>
      <c r="M75" s="382"/>
      <c r="N75" s="382"/>
      <c r="O75" s="382"/>
      <c r="P75" s="382"/>
      <c r="Q75" s="382"/>
      <c r="R75" s="382"/>
      <c r="S75" s="382"/>
      <c r="T75" s="382"/>
      <c r="U75" s="382"/>
      <c r="V75" s="382"/>
      <c r="W75" s="382"/>
      <c r="Y75" s="241"/>
      <c r="Z75" s="241"/>
    </row>
    <row r="76" spans="1:26" ht="13.5" customHeight="1" x14ac:dyDescent="0.15">
      <c r="A76" s="382" t="s">
        <v>189</v>
      </c>
      <c r="B76" s="382"/>
      <c r="C76" s="382"/>
      <c r="D76" s="382"/>
      <c r="E76" s="382"/>
      <c r="F76" s="382"/>
      <c r="G76" s="382"/>
      <c r="H76" s="382"/>
      <c r="I76" s="382"/>
      <c r="J76" s="382"/>
      <c r="K76" s="382"/>
      <c r="L76" s="382"/>
      <c r="M76" s="382"/>
      <c r="N76" s="382"/>
      <c r="O76" s="382"/>
      <c r="P76" s="382"/>
      <c r="Q76" s="382"/>
      <c r="R76" s="382"/>
      <c r="S76" s="382"/>
      <c r="T76" s="382"/>
      <c r="U76" s="382"/>
      <c r="V76" s="382"/>
      <c r="W76" s="382"/>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23</v>
      </c>
      <c r="B78" s="158"/>
      <c r="C78" s="210" t="s">
        <v>132</v>
      </c>
      <c r="D78" s="210"/>
      <c r="E78" s="210"/>
      <c r="F78" s="210"/>
      <c r="G78" s="210"/>
      <c r="H78" s="210"/>
      <c r="I78" s="210"/>
      <c r="J78" s="210"/>
      <c r="K78" s="210"/>
      <c r="L78" s="219">
        <v>25</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9">
        <f>IF(('Fixed Assets'!I1)&gt;0,'Fixed Assets'!I1,0)</f>
        <v>0</v>
      </c>
      <c r="E80" s="380"/>
      <c r="F80" s="381"/>
      <c r="G80" s="234" t="s">
        <v>153</v>
      </c>
      <c r="H80" s="235">
        <v>0</v>
      </c>
      <c r="I80" s="235">
        <v>0</v>
      </c>
      <c r="J80" s="210"/>
      <c r="K80" s="210"/>
      <c r="L80" s="210"/>
      <c r="M80" s="158"/>
      <c r="N80" s="233" t="s">
        <v>50</v>
      </c>
      <c r="O80" s="379">
        <f>IF(('Fixed Assets'!J1+'Fixed Assets'!P1)&gt;0,'Fixed Assets'!J1+'Fixed Assets'!P1,0)</f>
        <v>0</v>
      </c>
      <c r="P80" s="380"/>
      <c r="Q80" s="381"/>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24</v>
      </c>
      <c r="B82" s="158"/>
      <c r="C82" s="210" t="s">
        <v>215</v>
      </c>
      <c r="D82" s="158"/>
      <c r="E82" s="158"/>
      <c r="F82" s="158"/>
      <c r="G82" s="158"/>
      <c r="H82" s="158"/>
      <c r="I82" s="158"/>
      <c r="J82" s="158"/>
      <c r="K82" s="158"/>
      <c r="L82" s="219">
        <v>26</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9">
        <f>IF(('Fixed Assets'!K1+'Fixed Assets'!J1)&lt;1000,'Fixed Assets'!K1,0)</f>
        <v>0</v>
      </c>
      <c r="E85" s="380"/>
      <c r="F85" s="381"/>
      <c r="G85" s="234" t="s">
        <v>153</v>
      </c>
      <c r="H85" s="235">
        <v>0</v>
      </c>
      <c r="I85" s="235">
        <v>0</v>
      </c>
      <c r="J85" s="210"/>
      <c r="K85" s="210"/>
      <c r="L85" s="158"/>
      <c r="M85" s="158"/>
      <c r="N85" s="233" t="s">
        <v>50</v>
      </c>
      <c r="O85" s="379">
        <f>IF('Fixed Assets'!Q1&gt;0,'Fixed Assets'!Q1,0)</f>
        <v>0</v>
      </c>
      <c r="P85" s="380"/>
      <c r="Q85" s="381"/>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378" t="s">
        <v>191</v>
      </c>
      <c r="B87" s="378"/>
      <c r="C87" s="378"/>
      <c r="D87" s="378"/>
      <c r="E87" s="378"/>
      <c r="F87" s="378"/>
      <c r="G87" s="378"/>
      <c r="H87" s="378"/>
      <c r="I87" s="378"/>
      <c r="J87" s="378"/>
      <c r="K87" s="378"/>
      <c r="L87" s="378"/>
      <c r="M87" s="378"/>
      <c r="N87" s="378"/>
      <c r="O87" s="378"/>
      <c r="P87" s="378"/>
      <c r="Q87" s="378"/>
      <c r="R87" s="378"/>
      <c r="S87" s="378"/>
      <c r="T87" s="378"/>
      <c r="U87" s="378"/>
      <c r="V87" s="378"/>
      <c r="W87" s="378"/>
    </row>
    <row r="88" spans="1:23" ht="16" customHeight="1" x14ac:dyDescent="0.15">
      <c r="A88" s="382" t="s">
        <v>192</v>
      </c>
      <c r="B88" s="382"/>
      <c r="C88" s="382"/>
      <c r="D88" s="382"/>
      <c r="E88" s="382"/>
      <c r="F88" s="382"/>
      <c r="G88" s="382"/>
      <c r="H88" s="382"/>
      <c r="I88" s="382"/>
      <c r="J88" s="382"/>
      <c r="K88" s="382"/>
      <c r="L88" s="382"/>
      <c r="M88" s="382"/>
      <c r="N88" s="382"/>
      <c r="O88" s="382"/>
      <c r="P88" s="382"/>
      <c r="Q88" s="382"/>
      <c r="R88" s="382"/>
      <c r="S88" s="382"/>
      <c r="T88" s="382"/>
      <c r="U88" s="382"/>
      <c r="V88" s="382"/>
      <c r="W88" s="382"/>
    </row>
    <row r="89" spans="1:23" ht="15.75" customHeight="1" x14ac:dyDescent="0.15">
      <c r="A89" s="382" t="s">
        <v>193</v>
      </c>
      <c r="B89" s="382"/>
      <c r="C89" s="382"/>
      <c r="D89" s="382"/>
      <c r="E89" s="382"/>
      <c r="F89" s="382"/>
      <c r="G89" s="382"/>
      <c r="H89" s="382"/>
      <c r="I89" s="382"/>
      <c r="J89" s="382"/>
      <c r="K89" s="382"/>
      <c r="L89" s="382"/>
      <c r="M89" s="382"/>
      <c r="N89" s="382"/>
      <c r="O89" s="382"/>
      <c r="P89" s="382"/>
      <c r="Q89" s="382"/>
      <c r="R89" s="382"/>
      <c r="S89" s="382"/>
      <c r="T89" s="382"/>
      <c r="U89" s="382"/>
      <c r="V89" s="382"/>
      <c r="W89" s="382"/>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27</v>
      </c>
      <c r="B91" s="158"/>
      <c r="C91" s="210" t="s">
        <v>194</v>
      </c>
      <c r="D91" s="210"/>
      <c r="E91" s="210"/>
      <c r="F91" s="210"/>
      <c r="G91" s="210"/>
      <c r="H91" s="210"/>
      <c r="I91" s="210"/>
      <c r="J91" s="210"/>
      <c r="K91" s="210"/>
      <c r="L91" s="219">
        <v>29</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9">
        <f>'Business Details'!O29</f>
        <v>0</v>
      </c>
      <c r="E94" s="380"/>
      <c r="F94" s="381"/>
      <c r="G94" s="234" t="s">
        <v>153</v>
      </c>
      <c r="H94" s="235">
        <v>0</v>
      </c>
      <c r="I94" s="235">
        <v>0</v>
      </c>
      <c r="J94" s="158"/>
      <c r="K94" s="158"/>
      <c r="L94" s="158"/>
      <c r="M94" s="158"/>
      <c r="N94" s="233" t="s">
        <v>50</v>
      </c>
      <c r="O94" s="379">
        <f>IF(O106&gt;0,0,IF('Business Details'!D29=0,0,IF(D99&gt;'Business Details'!D29,'Business Details'!D29,D99)))</f>
        <v>0</v>
      </c>
      <c r="P94" s="380"/>
      <c r="Q94" s="381"/>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28</v>
      </c>
      <c r="B96" s="158"/>
      <c r="C96" s="210" t="s">
        <v>220</v>
      </c>
      <c r="D96" s="210"/>
      <c r="E96" s="210"/>
      <c r="F96" s="210"/>
      <c r="G96" s="210"/>
      <c r="H96" s="210"/>
      <c r="I96" s="210"/>
      <c r="J96" s="210"/>
      <c r="K96" s="210"/>
      <c r="L96" s="219">
        <v>30</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9">
        <f>IF((D71+O85+D94-O71-D80-D85-O80)&gt;0,D71+O85+D94-O71-D80-D85-O80,0)</f>
        <v>0</v>
      </c>
      <c r="E99" s="380"/>
      <c r="F99" s="381"/>
      <c r="G99" s="234" t="s">
        <v>153</v>
      </c>
      <c r="H99" s="235">
        <v>0</v>
      </c>
      <c r="I99" s="235">
        <v>0</v>
      </c>
      <c r="J99" s="158"/>
      <c r="K99" s="158"/>
      <c r="L99" s="210"/>
      <c r="M99" s="158"/>
      <c r="N99" s="233" t="s">
        <v>50</v>
      </c>
      <c r="O99" s="379">
        <f>'Profit &amp; Loss Acc'!B24</f>
        <v>0</v>
      </c>
      <c r="P99" s="380"/>
      <c r="Q99" s="381"/>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383" t="s">
        <v>198</v>
      </c>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31</v>
      </c>
      <c r="B103" s="158"/>
      <c r="C103" s="210" t="s">
        <v>222</v>
      </c>
      <c r="D103" s="210"/>
      <c r="E103" s="210"/>
      <c r="F103" s="210"/>
      <c r="G103" s="210"/>
      <c r="H103" s="210"/>
      <c r="I103" s="210"/>
      <c r="J103" s="210"/>
      <c r="K103" s="210"/>
      <c r="L103" s="219">
        <v>32</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9">
        <f>IF((D99+O99-O94)&gt;0,D99+O99-O94,0)</f>
        <v>0</v>
      </c>
      <c r="E106" s="380"/>
      <c r="F106" s="381"/>
      <c r="G106" s="234" t="s">
        <v>153</v>
      </c>
      <c r="H106" s="235">
        <v>0</v>
      </c>
      <c r="I106" s="235">
        <v>0</v>
      </c>
      <c r="J106" s="210"/>
      <c r="K106" s="210"/>
      <c r="L106" s="210"/>
      <c r="M106" s="158"/>
      <c r="N106" s="233" t="s">
        <v>50</v>
      </c>
      <c r="O106" s="379">
        <f>IF((O71+D80+D85+O80-D71-O85-D94)&gt;=0,O71+D80+D85+O80-D71-O85-D94,0)</f>
        <v>0</v>
      </c>
      <c r="P106" s="380"/>
      <c r="Q106" s="381"/>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378" t="s">
        <v>199</v>
      </c>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row>
    <row r="109" spans="1:26" ht="16" customHeight="1" x14ac:dyDescent="0.15">
      <c r="A109" s="382" t="s">
        <v>200</v>
      </c>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33</v>
      </c>
      <c r="B111" s="158"/>
      <c r="C111" s="210" t="s">
        <v>201</v>
      </c>
      <c r="D111" s="210"/>
      <c r="E111" s="210"/>
      <c r="F111" s="210"/>
      <c r="G111" s="210"/>
      <c r="H111" s="210"/>
      <c r="I111" s="210"/>
      <c r="J111" s="210"/>
      <c r="K111" s="210"/>
      <c r="L111" s="219">
        <v>36</v>
      </c>
      <c r="M111" s="158"/>
      <c r="N111" s="210" t="str">
        <f>"If your total profits for "&amp;Admin!G2&amp;" are less than £"&amp;TEXT(Admin!N16,"#,##0")&amp;" and you"</f>
        <v>If your total profits for 2025-26 are less than £6,845 and you</v>
      </c>
      <c r="O111" s="158"/>
      <c r="P111" s="158"/>
      <c r="Q111" s="158"/>
      <c r="R111" s="158"/>
      <c r="S111" s="158"/>
      <c r="T111" s="158"/>
      <c r="U111" s="158"/>
      <c r="V111" s="158"/>
      <c r="W111" s="226"/>
    </row>
    <row r="112" spans="1:26" x14ac:dyDescent="0.15">
      <c r="A112" s="239"/>
      <c r="B112" s="158"/>
      <c r="C112" s="210" t="s">
        <v>203</v>
      </c>
      <c r="D112" s="408" t="str">
        <f>Admin!G$2</f>
        <v>2025-26</v>
      </c>
      <c r="E112" s="409"/>
      <c r="F112" s="409"/>
      <c r="G112" s="210"/>
      <c r="H112" s="210"/>
      <c r="I112" s="210"/>
      <c r="J112" s="210"/>
      <c r="K112" s="210"/>
      <c r="L112" s="210"/>
      <c r="M112" s="158"/>
      <c r="N112" s="210" t="s">
        <v>315</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9"/>
      <c r="E114" s="380"/>
      <c r="F114" s="381"/>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34</v>
      </c>
      <c r="B116" s="158"/>
      <c r="C116" s="210" t="s">
        <v>204</v>
      </c>
      <c r="D116" s="210"/>
      <c r="E116" s="210"/>
      <c r="F116" s="210"/>
      <c r="G116" s="210"/>
      <c r="H116" s="210"/>
      <c r="I116" s="210"/>
      <c r="J116" s="210"/>
      <c r="K116" s="210"/>
      <c r="L116" s="219">
        <v>37</v>
      </c>
      <c r="M116" s="158"/>
      <c r="N116" s="210" t="s">
        <v>202</v>
      </c>
      <c r="O116" s="158"/>
      <c r="P116" s="158"/>
      <c r="Q116" s="158"/>
      <c r="R116" s="408"/>
      <c r="S116" s="409"/>
      <c r="T116" s="409"/>
      <c r="U116" s="210"/>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226</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c r="O118" s="158"/>
      <c r="P118" s="158"/>
      <c r="Q118" s="158"/>
      <c r="R118" s="158"/>
      <c r="S118" s="158"/>
      <c r="T118" s="158"/>
      <c r="U118" s="158"/>
      <c r="V118" s="158"/>
      <c r="W118" s="226"/>
    </row>
    <row r="119" spans="1:23" ht="16" x14ac:dyDescent="0.15">
      <c r="A119" s="223"/>
      <c r="B119" s="158"/>
      <c r="C119" s="233" t="s">
        <v>50</v>
      </c>
      <c r="D119" s="379"/>
      <c r="E119" s="380"/>
      <c r="F119" s="381"/>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35</v>
      </c>
      <c r="B120" s="158"/>
      <c r="C120" s="210" t="s">
        <v>209</v>
      </c>
      <c r="D120" s="210"/>
      <c r="E120" s="210"/>
      <c r="F120" s="210"/>
      <c r="G120" s="210"/>
      <c r="H120" s="210"/>
      <c r="I120" s="210"/>
      <c r="J120" s="210"/>
      <c r="K120" s="210"/>
      <c r="L120" s="219">
        <v>38</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9">
        <f>'Business Details'!O34</f>
        <v>0</v>
      </c>
      <c r="E123" s="380"/>
      <c r="F123" s="381"/>
      <c r="G123" s="234" t="s">
        <v>153</v>
      </c>
      <c r="H123" s="235">
        <v>0</v>
      </c>
      <c r="I123" s="235">
        <v>0</v>
      </c>
      <c r="J123" s="158"/>
      <c r="K123" s="158"/>
      <c r="L123" s="210"/>
      <c r="M123" s="158"/>
      <c r="N123" s="233" t="s">
        <v>50</v>
      </c>
      <c r="O123" s="379">
        <v>0</v>
      </c>
      <c r="P123" s="380"/>
      <c r="Q123" s="381"/>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108:W108"/>
    <mergeCell ref="D99:F99"/>
    <mergeCell ref="O99:Q99"/>
    <mergeCell ref="A88:W88"/>
    <mergeCell ref="A89:W89"/>
    <mergeCell ref="D94:F94"/>
    <mergeCell ref="O94:Q94"/>
    <mergeCell ref="A101:W101"/>
    <mergeCell ref="D106:F106"/>
    <mergeCell ref="O106:Q10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ROUND(PurchasesMar!$A$2,0)</f>
        <v>0</v>
      </c>
      <c r="C1" s="22" t="str">
        <f>IF(B1&gt;J1,"MILEAGE ALLOWANCE"," ")</f>
        <v xml:space="preserve"> </v>
      </c>
      <c r="D1" s="410" t="str">
        <f>IF(J1&gt;=B1,"CABSMART                                                                          MOST TAX EFFICIENT OPTION IS  &gt; &gt; &gt; &gt;","CABSMART                                                                            &lt; &lt; &lt; &lt;  MOST TAX EFFICIENT OPTION IS")</f>
        <v>CABSMART                                                                          MOST TAX EFFICIENT OPTION IS  &gt; &gt; &gt; &gt;</v>
      </c>
      <c r="E1" s="411"/>
      <c r="F1" s="411"/>
      <c r="G1" s="411"/>
      <c r="H1" s="412"/>
      <c r="I1" s="21" t="str">
        <f>IF(J1&gt;=B1,"VEHICLE EXPENSES"," ")</f>
        <v>VEHICLE EXPENSES</v>
      </c>
      <c r="J1" s="253">
        <f>ROUND(PurchasesMar!$I$2+'Fixed Assets'!I1-'Fixed Assets'!I15-'Fixed Assets'!I44+'Fixed Assets'!J1-'Fixed Assets'!J15-'Fixed Assets'!J44+'Fixed Assets'!P1-'Fixed Assets'!P15-'Fixed Assets'!P44-'Fixed Assets'!Q1+'Fixed Assets'!Q15+'Fixed Assets'!Q44,0)</f>
        <v>0</v>
      </c>
      <c r="K1" s="415" t="s">
        <v>42</v>
      </c>
      <c r="L1" s="416"/>
      <c r="M1" s="416"/>
      <c r="N1" s="416"/>
      <c r="O1" s="23"/>
      <c r="Q1" s="330"/>
      <c r="AA1" s="330"/>
    </row>
    <row r="2" spans="1:27" s="157" customFormat="1" x14ac:dyDescent="0.15">
      <c r="A2" s="417" t="s">
        <v>19</v>
      </c>
      <c r="B2" s="154" t="s">
        <v>114</v>
      </c>
      <c r="C2" s="413">
        <f>Admin!B$5</f>
        <v>45777</v>
      </c>
      <c r="D2" s="413">
        <f>Admin!B$6</f>
        <v>45808</v>
      </c>
      <c r="E2" s="413">
        <f>Admin!B$7</f>
        <v>45838</v>
      </c>
      <c r="F2" s="413">
        <f>Admin!B$8</f>
        <v>45869</v>
      </c>
      <c r="G2" s="413">
        <f>Admin!B$9</f>
        <v>45900</v>
      </c>
      <c r="H2" s="413">
        <f>Admin!B$10</f>
        <v>45930</v>
      </c>
      <c r="I2" s="413">
        <f>Admin!B$11</f>
        <v>45961</v>
      </c>
      <c r="J2" s="413">
        <f>Admin!B$12</f>
        <v>45991</v>
      </c>
      <c r="K2" s="413">
        <f>Admin!B$13</f>
        <v>46022</v>
      </c>
      <c r="L2" s="413">
        <f>Admin!B$14</f>
        <v>46053</v>
      </c>
      <c r="M2" s="413">
        <f>Admin!B$15</f>
        <v>46081</v>
      </c>
      <c r="N2" s="413">
        <f>Admin!B$16</f>
        <v>46112</v>
      </c>
      <c r="O2" s="155"/>
      <c r="Q2" s="332"/>
      <c r="AA2" s="332"/>
    </row>
    <row r="3" spans="1:27" s="159" customFormat="1" x14ac:dyDescent="0.15">
      <c r="A3" s="414"/>
      <c r="B3" s="156" t="str">
        <f>Admin!G$2</f>
        <v>2025-26</v>
      </c>
      <c r="C3" s="414"/>
      <c r="D3" s="414"/>
      <c r="E3" s="414"/>
      <c r="F3" s="414"/>
      <c r="G3" s="414"/>
      <c r="H3" s="414"/>
      <c r="I3" s="414"/>
      <c r="J3" s="414"/>
      <c r="K3" s="414"/>
      <c r="L3" s="414"/>
      <c r="M3" s="414"/>
      <c r="N3" s="414"/>
      <c r="O3" s="158"/>
      <c r="Q3" s="333"/>
      <c r="AA3" s="333"/>
    </row>
    <row r="4" spans="1:27" s="8" customFormat="1" ht="13.5" customHeight="1" x14ac:dyDescent="0.15">
      <c r="A4" s="28" t="str">
        <f>IF(B4=" "," ","Purchase analysis errors")</f>
        <v xml:space="preserve"> </v>
      </c>
      <c r="B4" s="88" t="str">
        <f>IF((SUM(C4:N4)&gt;1),ROUND(SUM(C4:N4),0)," ")</f>
        <v xml:space="preserve"> </v>
      </c>
      <c r="C4" s="88" t="str">
        <f>IF((PurchasesApr!$D$1&lt;&gt;0),PurchasesApr!$D$1," ")</f>
        <v xml:space="preserve"> </v>
      </c>
      <c r="D4" s="88" t="str">
        <f>IF((PurchasesMay!$D$1&lt;&gt;0),PurchasesMay!$D$1," ")</f>
        <v xml:space="preserve"> </v>
      </c>
      <c r="E4" s="88" t="str">
        <f>IF((PurchasesJun!$D$1&lt;&gt;0),PurchasesJun!$D$1," ")</f>
        <v xml:space="preserve"> </v>
      </c>
      <c r="F4" s="88" t="str">
        <f>IF((PurchasesJul!$D$1&lt;&gt;0),PurchasesJul!$D$1," ")</f>
        <v xml:space="preserve"> </v>
      </c>
      <c r="G4" s="88" t="str">
        <f>IF((PurchasesAug!$D$1&lt;&gt;0),PurchasesAug!$D$1," ")</f>
        <v xml:space="preserve"> </v>
      </c>
      <c r="H4" s="88" t="str">
        <f>IF((PurchasesSep!$D$1&lt;&gt;0),PurchasesSep!$D$1," ")</f>
        <v xml:space="preserve"> </v>
      </c>
      <c r="I4" s="88" t="str">
        <f>IF((PurchasesOct!$D$1&lt;&gt;0),PurchasesOct!$D$1," ")</f>
        <v xml:space="preserve"> </v>
      </c>
      <c r="J4" s="88" t="str">
        <f>IF((PurchasesNov!$D$1&lt;&gt;0),PurchasesNov!$D$1," ")</f>
        <v xml:space="preserve"> </v>
      </c>
      <c r="K4" s="88" t="str">
        <f>IF((PurchasesDec!$D$1&lt;&gt;0),PurchasesDec!$D$1," ")</f>
        <v xml:space="preserve"> </v>
      </c>
      <c r="L4" s="88" t="str">
        <f>IF((PurchasesJan!$D$1&lt;&gt;0),PurchasesJan!$D$1," ")</f>
        <v xml:space="preserve"> </v>
      </c>
      <c r="M4" s="88" t="str">
        <f>IF((PurchasesFeb!$D$1&lt;&gt;0),PurchasesFeb!$D$1," ")</f>
        <v xml:space="preserve"> </v>
      </c>
      <c r="N4" s="88" t="str">
        <f>IF((PurchasesMar!$D$1&lt;&gt;0),PurchasesMar!$D$1," ")</f>
        <v xml:space="preserve"> </v>
      </c>
      <c r="O4" s="87"/>
      <c r="Q4" s="332"/>
      <c r="AA4" s="332"/>
    </row>
    <row r="5" spans="1:27" ht="14" x14ac:dyDescent="0.15">
      <c r="A5" s="84" t="s">
        <v>1</v>
      </c>
      <c r="B5" s="344">
        <f>ROUNDDOWN(SUM(C5:N5),0)</f>
        <v>0</v>
      </c>
      <c r="C5" s="115">
        <f>SalesApr!$E$1</f>
        <v>0</v>
      </c>
      <c r="D5" s="115">
        <f>SalesMay!$E$1</f>
        <v>0</v>
      </c>
      <c r="E5" s="115">
        <f>SalesJun!$E$1</f>
        <v>0</v>
      </c>
      <c r="F5" s="341">
        <f>SalesJul!$E$1</f>
        <v>0</v>
      </c>
      <c r="G5" s="115">
        <f>SalesAug!$E$1</f>
        <v>0</v>
      </c>
      <c r="H5" s="115">
        <f>SalesSep!$E$1</f>
        <v>0</v>
      </c>
      <c r="I5" s="341">
        <f>SalesOct!$E$1</f>
        <v>0</v>
      </c>
      <c r="J5" s="115">
        <f>SalesNov!$E$1</f>
        <v>0</v>
      </c>
      <c r="K5" s="115">
        <f>SalesDec!$E$1</f>
        <v>0</v>
      </c>
      <c r="L5" s="341">
        <f>SalesJan!$E$1</f>
        <v>0</v>
      </c>
      <c r="M5" s="115">
        <f>SalesFeb!$E$1</f>
        <v>0</v>
      </c>
      <c r="N5" s="115">
        <f>SalesMar!$E$1</f>
        <v>0</v>
      </c>
      <c r="O5" s="23"/>
    </row>
    <row r="6" spans="1:27" x14ac:dyDescent="0.15">
      <c r="A6" s="28" t="s">
        <v>28</v>
      </c>
      <c r="B6" s="2">
        <f>ROUNDUP(SUM(C6:N6),0)</f>
        <v>0</v>
      </c>
      <c r="C6" s="346">
        <f>IF((C1="mileage allowance"),0,(PurchasesApr!$G$1))</f>
        <v>0</v>
      </c>
      <c r="D6" s="2">
        <f>IF((C1="mileage allowance"),0,(PurchasesMay!$G$1))</f>
        <v>0</v>
      </c>
      <c r="E6" s="343">
        <f>IF((C1="mileage allowance"),0,(PurchasesJun!$G$1))</f>
        <v>0</v>
      </c>
      <c r="F6" s="2">
        <f>IF((C1="mileage allowance"),0,(PurchasesJul!$G$1))</f>
        <v>0</v>
      </c>
      <c r="G6" s="2">
        <f>IF((C1="mileage allowance"),0,(PurchasesAug!$G$1))</f>
        <v>0</v>
      </c>
      <c r="H6" s="343">
        <f>IF((C1="mileage allowance"),0,(PurchasesSep!$G$1))</f>
        <v>0</v>
      </c>
      <c r="I6" s="2">
        <f>IF((C1="mileage allowance"),0,(PurchasesOct!$G$1))</f>
        <v>0</v>
      </c>
      <c r="J6" s="2">
        <f>IF((C1="mileage allowance"),0,(PurchasesNov!$G$1))</f>
        <v>0</v>
      </c>
      <c r="K6" s="343">
        <f>IF((C1="mileage allowance"),0,(PurchasesDec!$G$1))</f>
        <v>0</v>
      </c>
      <c r="L6" s="2">
        <f>IF((C1="mileage allowance"),0,(PurchasesJan!$G$1))</f>
        <v>0</v>
      </c>
      <c r="M6" s="2">
        <f>IF((C1="mileage allowance"),0,(PurchasesFeb!$G$1))</f>
        <v>0</v>
      </c>
      <c r="N6" s="343">
        <f>IF((C1="mileage allowance"),0,(PurchasesMar!$G$1))</f>
        <v>0</v>
      </c>
      <c r="O6" s="23"/>
    </row>
    <row r="7" spans="1:27" x14ac:dyDescent="0.15">
      <c r="A7" s="28" t="s">
        <v>29</v>
      </c>
      <c r="B7" s="2">
        <f>ROUNDUP(SUM(C7:N7),0)</f>
        <v>0</v>
      </c>
      <c r="C7" s="346">
        <f>IF((C1="mileage allowance"),0,(PurchasesApr!$H$1))</f>
        <v>0</v>
      </c>
      <c r="D7" s="2">
        <f>IF((C1="mileage allowance"),0,(PurchasesMay!$H$1))</f>
        <v>0</v>
      </c>
      <c r="E7" s="343">
        <f>IF((C1="mileage allowance"),0,(PurchasesJun!$H$1))</f>
        <v>0</v>
      </c>
      <c r="F7" s="2">
        <f>IF((C1="mileage allowance"),0,(PurchasesJul!$H$1))</f>
        <v>0</v>
      </c>
      <c r="G7" s="2">
        <f>IF((C1="mileage allowance"),0,(PurchasesAug!$H$1))</f>
        <v>0</v>
      </c>
      <c r="H7" s="343">
        <f>IF((C1="mileage allowance"),0,(PurchasesSep!$H$1))</f>
        <v>0</v>
      </c>
      <c r="I7" s="2">
        <f>IF((C1="mileage allowance"),0,(PurchasesOct!$H$1))</f>
        <v>0</v>
      </c>
      <c r="J7" s="2">
        <f>IF((C1="mileage allowance"),0,(PurchasesNov!$H$1))</f>
        <v>0</v>
      </c>
      <c r="K7" s="343">
        <f>IF((C1="mileage allowance"),0,(PurchasesDec!$H$1))</f>
        <v>0</v>
      </c>
      <c r="L7" s="2">
        <f>IF((C1="mileage allowance"),0,(PurchasesJan!$H$1))</f>
        <v>0</v>
      </c>
      <c r="M7" s="2">
        <f>IF((C1="mileage allowance"),0,(PurchasesFeb!$H$1))</f>
        <v>0</v>
      </c>
      <c r="N7" s="343">
        <f>IF((C1="mileage allowance"),0,(PurchasesMar!$H$1))</f>
        <v>0</v>
      </c>
      <c r="O7" s="23"/>
      <c r="Q7" s="337"/>
      <c r="AA7" s="337"/>
    </row>
    <row r="8" spans="1:27" x14ac:dyDescent="0.15">
      <c r="A8" s="28" t="s">
        <v>30</v>
      </c>
      <c r="B8" s="2">
        <f>ROUNDUP(SUM(C8:N8),0)</f>
        <v>0</v>
      </c>
      <c r="C8" s="346">
        <f>IF((C1="mileage allowance"),0,(PurchasesApr!$I$1))</f>
        <v>0</v>
      </c>
      <c r="D8" s="2">
        <f>IF((C1="mileage allowance"),0,(PurchasesMay!$I$1))</f>
        <v>0</v>
      </c>
      <c r="E8" s="343">
        <f>IF((C1="mileage allowance"),0,(PurchasesJun!$I$1))</f>
        <v>0</v>
      </c>
      <c r="F8" s="2">
        <f>IF((C1="mileage allowance"),0,(PurchasesJul!$I$1))</f>
        <v>0</v>
      </c>
      <c r="G8" s="2">
        <f>IF((C1="mileage allowance"),0,(PurchasesAug!$I$1))</f>
        <v>0</v>
      </c>
      <c r="H8" s="343">
        <f>IF((C1="mileage allowance"),0,(PurchasesSep!$I$1))</f>
        <v>0</v>
      </c>
      <c r="I8" s="2">
        <f>IF((C1="mileage allowance"),0,(PurchasesOct!$I$1))</f>
        <v>0</v>
      </c>
      <c r="J8" s="2">
        <f>IF((C1="mileage allowance"),0,(PurchasesNov!$I$1))</f>
        <v>0</v>
      </c>
      <c r="K8" s="343">
        <f>IF((C1="mileage allowance"),0,(PurchasesDec!$I$1))</f>
        <v>0</v>
      </c>
      <c r="L8" s="2">
        <f>IF((C1="mileage allowance"),0,(PurchasesJan!$I$1))</f>
        <v>0</v>
      </c>
      <c r="M8" s="2">
        <f>IF((C1="mileage allowance"),0,(PurchasesFeb!$I$1))</f>
        <v>0</v>
      </c>
      <c r="N8" s="343">
        <f>IF((C1="mileage allowance"),0,(PurchasesMar!$I$1))</f>
        <v>0</v>
      </c>
      <c r="O8" s="23"/>
    </row>
    <row r="9" spans="1:27" x14ac:dyDescent="0.15">
      <c r="A9" s="28" t="s">
        <v>31</v>
      </c>
      <c r="B9" s="2">
        <f>ROUNDUP(SUM(C9:N9),0)</f>
        <v>0</v>
      </c>
      <c r="C9" s="346">
        <f>IF((C1="mileage allowance"),0,(PurchasesApr!$J$1))</f>
        <v>0</v>
      </c>
      <c r="D9" s="2">
        <f>IF((C1="mileage allowance"),0,(PurchasesMay!$J$1))</f>
        <v>0</v>
      </c>
      <c r="E9" s="343">
        <f>IF((C1="mileage allowance"),0,(PurchasesJun!$J$1))</f>
        <v>0</v>
      </c>
      <c r="F9" s="2">
        <f>IF((C1="mileage allowance"),0,(PurchasesJul!$J$1))</f>
        <v>0</v>
      </c>
      <c r="G9" s="2">
        <f>IF((C1="mileage allowance"),0,(PurchasesAug!$J$1))</f>
        <v>0</v>
      </c>
      <c r="H9" s="343">
        <f>IF((C1="mileage allowance"),0,(PurchasesSep!$J$1))</f>
        <v>0</v>
      </c>
      <c r="I9" s="2">
        <f>IF((C1="mileage allowance"),0,(PurchasesOct!$J$1))</f>
        <v>0</v>
      </c>
      <c r="J9" s="2">
        <f>IF((C1="mileage allowance"),0,(PurchasesNov!$J$1))</f>
        <v>0</v>
      </c>
      <c r="K9" s="343">
        <f>IF((C1="mileage allowance"),0,(PurchasesDec!$J$1))</f>
        <v>0</v>
      </c>
      <c r="L9" s="2">
        <f>IF((C1="mileage allowance"),0,(PurchasesJan!$J$1))</f>
        <v>0</v>
      </c>
      <c r="M9" s="2">
        <f>IF((C1="mileage allowance"),0,(PurchasesFeb!$J$1))</f>
        <v>0</v>
      </c>
      <c r="N9" s="343">
        <f>IF((C1="mileage allowance"),0,(PurchasesMar!$J$1))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allowance"),(PurchasesApr!$U$1),0)</f>
        <v>0</v>
      </c>
      <c r="D11" s="9">
        <f>IF((C1="mileage allowance"),(PurchasesMay!$U$1),0)</f>
        <v>0</v>
      </c>
      <c r="E11" s="342">
        <f>IF((C1="mileage allowance"),(PurchasesJun!$U$1),0)</f>
        <v>0</v>
      </c>
      <c r="F11" s="9">
        <f>IF((C1="mileage allowance"),(PurchasesJul!$U$1),0)</f>
        <v>0</v>
      </c>
      <c r="G11" s="9">
        <f>IF((C1="mileage allowance"),(PurchasesAug!$U$1),0)</f>
        <v>0</v>
      </c>
      <c r="H11" s="342">
        <f>IF((C1="mileage allowance"),(PurchasesSep!$U$1),0)</f>
        <v>0</v>
      </c>
      <c r="I11" s="9">
        <f>IF((C1="mileage allowance"),(PurchasesOct!$U$1),0)</f>
        <v>0</v>
      </c>
      <c r="J11" s="9">
        <f>IF((C1="mileage allowance"),(PurchasesNov!$U$1),0)</f>
        <v>0</v>
      </c>
      <c r="K11" s="342">
        <f>IF((C1="mileage allowance"),(PurchasesDec!$U$1),0)</f>
        <v>0</v>
      </c>
      <c r="L11" s="9">
        <f>IF((C1="mileage allowance"),(PurchasesJan!$U$1),0)</f>
        <v>0</v>
      </c>
      <c r="M11" s="9">
        <f>IF((C1="mileage allowance"),(PurchasesFeb!$U$1),0)</f>
        <v>0</v>
      </c>
      <c r="N11" s="342">
        <f>IF((C1="mileage allowance"),(PurchasesMar!$U$1),0)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PurchasesApr!$K$1</f>
        <v>0</v>
      </c>
      <c r="D14" s="2">
        <f>PurchasesMay!$K$1</f>
        <v>0</v>
      </c>
      <c r="E14" s="343">
        <f>PurchasesJun!$K$1</f>
        <v>0</v>
      </c>
      <c r="F14" s="2">
        <f>PurchasesJul!$K$1</f>
        <v>0</v>
      </c>
      <c r="G14" s="2">
        <f>PurchasesAug!$K$1</f>
        <v>0</v>
      </c>
      <c r="H14" s="343">
        <f>PurchasesSep!$K$1</f>
        <v>0</v>
      </c>
      <c r="I14" s="2">
        <f>PurchasesOct!$K$1</f>
        <v>0</v>
      </c>
      <c r="J14" s="2">
        <f>PurchasesNov!$K$1</f>
        <v>0</v>
      </c>
      <c r="K14" s="343">
        <f>PurchasesDec!$K$1</f>
        <v>0</v>
      </c>
      <c r="L14" s="2">
        <f>PurchasesJan!$K$1</f>
        <v>0</v>
      </c>
      <c r="M14" s="2">
        <f>PurchasesFeb!$K$1</f>
        <v>0</v>
      </c>
      <c r="N14" s="343">
        <f>PurchasesMar!$K$1</f>
        <v>0</v>
      </c>
      <c r="O14" s="23"/>
    </row>
    <row r="15" spans="1:27" x14ac:dyDescent="0.15">
      <c r="A15" s="28" t="s">
        <v>10</v>
      </c>
      <c r="B15" s="2">
        <f t="shared" si="2"/>
        <v>0</v>
      </c>
      <c r="C15" s="346">
        <f>PurchasesApr!$L$1</f>
        <v>0</v>
      </c>
      <c r="D15" s="2">
        <f>PurchasesMay!$L$1</f>
        <v>0</v>
      </c>
      <c r="E15" s="343">
        <f>PurchasesJun!$L$1</f>
        <v>0</v>
      </c>
      <c r="F15" s="2">
        <f>PurchasesJul!$L$1</f>
        <v>0</v>
      </c>
      <c r="G15" s="2">
        <f>PurchasesAug!$L$1</f>
        <v>0</v>
      </c>
      <c r="H15" s="343">
        <f>PurchasesSep!$L$1</f>
        <v>0</v>
      </c>
      <c r="I15" s="2">
        <f>PurchasesOct!$L$1</f>
        <v>0</v>
      </c>
      <c r="J15" s="2">
        <f>PurchasesNov!$L$1</f>
        <v>0</v>
      </c>
      <c r="K15" s="343">
        <f>PurchasesDec!$L$1</f>
        <v>0</v>
      </c>
      <c r="L15" s="2">
        <f>PurchasesJan!$L$1</f>
        <v>0</v>
      </c>
      <c r="M15" s="2">
        <f>PurchasesFeb!$L$1</f>
        <v>0</v>
      </c>
      <c r="N15" s="343">
        <f>PurchasesMar!$L$1</f>
        <v>0</v>
      </c>
      <c r="O15" s="23"/>
    </row>
    <row r="16" spans="1:27" x14ac:dyDescent="0.15">
      <c r="A16" s="28" t="s">
        <v>11</v>
      </c>
      <c r="B16" s="2">
        <f t="shared" si="2"/>
        <v>0</v>
      </c>
      <c r="C16" s="346">
        <f>PurchasesApr!$M$1</f>
        <v>0</v>
      </c>
      <c r="D16" s="2">
        <f>PurchasesMay!$M$1</f>
        <v>0</v>
      </c>
      <c r="E16" s="343">
        <f>PurchasesJun!$M$1</f>
        <v>0</v>
      </c>
      <c r="F16" s="2">
        <f>PurchasesJul!$M$1</f>
        <v>0</v>
      </c>
      <c r="G16" s="2">
        <f>PurchasesAug!$M$1</f>
        <v>0</v>
      </c>
      <c r="H16" s="343">
        <f>PurchasesSep!$M$1</f>
        <v>0</v>
      </c>
      <c r="I16" s="2">
        <f>PurchasesOct!$M$1</f>
        <v>0</v>
      </c>
      <c r="J16" s="2">
        <f>PurchasesNov!$M$1</f>
        <v>0</v>
      </c>
      <c r="K16" s="343">
        <f>PurchasesDec!$M$1</f>
        <v>0</v>
      </c>
      <c r="L16" s="2">
        <f>PurchasesJan!$M$1</f>
        <v>0</v>
      </c>
      <c r="M16" s="2">
        <f>PurchasesFeb!$M$1</f>
        <v>0</v>
      </c>
      <c r="N16" s="343">
        <f>PurchasesMar!$M$1</f>
        <v>0</v>
      </c>
      <c r="O16" s="23"/>
    </row>
    <row r="17" spans="1:27" x14ac:dyDescent="0.15">
      <c r="A17" s="28" t="s">
        <v>3</v>
      </c>
      <c r="B17" s="2">
        <f t="shared" si="2"/>
        <v>0</v>
      </c>
      <c r="C17" s="346">
        <f>PurchasesApr!$N$1</f>
        <v>0</v>
      </c>
      <c r="D17" s="2">
        <f>PurchasesMay!$N$1</f>
        <v>0</v>
      </c>
      <c r="E17" s="343">
        <f>PurchasesJun!$N$1</f>
        <v>0</v>
      </c>
      <c r="F17" s="2">
        <f>PurchasesJul!$N$1</f>
        <v>0</v>
      </c>
      <c r="G17" s="2">
        <f>PurchasesAug!$N$1</f>
        <v>0</v>
      </c>
      <c r="H17" s="343">
        <f>PurchasesSep!$N$1</f>
        <v>0</v>
      </c>
      <c r="I17" s="2">
        <f>PurchasesOct!$N$1</f>
        <v>0</v>
      </c>
      <c r="J17" s="2">
        <f>PurchasesNov!$N$1</f>
        <v>0</v>
      </c>
      <c r="K17" s="343">
        <f>PurchasesDec!$N$1</f>
        <v>0</v>
      </c>
      <c r="L17" s="2">
        <f>PurchasesJan!$N$1</f>
        <v>0</v>
      </c>
      <c r="M17" s="2">
        <f>PurchasesFeb!$N$1</f>
        <v>0</v>
      </c>
      <c r="N17" s="343">
        <f>PurchasesMar!$N$1</f>
        <v>0</v>
      </c>
      <c r="O17" s="23"/>
    </row>
    <row r="18" spans="1:27" x14ac:dyDescent="0.15">
      <c r="A18" s="28" t="s">
        <v>4</v>
      </c>
      <c r="B18" s="2">
        <f t="shared" si="2"/>
        <v>0</v>
      </c>
      <c r="C18" s="346">
        <f>PurchasesApr!$O$1</f>
        <v>0</v>
      </c>
      <c r="D18" s="2">
        <f>PurchasesMay!$O$1</f>
        <v>0</v>
      </c>
      <c r="E18" s="343">
        <f>PurchasesJun!$O$1</f>
        <v>0</v>
      </c>
      <c r="F18" s="2">
        <f>PurchasesJul!$O$1</f>
        <v>0</v>
      </c>
      <c r="G18" s="2">
        <f>PurchasesAug!$O$1</f>
        <v>0</v>
      </c>
      <c r="H18" s="343">
        <f>PurchasesSep!$O$1</f>
        <v>0</v>
      </c>
      <c r="I18" s="2">
        <f>PurchasesOct!$O$1</f>
        <v>0</v>
      </c>
      <c r="J18" s="2">
        <f>PurchasesNov!$O$1</f>
        <v>0</v>
      </c>
      <c r="K18" s="343">
        <f>PurchasesDec!$O$1</f>
        <v>0</v>
      </c>
      <c r="L18" s="2">
        <f>PurchasesJan!$O$1</f>
        <v>0</v>
      </c>
      <c r="M18" s="2">
        <f>PurchasesFeb!$O$1</f>
        <v>0</v>
      </c>
      <c r="N18" s="343">
        <f>PurchasesMar!$O$1</f>
        <v>0</v>
      </c>
      <c r="O18" s="23"/>
    </row>
    <row r="19" spans="1:27" x14ac:dyDescent="0.15">
      <c r="A19" s="28" t="s">
        <v>0</v>
      </c>
      <c r="B19" s="2">
        <f t="shared" si="2"/>
        <v>0</v>
      </c>
      <c r="C19" s="346">
        <f>PurchasesApr!$P$1</f>
        <v>0</v>
      </c>
      <c r="D19" s="2">
        <f>PurchasesMay!$P$1</f>
        <v>0</v>
      </c>
      <c r="E19" s="343">
        <f>PurchasesJun!$P$1</f>
        <v>0</v>
      </c>
      <c r="F19" s="2">
        <f>PurchasesJul!$P$1</f>
        <v>0</v>
      </c>
      <c r="G19" s="2">
        <f>PurchasesAug!$P$1</f>
        <v>0</v>
      </c>
      <c r="H19" s="343">
        <f>PurchasesSep!$P$1</f>
        <v>0</v>
      </c>
      <c r="I19" s="2">
        <f>PurchasesOct!$P$1</f>
        <v>0</v>
      </c>
      <c r="J19" s="2">
        <f>PurchasesNov!$P$1</f>
        <v>0</v>
      </c>
      <c r="K19" s="343">
        <f>PurchasesDec!$P$1</f>
        <v>0</v>
      </c>
      <c r="L19" s="2">
        <f>PurchasesJan!$P$1</f>
        <v>0</v>
      </c>
      <c r="M19" s="2">
        <f>PurchasesFeb!$P$1</f>
        <v>0</v>
      </c>
      <c r="N19" s="343">
        <f>PurchasesMar!$P$1</f>
        <v>0</v>
      </c>
      <c r="O19" s="23"/>
    </row>
    <row r="20" spans="1:27" x14ac:dyDescent="0.15">
      <c r="A20" s="28" t="s">
        <v>5</v>
      </c>
      <c r="B20" s="2">
        <f t="shared" si="2"/>
        <v>0</v>
      </c>
      <c r="C20" s="346">
        <f>PurchasesApr!$Q$1</f>
        <v>0</v>
      </c>
      <c r="D20" s="2">
        <f>PurchasesMay!$Q$1</f>
        <v>0</v>
      </c>
      <c r="E20" s="343">
        <f>PurchasesJun!$Q$1</f>
        <v>0</v>
      </c>
      <c r="F20" s="2">
        <f>PurchasesJul!$Q$1</f>
        <v>0</v>
      </c>
      <c r="G20" s="2">
        <f>PurchasesAug!$Q$1</f>
        <v>0</v>
      </c>
      <c r="H20" s="343">
        <f>PurchasesSep!$Q$1</f>
        <v>0</v>
      </c>
      <c r="I20" s="2">
        <f>PurchasesOct!$Q$1</f>
        <v>0</v>
      </c>
      <c r="J20" s="2">
        <f>PurchasesNov!$Q$1</f>
        <v>0</v>
      </c>
      <c r="K20" s="343">
        <f>PurchasesDec!$Q$1</f>
        <v>0</v>
      </c>
      <c r="L20" s="2">
        <f>PurchasesJan!$Q$1</f>
        <v>0</v>
      </c>
      <c r="M20" s="2">
        <f>PurchasesFeb!$Q$1</f>
        <v>0</v>
      </c>
      <c r="N20" s="343">
        <f>PurchasesMar!$Q$1</f>
        <v>0</v>
      </c>
      <c r="O20" s="23"/>
    </row>
    <row r="21" spans="1:27" x14ac:dyDescent="0.15">
      <c r="A21" s="28" t="s">
        <v>6</v>
      </c>
      <c r="B21" s="2">
        <f t="shared" si="2"/>
        <v>0</v>
      </c>
      <c r="C21" s="346">
        <f>PurchasesApr!$R$1</f>
        <v>0</v>
      </c>
      <c r="D21" s="2">
        <f>PurchasesMay!$R$1</f>
        <v>0</v>
      </c>
      <c r="E21" s="343">
        <f>PurchasesJun!$R$1</f>
        <v>0</v>
      </c>
      <c r="F21" s="2">
        <f>PurchasesJul!$R$1</f>
        <v>0</v>
      </c>
      <c r="G21" s="2">
        <f>PurchasesAug!$R$1</f>
        <v>0</v>
      </c>
      <c r="H21" s="343">
        <f>PurchasesSep!$R$1</f>
        <v>0</v>
      </c>
      <c r="I21" s="2">
        <f>PurchasesOct!$R$1</f>
        <v>0</v>
      </c>
      <c r="J21" s="2">
        <f>PurchasesNov!$R$1</f>
        <v>0</v>
      </c>
      <c r="K21" s="343">
        <f>PurchasesDec!$R$1</f>
        <v>0</v>
      </c>
      <c r="L21" s="2">
        <f>PurchasesJan!$R$1</f>
        <v>0</v>
      </c>
      <c r="M21" s="2">
        <f>PurchasesFeb!$R$1</f>
        <v>0</v>
      </c>
      <c r="N21" s="343">
        <f>PurchasesMar!$R$1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SalesApr!$F$1</f>
        <v>0</v>
      </c>
      <c r="D24" s="114">
        <f>SalesMay!$F$1</f>
        <v>0</v>
      </c>
      <c r="E24" s="114">
        <f>SalesJun!$F$1</f>
        <v>0</v>
      </c>
      <c r="F24" s="342">
        <f>SalesJul!$F$1</f>
        <v>0</v>
      </c>
      <c r="G24" s="114">
        <f>SalesAug!$F$1</f>
        <v>0</v>
      </c>
      <c r="H24" s="114">
        <f>SalesSep!$F$1</f>
        <v>0</v>
      </c>
      <c r="I24" s="342">
        <f>SalesOct!$F$1</f>
        <v>0</v>
      </c>
      <c r="J24" s="114">
        <f>SalesNov!$F$1</f>
        <v>0</v>
      </c>
      <c r="K24" s="114">
        <f>SalesDec!$F$1</f>
        <v>0</v>
      </c>
      <c r="L24" s="342">
        <f>SalesJan!$F$1</f>
        <v>0</v>
      </c>
      <c r="M24" s="114">
        <f>SalesFeb!$F$1</f>
        <v>0</v>
      </c>
      <c r="N24" s="114">
        <f>SalesMar!$F$1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A2:A3"/>
    <mergeCell ref="E2:E3"/>
    <mergeCell ref="D2:D3"/>
    <mergeCell ref="C2:C3"/>
    <mergeCell ref="H2:H3"/>
    <mergeCell ref="G2:G3"/>
    <mergeCell ref="D1:H1"/>
    <mergeCell ref="N2:N3"/>
    <mergeCell ref="M2:M3"/>
    <mergeCell ref="L2:L3"/>
    <mergeCell ref="K2:K3"/>
    <mergeCell ref="K1:N1"/>
    <mergeCell ref="F2:F3"/>
    <mergeCell ref="J2:J3"/>
    <mergeCell ref="I2:I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282</v>
      </c>
      <c r="C2" s="418" t="s">
        <v>283</v>
      </c>
      <c r="D2" s="418" t="s">
        <v>284</v>
      </c>
      <c r="E2" s="418" t="s">
        <v>285</v>
      </c>
      <c r="F2" s="418" t="s">
        <v>286</v>
      </c>
      <c r="G2" s="418" t="s">
        <v>287</v>
      </c>
      <c r="H2" s="418" t="s">
        <v>288</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289</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290</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291</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292</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293</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294</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295</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296</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297</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298</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299</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300</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301</v>
      </c>
      <c r="C20" s="336">
        <v>0</v>
      </c>
      <c r="D20" s="336">
        <v>0</v>
      </c>
      <c r="E20" s="336">
        <v>0</v>
      </c>
      <c r="F20" s="336">
        <v>0</v>
      </c>
      <c r="G20" s="336">
        <f t="shared" si="0"/>
        <v>0</v>
      </c>
      <c r="H20" s="331" t="s">
        <v>304</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302</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303</v>
      </c>
      <c r="C24" s="336">
        <v>0</v>
      </c>
      <c r="D24" s="336">
        <v>0</v>
      </c>
      <c r="E24" s="336">
        <v>0</v>
      </c>
      <c r="F24" s="336">
        <v>0</v>
      </c>
      <c r="G24" s="336">
        <f>SUM(C24:F24)</f>
        <v>0</v>
      </c>
      <c r="H24" s="331" t="s">
        <v>304</v>
      </c>
      <c r="I24" s="331"/>
    </row>
    <row r="25" spans="1:9" x14ac:dyDescent="0.15">
      <c r="A25" s="331"/>
      <c r="B25" s="331" t="s">
        <v>305</v>
      </c>
      <c r="C25" s="336">
        <v>0</v>
      </c>
      <c r="D25" s="336">
        <v>0</v>
      </c>
      <c r="E25" s="336">
        <v>0</v>
      </c>
      <c r="F25" s="336">
        <v>0</v>
      </c>
      <c r="G25" s="336">
        <f>SUM(C25:F25)</f>
        <v>0</v>
      </c>
      <c r="H25" s="331" t="s">
        <v>304</v>
      </c>
      <c r="I25" s="331"/>
    </row>
    <row r="26" spans="1:9" x14ac:dyDescent="0.15">
      <c r="A26" s="331"/>
      <c r="B26" s="331" t="s">
        <v>306</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307</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308</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291</v>
      </c>
      <c r="C36" s="336">
        <v>0</v>
      </c>
      <c r="D36" s="336">
        <v>0</v>
      </c>
      <c r="E36" s="336">
        <v>0</v>
      </c>
      <c r="F36" s="336">
        <v>0</v>
      </c>
      <c r="G36" s="336">
        <f t="shared" ref="G36:G50" si="1">SUM(C36:F36)</f>
        <v>0</v>
      </c>
      <c r="H36" s="331" t="s">
        <v>304</v>
      </c>
      <c r="I36" s="331"/>
    </row>
    <row r="37" spans="1:9" x14ac:dyDescent="0.15">
      <c r="A37" s="331"/>
      <c r="B37" s="331" t="s">
        <v>303</v>
      </c>
      <c r="C37" s="336">
        <v>0</v>
      </c>
      <c r="D37" s="336">
        <v>0</v>
      </c>
      <c r="E37" s="336">
        <v>0</v>
      </c>
      <c r="F37" s="336">
        <v>0</v>
      </c>
      <c r="G37" s="336">
        <f t="shared" si="1"/>
        <v>0</v>
      </c>
      <c r="H37" s="331" t="s">
        <v>304</v>
      </c>
      <c r="I37" s="331"/>
    </row>
    <row r="38" spans="1:9" x14ac:dyDescent="0.15">
      <c r="A38" s="331"/>
      <c r="B38" s="331" t="s">
        <v>293</v>
      </c>
      <c r="C38" s="336">
        <v>0</v>
      </c>
      <c r="D38" s="336">
        <v>0</v>
      </c>
      <c r="E38" s="336">
        <v>0</v>
      </c>
      <c r="F38" s="336">
        <v>0</v>
      </c>
      <c r="G38" s="336">
        <f t="shared" si="1"/>
        <v>0</v>
      </c>
      <c r="H38" s="331" t="s">
        <v>304</v>
      </c>
      <c r="I38" s="331"/>
    </row>
    <row r="39" spans="1:9" x14ac:dyDescent="0.15">
      <c r="A39" s="331"/>
      <c r="B39" s="331" t="s">
        <v>309</v>
      </c>
      <c r="C39" s="336">
        <v>0</v>
      </c>
      <c r="D39" s="336">
        <v>0</v>
      </c>
      <c r="E39" s="336">
        <v>0</v>
      </c>
      <c r="F39" s="336">
        <v>0</v>
      </c>
      <c r="G39" s="336">
        <f t="shared" si="1"/>
        <v>0</v>
      </c>
      <c r="H39" s="331" t="s">
        <v>304</v>
      </c>
      <c r="I39" s="331"/>
    </row>
    <row r="40" spans="1:9" x14ac:dyDescent="0.15">
      <c r="A40" s="331"/>
      <c r="B40" s="331" t="s">
        <v>294</v>
      </c>
      <c r="C40" s="336">
        <v>0</v>
      </c>
      <c r="D40" s="336">
        <v>0</v>
      </c>
      <c r="E40" s="336">
        <v>0</v>
      </c>
      <c r="F40" s="336">
        <v>0</v>
      </c>
      <c r="G40" s="336">
        <f t="shared" si="1"/>
        <v>0</v>
      </c>
      <c r="H40" s="331" t="s">
        <v>304</v>
      </c>
      <c r="I40" s="331"/>
    </row>
    <row r="41" spans="1:9" x14ac:dyDescent="0.15">
      <c r="A41" s="331"/>
      <c r="B41" s="331" t="s">
        <v>295</v>
      </c>
      <c r="C41" s="336">
        <v>0</v>
      </c>
      <c r="D41" s="336">
        <v>0</v>
      </c>
      <c r="E41" s="336">
        <v>0</v>
      </c>
      <c r="F41" s="336">
        <v>0</v>
      </c>
      <c r="G41" s="336">
        <f t="shared" si="1"/>
        <v>0</v>
      </c>
      <c r="H41" s="331" t="s">
        <v>304</v>
      </c>
      <c r="I41" s="331"/>
    </row>
    <row r="42" spans="1:9" x14ac:dyDescent="0.15">
      <c r="A42" s="331"/>
      <c r="B42" s="331" t="s">
        <v>296</v>
      </c>
      <c r="C42" s="336">
        <v>0</v>
      </c>
      <c r="D42" s="336">
        <v>0</v>
      </c>
      <c r="E42" s="336">
        <v>0</v>
      </c>
      <c r="F42" s="336">
        <v>0</v>
      </c>
      <c r="G42" s="336">
        <f t="shared" si="1"/>
        <v>0</v>
      </c>
      <c r="H42" s="331" t="s">
        <v>304</v>
      </c>
      <c r="I42" s="331"/>
    </row>
    <row r="43" spans="1:9" x14ac:dyDescent="0.15">
      <c r="A43" s="331"/>
      <c r="B43" s="331" t="s">
        <v>299</v>
      </c>
      <c r="C43" s="336">
        <v>0</v>
      </c>
      <c r="D43" s="336">
        <v>0</v>
      </c>
      <c r="E43" s="336">
        <v>0</v>
      </c>
      <c r="F43" s="336">
        <v>0</v>
      </c>
      <c r="G43" s="336">
        <f t="shared" si="1"/>
        <v>0</v>
      </c>
      <c r="H43" s="331" t="s">
        <v>304</v>
      </c>
      <c r="I43" s="331"/>
    </row>
    <row r="44" spans="1:9" x14ac:dyDescent="0.15">
      <c r="A44" s="331"/>
      <c r="B44" s="331" t="s">
        <v>305</v>
      </c>
      <c r="C44" s="336">
        <v>0</v>
      </c>
      <c r="D44" s="336">
        <v>0</v>
      </c>
      <c r="E44" s="336">
        <v>0</v>
      </c>
      <c r="F44" s="336">
        <v>0</v>
      </c>
      <c r="G44" s="336">
        <f t="shared" si="1"/>
        <v>0</v>
      </c>
      <c r="H44" s="331" t="s">
        <v>304</v>
      </c>
      <c r="I44" s="331"/>
    </row>
    <row r="45" spans="1:9" x14ac:dyDescent="0.15">
      <c r="A45" s="331"/>
      <c r="B45" s="331" t="s">
        <v>0</v>
      </c>
      <c r="C45" s="336">
        <v>0</v>
      </c>
      <c r="D45" s="336">
        <v>0</v>
      </c>
      <c r="E45" s="336">
        <v>0</v>
      </c>
      <c r="F45" s="336">
        <v>0</v>
      </c>
      <c r="G45" s="336">
        <f t="shared" si="1"/>
        <v>0</v>
      </c>
      <c r="H45" s="331" t="s">
        <v>304</v>
      </c>
      <c r="I45" s="331"/>
    </row>
    <row r="46" spans="1:9" x14ac:dyDescent="0.15">
      <c r="A46" s="331"/>
      <c r="B46" s="331" t="s">
        <v>310</v>
      </c>
      <c r="C46" s="336">
        <v>0</v>
      </c>
      <c r="D46" s="336">
        <v>0</v>
      </c>
      <c r="E46" s="336">
        <v>0</v>
      </c>
      <c r="F46" s="336">
        <v>0</v>
      </c>
      <c r="G46" s="336">
        <f t="shared" si="1"/>
        <v>0</v>
      </c>
      <c r="H46" s="331" t="s">
        <v>304</v>
      </c>
      <c r="I46" s="331"/>
    </row>
    <row r="47" spans="1:9" x14ac:dyDescent="0.15">
      <c r="A47" s="331"/>
      <c r="B47" s="331" t="s">
        <v>311</v>
      </c>
      <c r="C47" s="336">
        <v>0</v>
      </c>
      <c r="D47" s="336">
        <v>0</v>
      </c>
      <c r="E47" s="336">
        <v>0</v>
      </c>
      <c r="F47" s="336">
        <v>0</v>
      </c>
      <c r="G47" s="336">
        <f t="shared" si="1"/>
        <v>0</v>
      </c>
      <c r="H47" s="331" t="s">
        <v>304</v>
      </c>
      <c r="I47" s="331"/>
    </row>
    <row r="48" spans="1:9" x14ac:dyDescent="0.15">
      <c r="A48" s="331"/>
      <c r="B48" s="331" t="s">
        <v>300</v>
      </c>
      <c r="C48" s="336">
        <v>0</v>
      </c>
      <c r="D48" s="336">
        <v>0</v>
      </c>
      <c r="E48" s="336">
        <v>0</v>
      </c>
      <c r="F48" s="336">
        <v>0</v>
      </c>
      <c r="G48" s="336">
        <f t="shared" si="1"/>
        <v>0</v>
      </c>
      <c r="H48" s="331" t="s">
        <v>304</v>
      </c>
      <c r="I48" s="331"/>
    </row>
    <row r="49" spans="1:9" x14ac:dyDescent="0.15">
      <c r="A49" s="331"/>
      <c r="B49" s="331" t="s">
        <v>306</v>
      </c>
      <c r="C49" s="336">
        <v>0</v>
      </c>
      <c r="D49" s="336">
        <v>0</v>
      </c>
      <c r="E49" s="336">
        <v>0</v>
      </c>
      <c r="F49" s="336">
        <v>0</v>
      </c>
      <c r="G49" s="336">
        <f t="shared" si="1"/>
        <v>0</v>
      </c>
      <c r="H49" s="331" t="s">
        <v>304</v>
      </c>
      <c r="I49" s="331"/>
    </row>
    <row r="50" spans="1:9" x14ac:dyDescent="0.15">
      <c r="A50" s="331"/>
      <c r="B50" s="331" t="s">
        <v>302</v>
      </c>
      <c r="C50" s="336">
        <v>0</v>
      </c>
      <c r="D50" s="336">
        <v>0</v>
      </c>
      <c r="E50" s="336">
        <v>0</v>
      </c>
      <c r="F50" s="336">
        <v>0</v>
      </c>
      <c r="G50" s="336">
        <f t="shared" si="1"/>
        <v>0</v>
      </c>
      <c r="H50" s="331" t="s">
        <v>304</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19" t="s">
        <v>44</v>
      </c>
      <c r="B1" s="164" t="s">
        <v>116</v>
      </c>
      <c r="C1" s="165">
        <f>Admin!B17</f>
        <v>46117</v>
      </c>
      <c r="D1" s="166">
        <f>D33+D62</f>
        <v>0</v>
      </c>
      <c r="E1" s="447"/>
      <c r="F1" s="445" t="s">
        <v>41</v>
      </c>
      <c r="G1" s="443"/>
      <c r="H1" s="89">
        <f>H33+H62</f>
        <v>0</v>
      </c>
      <c r="I1" s="89">
        <f>I33+I62</f>
        <v>0</v>
      </c>
      <c r="J1" s="89">
        <f>J33+J62</f>
        <v>0</v>
      </c>
      <c r="K1" s="89">
        <f>K33+K62</f>
        <v>0</v>
      </c>
      <c r="L1" s="443"/>
      <c r="M1" s="439" t="s">
        <v>131</v>
      </c>
      <c r="N1" s="89">
        <f>N33+N62</f>
        <v>0</v>
      </c>
      <c r="O1" s="443"/>
      <c r="P1" s="89">
        <f>P33+P62</f>
        <v>0</v>
      </c>
      <c r="Q1" s="89">
        <f>Q33+Q62</f>
        <v>0</v>
      </c>
    </row>
    <row r="2" spans="1:17" ht="12" customHeight="1" x14ac:dyDescent="0.15">
      <c r="A2" s="420"/>
      <c r="B2" s="440" t="s">
        <v>34</v>
      </c>
      <c r="C2" s="442" t="s">
        <v>35</v>
      </c>
      <c r="D2" s="437" t="s">
        <v>36</v>
      </c>
      <c r="E2" s="448"/>
      <c r="F2" s="446"/>
      <c r="G2" s="444"/>
      <c r="H2" s="449" t="s">
        <v>115</v>
      </c>
      <c r="I2" s="437" t="s">
        <v>132</v>
      </c>
      <c r="J2" s="437" t="s">
        <v>37</v>
      </c>
      <c r="K2" s="449" t="s">
        <v>115</v>
      </c>
      <c r="L2" s="444"/>
      <c r="M2" s="420"/>
      <c r="N2" s="437" t="s">
        <v>38</v>
      </c>
      <c r="O2" s="444"/>
      <c r="P2" s="437" t="s">
        <v>39</v>
      </c>
      <c r="Q2" s="437" t="s">
        <v>40</v>
      </c>
    </row>
    <row r="3" spans="1:17" ht="24.75" customHeight="1" x14ac:dyDescent="0.15">
      <c r="A3" s="420"/>
      <c r="B3" s="441"/>
      <c r="C3" s="441"/>
      <c r="D3" s="438"/>
      <c r="E3" s="448"/>
      <c r="F3" s="446"/>
      <c r="G3" s="444"/>
      <c r="H3" s="450"/>
      <c r="I3" s="438"/>
      <c r="J3" s="438"/>
      <c r="K3" s="450"/>
      <c r="L3" s="444"/>
      <c r="M3" s="420"/>
      <c r="N3" s="438"/>
      <c r="O3" s="444"/>
      <c r="P3" s="438"/>
      <c r="Q3" s="438"/>
    </row>
    <row r="4" spans="1:17" s="13" customFormat="1" ht="12" customHeight="1" x14ac:dyDescent="0.15">
      <c r="A4" s="420"/>
      <c r="B4" s="441"/>
      <c r="C4" s="441"/>
      <c r="D4" s="438"/>
      <c r="E4" s="448"/>
      <c r="F4" s="446"/>
      <c r="G4" s="444"/>
      <c r="H4" s="160">
        <f>Admin!B$4</f>
        <v>45753</v>
      </c>
      <c r="I4" s="90">
        <f>Admin!G$4</f>
        <v>1</v>
      </c>
      <c r="J4" s="90">
        <f>Admin!G$5</f>
        <v>0.18</v>
      </c>
      <c r="K4" s="160">
        <f>Admin!B$17</f>
        <v>46117</v>
      </c>
      <c r="L4" s="444"/>
      <c r="M4" s="420"/>
      <c r="N4" s="438"/>
      <c r="O4" s="444"/>
      <c r="P4" s="438"/>
      <c r="Q4" s="438"/>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21" t="s">
        <v>127</v>
      </c>
      <c r="B6" s="422"/>
      <c r="C6" s="423"/>
      <c r="D6" s="254">
        <f>Admin!B$4</f>
        <v>45753</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26" t="s">
        <v>129</v>
      </c>
      <c r="B15" s="427"/>
      <c r="C15" s="263">
        <f>Admin!B$4</f>
        <v>45753</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26" t="s">
        <v>117</v>
      </c>
      <c r="B17" s="427"/>
      <c r="C17" s="263">
        <f>Admin!B$4</f>
        <v>45753</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IF(H18&gt;0,H18*J$4*(1-F18),"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IF(H19&gt;0,H19*J$4*(1-F19),"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IF(H20&gt;0,H20*J$4*(1-F20),"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IF(H21&gt;0,H21*J$4*(1-F21),"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IF(H22&gt;0,H22*J$4*(1-F22),"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28" t="s">
        <v>118</v>
      </c>
      <c r="B23" s="429"/>
      <c r="C23" s="265">
        <f>Admin!B$4</f>
        <v>45753</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26" t="s">
        <v>119</v>
      </c>
      <c r="B25" s="427"/>
      <c r="C25" s="263">
        <f>Admin!B$4</f>
        <v>45753</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IF(H26&gt;0,H26*J$4*(1-F26),"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IF(H27&gt;0,H27*J$4*(1-F27),"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IF(H28&gt;0,H28*J$4*(1-F28),"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IF(H29&gt;0,H29*J$4*(1-F29),"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IF(H30&gt;0,H30*J$4*(1-F30),"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28" t="s">
        <v>120</v>
      </c>
      <c r="B31" s="429"/>
      <c r="C31" s="265">
        <f>Admin!B$4</f>
        <v>45753</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34" t="s">
        <v>121</v>
      </c>
      <c r="B33" s="422"/>
      <c r="C33" s="266">
        <f>Admin!B4</f>
        <v>45753</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35" t="s">
        <v>128</v>
      </c>
      <c r="B35" s="433"/>
      <c r="C35" s="436"/>
      <c r="D35" s="267">
        <f>Admin!B$4</f>
        <v>45753</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0" t="s">
        <v>130</v>
      </c>
      <c r="B44" s="431"/>
      <c r="C44" s="268">
        <f>Admin!B$4</f>
        <v>45753</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0" t="s">
        <v>122</v>
      </c>
      <c r="B46" s="431"/>
      <c r="C46" s="268">
        <f>Admin!B$4</f>
        <v>45753</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IF(D47&gt;0,D47*J$4*(1-F47),"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IF(D48&gt;0,D48*J$4*(1-F48),"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IF(D49&gt;0,D49*J$4*(1-F49),"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IF(D50&gt;0,D50*J$4*(1-F50),"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IF(D51&gt;0,D51*J$4*(1-F51),"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24" t="s">
        <v>123</v>
      </c>
      <c r="B52" s="425"/>
      <c r="C52" s="270">
        <f>Admin!B$4</f>
        <v>45753</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0" t="s">
        <v>124</v>
      </c>
      <c r="B54" s="431"/>
      <c r="C54" s="268">
        <f>Admin!B$4</f>
        <v>45753</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IF(D55&gt;0,D55*J$4*(1-F55),"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IF(D56&gt;0,D56*J$4*(1-F56),"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IF(D57&gt;0,D57*J$4*(1-F57),"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IF(D58&gt;0,D58*J$4*(1-F58),"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IF(D59&gt;0,D59*J$4*(1-F59),"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24" t="s">
        <v>125</v>
      </c>
      <c r="B60" s="425"/>
      <c r="C60" s="270">
        <f>Admin!B$4</f>
        <v>45753</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2" t="s">
        <v>126</v>
      </c>
      <c r="B62" s="433"/>
      <c r="C62" s="271" t="str">
        <f>Admin!G$2</f>
        <v>2025-26</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 ref="A54:B54"/>
    <mergeCell ref="A60:B60"/>
    <mergeCell ref="A62:B62"/>
    <mergeCell ref="A33:B33"/>
    <mergeCell ref="A44:B44"/>
    <mergeCell ref="A46:B46"/>
    <mergeCell ref="A35:C35"/>
    <mergeCell ref="A1:A4"/>
    <mergeCell ref="A6:C6"/>
    <mergeCell ref="A52:B52"/>
    <mergeCell ref="A15:B15"/>
    <mergeCell ref="A17:B17"/>
    <mergeCell ref="A23:B23"/>
    <mergeCell ref="A25:B25"/>
    <mergeCell ref="A31:B31"/>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2025-26</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2025-26</v>
      </c>
      <c r="D6" s="31"/>
      <c r="E6" s="27">
        <f>IF(E5&lt;=0,0,MAX(0,Admin!N$4-MAX(0,E5-Admin!N$5)/2))</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Admin!M$11</f>
        <v>37700</v>
      </c>
      <c r="D9" s="144">
        <f>Admin!N$7</f>
        <v>0.4</v>
      </c>
      <c r="E9" s="25">
        <f>IF(E7&gt;C9,(MIN(E7,C10)-C9)*D9,0)</f>
        <v>0</v>
      </c>
      <c r="F9" s="26"/>
      <c r="G9" s="27"/>
      <c r="K9" s="324"/>
    </row>
    <row r="10" spans="1:11" ht="14" thickBot="1" x14ac:dyDescent="0.2">
      <c r="A10" s="23"/>
      <c r="B10" s="28" t="inlineStr">
        <is>
          <t>Income Tax third band</t>
        </is>
      </c>
      <c r="C10" s="28">
        <f>Admin!N$13</f>
        <v>125140</v>
      </c>
      <c r="D10" s="144">
        <f>Admin!N$8</f>
        <v>0.45</v>
      </c>
      <c r="E10" s="25">
        <f>IF(E7&gt;C10,(E7-C10)*D10,0)</f>
        <v>0</v>
      </c>
      <c r="F10" s="26"/>
      <c r="G10" s="27"/>
      <c r="K10" s="324"/>
    </row>
    <row r="11" spans="1:11" ht="14" thickBot="1" x14ac:dyDescent="0.2">
      <c r="A11" s="23"/>
      <c r="B11" s="32" t="inlineStr">
        <is>
          <t>Income Tax payable</t>
        </is>
      </c>
      <c r="C11" s="145"/>
      <c r="D11" s="33"/>
      <c r="E11" s="276">
        <f>SUM(E8:E10)</f>
        <v>0</v>
      </c>
      <c r="F11" s="35"/>
      <c r="G11" s="36"/>
      <c r="K11" s="324"/>
    </row>
    <row r="12" spans="1:11" x14ac:dyDescent="0.15">
      <c r="A12" s="23"/>
      <c r="B12" s="146" t="s">
        <v>106</v>
      </c>
      <c r="C12" s="464">
        <f>Admin!B$21</f>
        <v>46418</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0.06</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SUM(E11:E16)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2026-27</v>
      </c>
      <c r="D24" s="42" t="s">
        <v>12</v>
      </c>
      <c r="E24" s="30">
        <f>E17</f>
        <v>0</v>
      </c>
      <c r="F24" s="26"/>
      <c r="G24" s="27"/>
    </row>
    <row r="25" spans="1:11" x14ac:dyDescent="0.15">
      <c r="A25" s="23"/>
      <c r="B25" s="28" t="s">
        <v>20</v>
      </c>
      <c r="C25" s="28"/>
      <c r="D25" s="43">
        <f>Admin!B$21</f>
        <v>46418</v>
      </c>
      <c r="E25" s="275">
        <f>E24/2</f>
        <v>0</v>
      </c>
      <c r="F25" s="26"/>
      <c r="G25" s="27"/>
    </row>
    <row r="26" spans="1:11" x14ac:dyDescent="0.15">
      <c r="A26" s="23"/>
      <c r="B26" s="28" t="s">
        <v>20</v>
      </c>
      <c r="C26" s="28"/>
      <c r="D26" s="43">
        <f>Admin!B$22</f>
        <v>46599</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1" t="s">
        <v>112</v>
      </c>
      <c r="C2" s="152" t="s">
        <v>111</v>
      </c>
      <c r="D2" s="474">
        <f>Admin!B$5</f>
        <v>45777</v>
      </c>
      <c r="E2" s="469">
        <f>Admin!B$6</f>
        <v>45808</v>
      </c>
      <c r="F2" s="469">
        <f>Admin!B$7</f>
        <v>45838</v>
      </c>
      <c r="G2" s="469">
        <f>Admin!B$8</f>
        <v>45869</v>
      </c>
      <c r="H2" s="469">
        <f>Admin!B$9</f>
        <v>45900</v>
      </c>
      <c r="I2" s="469">
        <f>Admin!B$10</f>
        <v>45930</v>
      </c>
      <c r="J2" s="469">
        <f>Admin!B$11</f>
        <v>45961</v>
      </c>
      <c r="K2" s="469">
        <f>Admin!B$12</f>
        <v>45991</v>
      </c>
      <c r="L2" s="469">
        <f>Admin!B$13</f>
        <v>46022</v>
      </c>
      <c r="M2" s="469">
        <f>Admin!B$14</f>
        <v>46053</v>
      </c>
      <c r="N2" s="469">
        <f>Admin!B$15</f>
        <v>46081</v>
      </c>
      <c r="O2" s="469">
        <f>Admin!B$16</f>
        <v>46112</v>
      </c>
      <c r="P2" s="52"/>
    </row>
    <row r="3" spans="1:16" ht="12" customHeight="1" thickBot="1" x14ac:dyDescent="0.2">
      <c r="A3" s="52"/>
      <c r="B3" s="472"/>
      <c r="C3" s="153">
        <f>Admin!B$17</f>
        <v>46117</v>
      </c>
      <c r="D3" s="475"/>
      <c r="E3" s="470"/>
      <c r="F3" s="470"/>
      <c r="G3" s="470"/>
      <c r="H3" s="470"/>
      <c r="I3" s="470"/>
      <c r="J3" s="470"/>
      <c r="K3" s="470"/>
      <c r="L3" s="470"/>
      <c r="M3" s="470"/>
      <c r="N3" s="470"/>
      <c r="O3" s="470"/>
      <c r="P3" s="52"/>
    </row>
    <row r="4" spans="1:16" ht="13" thickBot="1" x14ac:dyDescent="0.2">
      <c r="A4" s="52"/>
      <c r="B4" s="473"/>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6" t="s">
        <v>113</v>
      </c>
      <c r="C17" s="152" t="s">
        <v>111</v>
      </c>
      <c r="D17" s="478">
        <f>D2</f>
        <v>45777</v>
      </c>
      <c r="E17" s="478">
        <f t="shared" ref="E17:O17" si="2">E2</f>
        <v>45808</v>
      </c>
      <c r="F17" s="478">
        <f t="shared" si="2"/>
        <v>45838</v>
      </c>
      <c r="G17" s="478">
        <f t="shared" si="2"/>
        <v>45869</v>
      </c>
      <c r="H17" s="478">
        <f t="shared" si="2"/>
        <v>45900</v>
      </c>
      <c r="I17" s="478">
        <f t="shared" si="2"/>
        <v>45930</v>
      </c>
      <c r="J17" s="478">
        <f t="shared" si="2"/>
        <v>45961</v>
      </c>
      <c r="K17" s="478">
        <f t="shared" si="2"/>
        <v>45991</v>
      </c>
      <c r="L17" s="478">
        <f t="shared" si="2"/>
        <v>46022</v>
      </c>
      <c r="M17" s="478">
        <f t="shared" si="2"/>
        <v>46053</v>
      </c>
      <c r="N17" s="478">
        <f t="shared" si="2"/>
        <v>46081</v>
      </c>
      <c r="O17" s="478">
        <f t="shared" si="2"/>
        <v>46112</v>
      </c>
      <c r="P17" s="52"/>
    </row>
    <row r="18" spans="1:16" ht="12" customHeight="1" thickBot="1" x14ac:dyDescent="0.2">
      <c r="A18" s="52"/>
      <c r="B18" s="477"/>
      <c r="C18" s="153">
        <f>C3</f>
        <v>46117</v>
      </c>
      <c r="D18" s="479"/>
      <c r="E18" s="479"/>
      <c r="F18" s="479"/>
      <c r="G18" s="479"/>
      <c r="H18" s="479"/>
      <c r="I18" s="479"/>
      <c r="J18" s="479"/>
      <c r="K18" s="479"/>
      <c r="L18" s="479"/>
      <c r="M18" s="479"/>
      <c r="N18" s="479"/>
      <c r="O18" s="479"/>
      <c r="P18" s="52"/>
    </row>
    <row r="19" spans="1:16" ht="13" thickBot="1" x14ac:dyDescent="0.2">
      <c r="A19" s="52"/>
      <c r="B19" s="473"/>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80" t="s">
        <v>54</v>
      </c>
      <c r="C32" s="481"/>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IF(C34&lt;=0,0,MAX(0,Admin!N$4-MAX(0,C34-Admin!N$5)/2))</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IF((C36&gt;0),(IF((C36&lt;Admin!M$11),C36*Admin!N$6,Admin!M$11*Admin!N$6)),0)</f>
        <v>0</v>
      </c>
      <c r="D37" s="118"/>
      <c r="E37" s="52"/>
      <c r="F37" s="52"/>
      <c r="G37" s="52"/>
      <c r="H37" s="52"/>
      <c r="I37" s="52"/>
      <c r="J37" s="52"/>
      <c r="K37" s="52"/>
      <c r="L37" s="52"/>
      <c r="M37" s="52"/>
      <c r="N37" s="52"/>
      <c r="O37" s="52"/>
      <c r="P37" s="52"/>
    </row>
    <row r="38" spans="1:16" x14ac:dyDescent="0.15">
      <c r="A38" s="52"/>
      <c r="B38" s="68" t="s">
        <v>59</v>
      </c>
      <c r="C38" s="67">
        <f>IF(C36&gt;Admin!M$11,(MIN(C36,Admin!N$13)-Admin!M$11)*Admin!N$7,0)</f>
        <v>0</v>
      </c>
      <c r="D38" s="52"/>
      <c r="E38" s="52"/>
      <c r="F38" s="52"/>
      <c r="G38" s="52"/>
      <c r="H38" s="52"/>
      <c r="I38" s="52"/>
      <c r="J38" s="52"/>
      <c r="K38" s="52"/>
      <c r="L38" s="52"/>
      <c r="M38" s="52"/>
      <c r="N38" s="52"/>
      <c r="O38" s="52"/>
      <c r="P38" s="52"/>
    </row>
    <row r="39" spans="1:16" x14ac:dyDescent="0.15">
      <c r="A39" s="52"/>
      <c r="B39" s="68" t="inlineStr">
        <is>
          <t>Tax at additional rate</t>
        </is>
      </c>
      <c r="C39" s="67">
        <f>IF(C36&gt;Admin!N$13,(C36-Admin!N$13)*Admin!N$8,0)</f>
        <v>0</v>
      </c>
      <c r="D39" s="52"/>
      <c r="E39" s="52"/>
      <c r="F39" s="52"/>
      <c r="G39" s="52"/>
      <c r="H39" s="52"/>
      <c r="I39" s="52"/>
      <c r="J39" s="52"/>
      <c r="K39" s="52"/>
      <c r="L39" s="52"/>
      <c r="M39" s="52"/>
      <c r="N39" s="52"/>
      <c r="O39" s="52"/>
      <c r="P39" s="52"/>
    </row>
    <row r="40" spans="1:16" x14ac:dyDescent="0.15">
      <c r="A40" s="52"/>
      <c r="B40" s="68" t="s">
        <v>60</v>
      </c>
      <c r="C40" s="67">
        <f>IF(C34&gt;Admin!N$20,IF(C34&lt;Admin!N$23,(C34-Admin!N$20)*Admin!L$20,(Admin!N$23-Admin!N$20)*Admin!L$20),0)+IF(C34&gt;Admin!N$23,(C34-Admin!N$23)*Admin!L$23,0)</f>
        <v>0</v>
      </c>
      <c r="D40" s="52"/>
      <c r="E40" s="52"/>
      <c r="F40" s="52"/>
      <c r="G40" s="52"/>
      <c r="H40" s="52"/>
      <c r="I40" s="52"/>
      <c r="J40" s="52"/>
      <c r="K40" s="52"/>
      <c r="L40" s="52"/>
      <c r="M40" s="52"/>
      <c r="N40" s="52"/>
      <c r="O40" s="52"/>
      <c r="P40" s="52"/>
    </row>
    <row r="41" spans="1:16" x14ac:dyDescent="0.15">
      <c r="A41" s="52"/>
      <c r="B41" s="68" t="s">
        <v>61</v>
      </c>
      <c r="C41" s="69">
        <f>C37+C38+C39+C40</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M17:M18"/>
    <mergeCell ref="B32:C32"/>
    <mergeCell ref="J17:J18"/>
    <mergeCell ref="K17:K18"/>
    <mergeCell ref="L17:L18"/>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I2:I3"/>
    <mergeCell ref="J2:J3"/>
    <mergeCell ref="B2:B4"/>
    <mergeCell ref="D2:D3"/>
    <mergeCell ref="E2:E3"/>
    <mergeCell ref="F2:F3"/>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6"/>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SUM(D4:D36)</f>
        <v>0</v>
      </c>
      <c r="E1" s="303">
        <f>SUM(E4:E36)/2</f>
        <v>0</v>
      </c>
      <c r="F1" s="303">
        <f>SUM(F4:F36)/2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46118</v>
      </c>
      <c r="B5" s="297">
        <v>46118</v>
      </c>
      <c r="C5" s="296"/>
      <c r="D5" s="295"/>
      <c r="E5" s="294"/>
      <c r="F5" s="293"/>
    </row>
    <row r="6" spans="1:6" x14ac:dyDescent="0.15">
      <c r="A6" s="292">
        <v>46119</v>
      </c>
      <c r="B6" s="285">
        <v>46119</v>
      </c>
      <c r="F6" s="291"/>
    </row>
    <row r="7" spans="1:6" x14ac:dyDescent="0.15">
      <c r="A7" s="292">
        <v>46120</v>
      </c>
      <c r="B7" s="285">
        <v>46120</v>
      </c>
      <c r="F7" s="291"/>
    </row>
    <row r="8" spans="1:6" x14ac:dyDescent="0.15">
      <c r="A8" s="292">
        <v>46121</v>
      </c>
      <c r="B8" s="285">
        <v>46121</v>
      </c>
      <c r="F8" s="291"/>
    </row>
    <row r="9" spans="1:6" x14ac:dyDescent="0.15">
      <c r="A9" s="292">
        <v>46122</v>
      </c>
      <c r="B9" s="285">
        <v>46122</v>
      </c>
      <c r="F9" s="291"/>
    </row>
    <row r="10" spans="1:6" x14ac:dyDescent="0.15">
      <c r="A10" s="292">
        <v>46123</v>
      </c>
      <c r="B10" s="285">
        <v>46123</v>
      </c>
      <c r="F10" s="291"/>
    </row>
    <row r="11" spans="1:6" x14ac:dyDescent="0.15">
      <c r="A11" s="292">
        <v>46124</v>
      </c>
      <c r="B11" s="285">
        <v>46124</v>
      </c>
      <c r="F11" s="291"/>
    </row>
    <row r="12" spans="1:6" x14ac:dyDescent="0.15">
      <c r="A12" s="292">
        <v>46124</v>
      </c>
      <c r="B12" s="285" t="s">
        <v>234</v>
      </c>
      <c r="F12" s="291"/>
    </row>
    <row r="13" spans="1:6" x14ac:dyDescent="0.15">
      <c r="A13" s="292">
        <v>46124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46125</v>
      </c>
      <c r="B16" s="297">
        <v>46125</v>
      </c>
      <c r="C16" s="296"/>
      <c r="D16" s="295"/>
      <c r="E16" s="294"/>
      <c r="F16" s="293"/>
    </row>
    <row r="17" spans="1:6" x14ac:dyDescent="0.15">
      <c r="A17" s="292">
        <v>46126</v>
      </c>
      <c r="B17" s="285">
        <v>46126</v>
      </c>
      <c r="F17" s="291"/>
    </row>
    <row r="18" spans="1:6" x14ac:dyDescent="0.15">
      <c r="A18" s="292">
        <v>46127</v>
      </c>
      <c r="B18" s="285">
        <v>46127</v>
      </c>
      <c r="F18" s="291"/>
    </row>
    <row r="19" spans="1:6" x14ac:dyDescent="0.15">
      <c r="A19" s="292">
        <v>46128</v>
      </c>
      <c r="B19" s="285">
        <v>46128</v>
      </c>
      <c r="F19" s="291"/>
    </row>
    <row r="20" spans="1:6" x14ac:dyDescent="0.15">
      <c r="A20" s="292">
        <v>46129</v>
      </c>
      <c r="B20" s="285">
        <v>46129</v>
      </c>
      <c r="F20" s="291"/>
    </row>
    <row r="21" spans="1:6" x14ac:dyDescent="0.15">
      <c r="A21" s="292">
        <v>46130</v>
      </c>
      <c r="B21" s="285">
        <v>46130</v>
      </c>
      <c r="F21" s="291"/>
    </row>
    <row r="22" spans="1:6" x14ac:dyDescent="0.15">
      <c r="A22" s="292">
        <v>46131</v>
      </c>
      <c r="B22" s="285">
        <v>46131</v>
      </c>
      <c r="F22" s="291"/>
    </row>
    <row r="23" spans="1:6" x14ac:dyDescent="0.15">
      <c r="A23" s="292">
        <v>46131</v>
      </c>
      <c r="B23" s="285" t="s">
        <v>234</v>
      </c>
      <c r="F23" s="291"/>
    </row>
    <row r="24" spans="1:6" x14ac:dyDescent="0.15">
      <c r="A24" s="292">
        <v>46131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46132</v>
      </c>
      <c r="B27" s="297">
        <v>46132</v>
      </c>
      <c r="C27" s="296"/>
      <c r="D27" s="295"/>
      <c r="E27" s="294"/>
      <c r="F27" s="293"/>
    </row>
    <row r="28" spans="1:6" x14ac:dyDescent="0.15">
      <c r="A28" s="292">
        <v>46133</v>
      </c>
      <c r="B28" s="285">
        <v>46133</v>
      </c>
      <c r="F28" s="291"/>
    </row>
    <row r="29" spans="1:6" x14ac:dyDescent="0.15">
      <c r="A29" s="292">
        <v>46134</v>
      </c>
      <c r="B29" s="285">
        <v>46134</v>
      </c>
      <c r="F29" s="291"/>
    </row>
    <row r="30" spans="1:6" x14ac:dyDescent="0.15">
      <c r="A30" s="292">
        <v>46135</v>
      </c>
      <c r="B30" s="285">
        <v>46135</v>
      </c>
      <c r="F30" s="291"/>
    </row>
    <row r="31" spans="1:6" x14ac:dyDescent="0.15">
      <c r="A31" s="292">
        <v>46136</v>
      </c>
      <c r="B31" s="285">
        <v>46136</v>
      </c>
      <c r="F31" s="291"/>
    </row>
    <row r="32" spans="1:6" x14ac:dyDescent="0.15">
      <c r="A32" s="292">
        <v>46137</v>
      </c>
      <c r="B32" s="285">
        <v>46137</v>
      </c>
      <c r="F32" s="291"/>
    </row>
    <row r="33" spans="1:6" x14ac:dyDescent="0.15">
      <c r="A33" s="292">
        <v>46138</v>
      </c>
      <c r="B33" s="285">
        <v>46138</v>
      </c>
      <c r="F33" s="291"/>
    </row>
    <row r="34" spans="1:6" x14ac:dyDescent="0.15">
      <c r="A34" s="292">
        <v>46138</v>
      </c>
      <c r="B34" s="285" t="s">
        <v>234</v>
      </c>
      <c r="F34" s="291"/>
    </row>
    <row r="35" spans="1:6" x14ac:dyDescent="0.15">
      <c r="A35" s="292">
        <v>46138</v>
      </c>
      <c r="B35" s="285" t="s">
        <v>233</v>
      </c>
      <c r="F35" s="291"/>
    </row>
    <row r="36" spans="1:6" ht="14" thickBot="1" x14ac:dyDescent="0.2">
      <c r="A36" s="290"/>
      <c r="B36" s="289"/>
      <c r="C36" s="287"/>
      <c r="D36" s="288"/>
      <c r="E36" s="300">
        <f>SUM(E27:E35)</f>
        <v>0</v>
      </c>
      <c r="F36" s="299">
        <f>SUM(F27:F35)</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2" t="s">
        <v>271</v>
      </c>
      <c r="D2" s="494" t="s">
        <v>270</v>
      </c>
      <c r="E2" s="492" t="s">
        <v>269</v>
      </c>
      <c r="F2" s="449" t="s">
        <v>268</v>
      </c>
      <c r="G2" s="496" t="s">
        <v>267</v>
      </c>
      <c r="H2" s="497"/>
      <c r="I2" s="498">
        <f>G1+H1+I1+J1</f>
        <v>0</v>
      </c>
      <c r="J2" s="499"/>
      <c r="K2" s="449" t="s">
        <v>266</v>
      </c>
      <c r="L2" s="449" t="s">
        <v>265</v>
      </c>
      <c r="M2" s="449" t="s">
        <v>264</v>
      </c>
      <c r="N2" s="449" t="s">
        <v>263</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2"/>
      <c r="L3" s="502"/>
      <c r="M3" s="495"/>
      <c r="N3" s="495"/>
      <c r="O3" s="495"/>
      <c r="P3" s="495"/>
      <c r="Q3" s="495"/>
      <c r="R3" s="495"/>
      <c r="S3" s="501"/>
      <c r="T3" s="504"/>
      <c r="U3" s="501"/>
    </row>
    <row r="4" spans="1:21" s="308" customFormat="1" x14ac:dyDescent="0.15">
      <c r="A4" s="312" t="str">
        <f>IF((E1&lt;&gt;0),Admin!$B$5,"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N2:N3"/>
    <mergeCell ref="U2:U3"/>
    <mergeCell ref="S2:S3"/>
    <mergeCell ref="K2:K3"/>
    <mergeCell ref="O2:O3"/>
    <mergeCell ref="P2:P3"/>
    <mergeCell ref="Q2:Q3"/>
    <mergeCell ref="R2:R3"/>
    <mergeCell ref="T2:T4"/>
    <mergeCell ref="L2:L3"/>
    <mergeCell ref="B3:B4"/>
    <mergeCell ref="C2:C4"/>
    <mergeCell ref="D2:D4"/>
    <mergeCell ref="E2:E4"/>
    <mergeCell ref="M2:M3"/>
    <mergeCell ref="F2:F4"/>
    <mergeCell ref="G2:H2"/>
    <mergeCell ref="I2:J2"/>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46139</v>
      </c>
      <c r="B5" s="297">
        <v>46139</v>
      </c>
      <c r="C5" s="296"/>
      <c r="D5" s="295"/>
      <c r="E5" s="294"/>
      <c r="F5" s="293"/>
    </row>
    <row r="6" spans="1:6" x14ac:dyDescent="0.15">
      <c r="A6" s="292">
        <v>46140</v>
      </c>
      <c r="B6" s="285">
        <v>46140</v>
      </c>
      <c r="F6" s="291"/>
    </row>
    <row r="7" spans="1:6" x14ac:dyDescent="0.15">
      <c r="A7" s="292">
        <v>46141</v>
      </c>
      <c r="B7" s="285">
        <v>46141</v>
      </c>
      <c r="F7" s="291"/>
    </row>
    <row r="8" spans="1:6" x14ac:dyDescent="0.15">
      <c r="A8" s="292">
        <v>46142</v>
      </c>
      <c r="B8" s="285">
        <v>46142</v>
      </c>
      <c r="F8" s="291"/>
    </row>
    <row r="9" spans="1:6" x14ac:dyDescent="0.15">
      <c r="A9" s="292">
        <v>46143</v>
      </c>
      <c r="B9" s="285">
        <v>46143</v>
      </c>
      <c r="F9" s="291"/>
    </row>
    <row r="10" spans="1:6" x14ac:dyDescent="0.15">
      <c r="A10" s="292">
        <v>46144</v>
      </c>
      <c r="B10" s="285">
        <v>46144</v>
      </c>
      <c r="F10" s="291"/>
    </row>
    <row r="11" spans="1:6" x14ac:dyDescent="0.15">
      <c r="A11" s="292">
        <v>46145</v>
      </c>
      <c r="B11" s="285">
        <v>46145</v>
      </c>
      <c r="F11" s="291"/>
    </row>
    <row r="12" spans="1:6" x14ac:dyDescent="0.15">
      <c r="A12" s="292">
        <v>46145</v>
      </c>
      <c r="B12" s="285" t="s">
        <v>234</v>
      </c>
      <c r="F12" s="291"/>
    </row>
    <row r="13" spans="1:6" x14ac:dyDescent="0.15">
      <c r="A13" s="292">
        <v>46145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46146</v>
      </c>
      <c r="B16" s="297">
        <v>46146</v>
      </c>
      <c r="C16" s="296"/>
      <c r="D16" s="295"/>
      <c r="E16" s="294"/>
      <c r="F16" s="293"/>
    </row>
    <row r="17" spans="1:6" x14ac:dyDescent="0.15">
      <c r="A17" s="292">
        <v>46147</v>
      </c>
      <c r="B17" s="285">
        <v>46147</v>
      </c>
      <c r="F17" s="291"/>
    </row>
    <row r="18" spans="1:6" x14ac:dyDescent="0.15">
      <c r="A18" s="292">
        <v>46148</v>
      </c>
      <c r="B18" s="285">
        <v>46148</v>
      </c>
      <c r="F18" s="291"/>
    </row>
    <row r="19" spans="1:6" x14ac:dyDescent="0.15">
      <c r="A19" s="292">
        <v>46149</v>
      </c>
      <c r="B19" s="285">
        <v>46149</v>
      </c>
      <c r="F19" s="291"/>
    </row>
    <row r="20" spans="1:6" x14ac:dyDescent="0.15">
      <c r="A20" s="292">
        <v>46150</v>
      </c>
      <c r="B20" s="285">
        <v>46150</v>
      </c>
      <c r="F20" s="291"/>
    </row>
    <row r="21" spans="1:6" x14ac:dyDescent="0.15">
      <c r="A21" s="292">
        <v>46151</v>
      </c>
      <c r="B21" s="285">
        <v>46151</v>
      </c>
      <c r="F21" s="291"/>
    </row>
    <row r="22" spans="1:6" x14ac:dyDescent="0.15">
      <c r="A22" s="292">
        <v>46152</v>
      </c>
      <c r="B22" s="285">
        <v>46152</v>
      </c>
      <c r="F22" s="291"/>
    </row>
    <row r="23" spans="1:6" x14ac:dyDescent="0.15">
      <c r="A23" s="292">
        <v>46152</v>
      </c>
      <c r="B23" s="285" t="s">
        <v>234</v>
      </c>
      <c r="F23" s="291"/>
    </row>
    <row r="24" spans="1:6" x14ac:dyDescent="0.15">
      <c r="A24" s="292">
        <v>46152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46153</v>
      </c>
      <c r="B27" s="297">
        <v>46153</v>
      </c>
      <c r="C27" s="296"/>
      <c r="D27" s="295"/>
      <c r="E27" s="294"/>
      <c r="F27" s="293"/>
    </row>
    <row r="28" spans="1:6" x14ac:dyDescent="0.15">
      <c r="A28" s="292">
        <v>46154</v>
      </c>
      <c r="B28" s="285">
        <v>46154</v>
      </c>
      <c r="F28" s="291"/>
    </row>
    <row r="29" spans="1:6" x14ac:dyDescent="0.15">
      <c r="A29" s="292">
        <v>46155</v>
      </c>
      <c r="B29" s="285">
        <v>46155</v>
      </c>
      <c r="F29" s="291"/>
    </row>
    <row r="30" spans="1:6" x14ac:dyDescent="0.15">
      <c r="A30" s="292">
        <v>46156</v>
      </c>
      <c r="B30" s="285">
        <v>46156</v>
      </c>
      <c r="F30" s="291"/>
    </row>
    <row r="31" spans="1:6" x14ac:dyDescent="0.15">
      <c r="A31" s="292">
        <v>46157</v>
      </c>
      <c r="B31" s="285">
        <v>46157</v>
      </c>
      <c r="F31" s="291"/>
    </row>
    <row r="32" spans="1:6" x14ac:dyDescent="0.15">
      <c r="A32" s="292">
        <v>46158</v>
      </c>
      <c r="B32" s="285">
        <v>46158</v>
      </c>
      <c r="F32" s="291"/>
    </row>
    <row r="33" spans="1:6" x14ac:dyDescent="0.15">
      <c r="A33" s="292">
        <v>46159</v>
      </c>
      <c r="B33" s="285">
        <v>46159</v>
      </c>
      <c r="F33" s="291"/>
    </row>
    <row r="34" spans="1:6" x14ac:dyDescent="0.15">
      <c r="A34" s="292">
        <v>46159</v>
      </c>
      <c r="B34" s="285" t="s">
        <v>234</v>
      </c>
      <c r="F34" s="291"/>
    </row>
    <row r="35" spans="1:6" x14ac:dyDescent="0.15">
      <c r="A35" s="292">
        <v>46159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46160</v>
      </c>
      <c r="B38" s="297">
        <v>46160</v>
      </c>
      <c r="C38" s="296"/>
      <c r="D38" s="295"/>
      <c r="E38" s="294"/>
      <c r="F38" s="293"/>
    </row>
    <row r="39" spans="1:6" x14ac:dyDescent="0.15">
      <c r="A39" s="292">
        <v>46161</v>
      </c>
      <c r="B39" s="285">
        <v>46161</v>
      </c>
      <c r="F39" s="291"/>
    </row>
    <row r="40" spans="1:6" x14ac:dyDescent="0.15">
      <c r="A40" s="292">
        <v>46162</v>
      </c>
      <c r="B40" s="285">
        <v>46162</v>
      </c>
      <c r="F40" s="291"/>
    </row>
    <row r="41" spans="1:6" x14ac:dyDescent="0.15">
      <c r="A41" s="292">
        <v>46163</v>
      </c>
      <c r="B41" s="285">
        <v>46163</v>
      </c>
      <c r="F41" s="291"/>
    </row>
    <row r="42" spans="1:6" x14ac:dyDescent="0.15">
      <c r="A42" s="292">
        <v>46164</v>
      </c>
      <c r="B42" s="285">
        <v>46164</v>
      </c>
      <c r="F42" s="291"/>
    </row>
    <row r="43" spans="1:6" x14ac:dyDescent="0.15">
      <c r="A43" s="292">
        <v>46165</v>
      </c>
      <c r="B43" s="285">
        <v>46165</v>
      </c>
      <c r="F43" s="291"/>
    </row>
    <row r="44" spans="1:6" x14ac:dyDescent="0.15">
      <c r="A44" s="292">
        <v>46166</v>
      </c>
      <c r="B44" s="285">
        <v>46166</v>
      </c>
      <c r="F44" s="291"/>
    </row>
    <row r="45" spans="1:6" x14ac:dyDescent="0.15">
      <c r="A45" s="292">
        <v>46166</v>
      </c>
      <c r="B45" s="285" t="s">
        <v>234</v>
      </c>
      <c r="F45" s="291"/>
    </row>
    <row r="46" spans="1:6" x14ac:dyDescent="0.15">
      <c r="A46" s="292">
        <v>46166</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46167</v>
      </c>
      <c r="B49" s="297">
        <v>46167</v>
      </c>
      <c r="C49" s="296"/>
      <c r="D49" s="295"/>
      <c r="E49" s="294"/>
      <c r="F49" s="293"/>
    </row>
    <row r="50" spans="1:6" x14ac:dyDescent="0.15">
      <c r="A50" s="292">
        <v>46168</v>
      </c>
      <c r="B50" s="285">
        <v>46168</v>
      </c>
      <c r="F50" s="291"/>
    </row>
    <row r="51" spans="1:6" x14ac:dyDescent="0.15">
      <c r="A51" s="292">
        <v>46169</v>
      </c>
      <c r="B51" s="285">
        <v>46169</v>
      </c>
      <c r="F51" s="291"/>
    </row>
    <row r="52" spans="1:6" x14ac:dyDescent="0.15">
      <c r="A52" s="292">
        <v>46170</v>
      </c>
      <c r="B52" s="285">
        <v>46170</v>
      </c>
      <c r="F52" s="291"/>
    </row>
    <row r="53" spans="1:6" x14ac:dyDescent="0.15">
      <c r="A53" s="292">
        <v>46171</v>
      </c>
      <c r="B53" s="285">
        <v>46171</v>
      </c>
      <c r="F53" s="291"/>
    </row>
    <row r="54" spans="1:6" x14ac:dyDescent="0.15">
      <c r="A54" s="292">
        <v>46172</v>
      </c>
      <c r="B54" s="285">
        <v>46172</v>
      </c>
      <c r="F54" s="291"/>
    </row>
    <row r="55" spans="1:6" x14ac:dyDescent="0.15">
      <c r="A55" s="292">
        <v>46173</v>
      </c>
      <c r="B55" s="285">
        <v>46173</v>
      </c>
      <c r="F55" s="291"/>
    </row>
    <row r="56" spans="1:6" x14ac:dyDescent="0.15">
      <c r="A56" s="292">
        <v>46173</v>
      </c>
      <c r="B56" s="285" t="s">
        <v>234</v>
      </c>
      <c r="F56" s="291"/>
    </row>
    <row r="57" spans="1:6" x14ac:dyDescent="0.15">
      <c r="A57" s="292">
        <v>46173</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E1+SalesMay!$D$1+PurchasesApr!A1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S1+PurchasesApr!T1</f>
        <v>0</v>
      </c>
      <c r="U1" s="320">
        <f>SUM(U4:U199)</f>
        <v>0</v>
      </c>
    </row>
    <row r="2" spans="1:21" s="7" customFormat="1" ht="13.5" customHeight="1" x14ac:dyDescent="0.15">
      <c r="A2" s="319">
        <f>U1+PurchasesApr!A2</f>
        <v>0</v>
      </c>
      <c r="B2" s="104" t="s">
        <v>272</v>
      </c>
      <c r="C2" s="492" t="s">
        <v>271</v>
      </c>
      <c r="D2" s="494" t="s">
        <v>270</v>
      </c>
      <c r="E2" s="492" t="s">
        <v>269</v>
      </c>
      <c r="F2" s="449" t="s">
        <v>268</v>
      </c>
      <c r="G2" s="496" t="s">
        <v>267</v>
      </c>
      <c r="H2" s="497"/>
      <c r="I2" s="498">
        <f>G1+H1+I1+J1+PurchasesApr!I2</f>
        <v>0</v>
      </c>
      <c r="J2" s="499"/>
      <c r="K2" s="449" t="s">
        <v>266</v>
      </c>
      <c r="L2" s="437" t="s">
        <v>265</v>
      </c>
      <c r="M2" s="437" t="s">
        <v>264</v>
      </c>
      <c r="N2" s="437" t="s">
        <v>274</v>
      </c>
      <c r="O2" s="437" t="s">
        <v>262</v>
      </c>
      <c r="P2" s="437" t="s">
        <v>261</v>
      </c>
      <c r="Q2" s="437"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8"/>
      <c r="M3" s="490"/>
      <c r="N3" s="490"/>
      <c r="O3" s="490"/>
      <c r="P3" s="490"/>
      <c r="Q3" s="490"/>
      <c r="R3" s="505"/>
      <c r="S3" s="507"/>
      <c r="T3" s="504"/>
      <c r="U3" s="506"/>
    </row>
    <row r="4" spans="1:21" s="308" customFormat="1" x14ac:dyDescent="0.15">
      <c r="A4" s="312" t="str">
        <f>IF((E1&lt;&gt;0),Admin!$B$6,"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IF((A1&lt;Admin!$F$22),((A1-PurchasesApr!A1)*Admin!$G$21),(A1*Admin!$G$21-(A1-Admin!$F$21)*(Admin!$G$21-Admin!$G$22)-PurchasesApr!A2))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46174</v>
      </c>
      <c r="B5" s="297">
        <v>46174</v>
      </c>
      <c r="C5" s="296"/>
      <c r="D5" s="295"/>
      <c r="E5" s="294"/>
      <c r="F5" s="293"/>
    </row>
    <row r="6" spans="1:6" x14ac:dyDescent="0.15">
      <c r="A6" s="292">
        <v>46175</v>
      </c>
      <c r="B6" s="285">
        <v>46175</v>
      </c>
      <c r="F6" s="291"/>
    </row>
    <row r="7" spans="1:6" x14ac:dyDescent="0.15">
      <c r="A7" s="292">
        <v>46176</v>
      </c>
      <c r="B7" s="285">
        <v>46176</v>
      </c>
      <c r="F7" s="291"/>
    </row>
    <row r="8" spans="1:6" x14ac:dyDescent="0.15">
      <c r="A8" s="292">
        <v>46177</v>
      </c>
      <c r="B8" s="285">
        <v>46177</v>
      </c>
      <c r="F8" s="291"/>
    </row>
    <row r="9" spans="1:6" x14ac:dyDescent="0.15">
      <c r="A9" s="292">
        <v>46178</v>
      </c>
      <c r="B9" s="285">
        <v>46178</v>
      </c>
      <c r="F9" s="291"/>
    </row>
    <row r="10" spans="1:6" x14ac:dyDescent="0.15">
      <c r="A10" s="292">
        <v>46179</v>
      </c>
      <c r="B10" s="285">
        <v>46179</v>
      </c>
      <c r="F10" s="291"/>
    </row>
    <row r="11" spans="1:6" x14ac:dyDescent="0.15">
      <c r="A11" s="292">
        <v>46180</v>
      </c>
      <c r="B11" s="285">
        <v>46180</v>
      </c>
      <c r="F11" s="291"/>
    </row>
    <row r="12" spans="1:6" x14ac:dyDescent="0.15">
      <c r="A12" s="292">
        <v>46180</v>
      </c>
      <c r="B12" s="285" t="s">
        <v>234</v>
      </c>
      <c r="F12" s="291"/>
    </row>
    <row r="13" spans="1:6" x14ac:dyDescent="0.15">
      <c r="A13" s="292">
        <v>46180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46181</v>
      </c>
      <c r="B16" s="297">
        <v>46181</v>
      </c>
      <c r="C16" s="296"/>
      <c r="D16" s="295"/>
      <c r="E16" s="294"/>
      <c r="F16" s="293"/>
    </row>
    <row r="17" spans="1:6" x14ac:dyDescent="0.15">
      <c r="A17" s="292">
        <v>46182</v>
      </c>
      <c r="B17" s="285">
        <v>46182</v>
      </c>
      <c r="F17" s="291"/>
    </row>
    <row r="18" spans="1:6" x14ac:dyDescent="0.15">
      <c r="A18" s="292">
        <v>46183</v>
      </c>
      <c r="B18" s="285">
        <v>46183</v>
      </c>
      <c r="F18" s="291"/>
    </row>
    <row r="19" spans="1:6" x14ac:dyDescent="0.15">
      <c r="A19" s="292">
        <v>46184</v>
      </c>
      <c r="B19" s="285">
        <v>46184</v>
      </c>
      <c r="F19" s="291"/>
    </row>
    <row r="20" spans="1:6" x14ac:dyDescent="0.15">
      <c r="A20" s="292">
        <v>46185</v>
      </c>
      <c r="B20" s="285">
        <v>46185</v>
      </c>
      <c r="F20" s="291"/>
    </row>
    <row r="21" spans="1:6" x14ac:dyDescent="0.15">
      <c r="A21" s="292">
        <v>46186</v>
      </c>
      <c r="B21" s="285">
        <v>46186</v>
      </c>
      <c r="F21" s="291"/>
    </row>
    <row r="22" spans="1:6" x14ac:dyDescent="0.15">
      <c r="A22" s="292">
        <v>46187</v>
      </c>
      <c r="B22" s="285">
        <v>46187</v>
      </c>
      <c r="F22" s="291"/>
    </row>
    <row r="23" spans="1:6" x14ac:dyDescent="0.15">
      <c r="A23" s="292">
        <v>46187</v>
      </c>
      <c r="B23" s="285" t="s">
        <v>234</v>
      </c>
      <c r="F23" s="291"/>
    </row>
    <row r="24" spans="1:6" x14ac:dyDescent="0.15">
      <c r="A24" s="292">
        <v>46187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46188</v>
      </c>
      <c r="B27" s="297">
        <v>46188</v>
      </c>
      <c r="C27" s="296"/>
      <c r="D27" s="295"/>
      <c r="E27" s="294"/>
      <c r="F27" s="293"/>
    </row>
    <row r="28" spans="1:6" x14ac:dyDescent="0.15">
      <c r="A28" s="292">
        <v>46189</v>
      </c>
      <c r="B28" s="285">
        <v>46189</v>
      </c>
      <c r="F28" s="291"/>
    </row>
    <row r="29" spans="1:6" x14ac:dyDescent="0.15">
      <c r="A29" s="292">
        <v>46190</v>
      </c>
      <c r="B29" s="285">
        <v>46190</v>
      </c>
      <c r="F29" s="291"/>
    </row>
    <row r="30" spans="1:6" x14ac:dyDescent="0.15">
      <c r="A30" s="292">
        <v>46191</v>
      </c>
      <c r="B30" s="285">
        <v>46191</v>
      </c>
      <c r="F30" s="291"/>
    </row>
    <row r="31" spans="1:6" x14ac:dyDescent="0.15">
      <c r="A31" s="292">
        <v>46192</v>
      </c>
      <c r="B31" s="285">
        <v>46192</v>
      </c>
      <c r="F31" s="291"/>
    </row>
    <row r="32" spans="1:6" x14ac:dyDescent="0.15">
      <c r="A32" s="292">
        <v>46193</v>
      </c>
      <c r="B32" s="285">
        <v>46193</v>
      </c>
      <c r="F32" s="291"/>
    </row>
    <row r="33" spans="1:6" x14ac:dyDescent="0.15">
      <c r="A33" s="292">
        <v>46194</v>
      </c>
      <c r="B33" s="285">
        <v>46194</v>
      </c>
      <c r="F33" s="291"/>
    </row>
    <row r="34" spans="1:6" x14ac:dyDescent="0.15">
      <c r="A34" s="292">
        <v>46194</v>
      </c>
      <c r="B34" s="285" t="s">
        <v>234</v>
      </c>
      <c r="F34" s="291"/>
    </row>
    <row r="35" spans="1:6" x14ac:dyDescent="0.15">
      <c r="A35" s="292">
        <v>46194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46195</v>
      </c>
      <c r="B38" s="297">
        <v>46195</v>
      </c>
      <c r="C38" s="296"/>
      <c r="D38" s="295"/>
      <c r="E38" s="294"/>
      <c r="F38" s="293"/>
    </row>
    <row r="39" spans="1:6" x14ac:dyDescent="0.15">
      <c r="A39" s="292">
        <v>46196</v>
      </c>
      <c r="B39" s="285">
        <v>46196</v>
      </c>
      <c r="F39" s="291"/>
    </row>
    <row r="40" spans="1:6" x14ac:dyDescent="0.15">
      <c r="A40" s="292">
        <v>46197</v>
      </c>
      <c r="B40" s="285">
        <v>46197</v>
      </c>
      <c r="F40" s="291"/>
    </row>
    <row r="41" spans="1:6" x14ac:dyDescent="0.15">
      <c r="A41" s="292">
        <v>46198</v>
      </c>
      <c r="B41" s="285">
        <v>46198</v>
      </c>
      <c r="F41" s="291"/>
    </row>
    <row r="42" spans="1:6" x14ac:dyDescent="0.15">
      <c r="A42" s="292">
        <v>46199</v>
      </c>
      <c r="B42" s="285">
        <v>46199</v>
      </c>
      <c r="F42" s="291"/>
    </row>
    <row r="43" spans="1:6" x14ac:dyDescent="0.15">
      <c r="A43" s="292">
        <v>46200</v>
      </c>
      <c r="B43" s="285">
        <v>46200</v>
      </c>
      <c r="F43" s="291"/>
    </row>
    <row r="44" spans="1:6" x14ac:dyDescent="0.15">
      <c r="A44" s="292">
        <v>46201</v>
      </c>
      <c r="B44" s="285">
        <v>46201</v>
      </c>
      <c r="F44" s="291"/>
    </row>
    <row r="45" spans="1:6" x14ac:dyDescent="0.15">
      <c r="A45" s="292">
        <v>46201</v>
      </c>
      <c r="B45" s="285" t="s">
        <v>234</v>
      </c>
      <c r="F45" s="291"/>
    </row>
    <row r="46" spans="1:6" x14ac:dyDescent="0.15">
      <c r="A46" s="292">
        <v>46201</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E1+SalesJun!$D$1+PurchasesMay!A1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S1+PurchasesMay!T1</f>
        <v>0</v>
      </c>
      <c r="U1" s="320">
        <f>SUM(U4:U199)</f>
        <v>0</v>
      </c>
    </row>
    <row r="2" spans="1:21" s="7" customFormat="1" ht="13.5" customHeight="1" x14ac:dyDescent="0.15">
      <c r="A2" s="319">
        <f>U1+PurchasesMay!A2</f>
        <v>0</v>
      </c>
      <c r="B2" s="104" t="s">
        <v>272</v>
      </c>
      <c r="C2" s="492" t="s">
        <v>271</v>
      </c>
      <c r="D2" s="494" t="s">
        <v>270</v>
      </c>
      <c r="E2" s="492" t="s">
        <v>269</v>
      </c>
      <c r="F2" s="449" t="s">
        <v>268</v>
      </c>
      <c r="G2" s="496" t="s">
        <v>267</v>
      </c>
      <c r="H2" s="497"/>
      <c r="I2" s="498">
        <f>G1+H1+I1+J1+PurchasesMay!I2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IF((E1&lt;&gt;0),Admin!$B$7,"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IF((A1&lt;Admin!$F$22),((A1-PurchasesMay!A1)*Admin!$G$21),(A1*Admin!$G$21-(A1-Admin!$F$21)*(Admin!$G$21-Admin!$G$22)-PurchasesMay!A2))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7"/>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46202</v>
      </c>
      <c r="B5" s="297">
        <v>46202</v>
      </c>
      <c r="C5" s="296"/>
      <c r="D5" s="295"/>
      <c r="E5" s="294"/>
      <c r="F5" s="293"/>
    </row>
    <row r="6" spans="1:6" x14ac:dyDescent="0.15">
      <c r="A6" s="292">
        <v>46203</v>
      </c>
      <c r="B6" s="285">
        <v>46203</v>
      </c>
      <c r="F6" s="291"/>
    </row>
    <row r="7" spans="1:6" x14ac:dyDescent="0.15">
      <c r="A7" s="292">
        <v>46204</v>
      </c>
      <c r="B7" s="285">
        <v>46204</v>
      </c>
      <c r="F7" s="291"/>
    </row>
    <row r="8" spans="1:6" x14ac:dyDescent="0.15">
      <c r="A8" s="292">
        <v>46205</v>
      </c>
      <c r="B8" s="285">
        <v>46205</v>
      </c>
      <c r="F8" s="291"/>
    </row>
    <row r="9" spans="1:6" x14ac:dyDescent="0.15">
      <c r="A9" s="292">
        <v>46206</v>
      </c>
      <c r="B9" s="285">
        <v>46206</v>
      </c>
      <c r="F9" s="291"/>
    </row>
    <row r="10" spans="1:6" x14ac:dyDescent="0.15">
      <c r="A10" s="292">
        <v>46207</v>
      </c>
      <c r="B10" s="285">
        <v>46207</v>
      </c>
      <c r="F10" s="291"/>
    </row>
    <row r="11" spans="1:6" x14ac:dyDescent="0.15">
      <c r="A11" s="292">
        <v>46208</v>
      </c>
      <c r="B11" s="285">
        <v>46208</v>
      </c>
      <c r="F11" s="291"/>
    </row>
    <row r="12" spans="1:6" x14ac:dyDescent="0.15">
      <c r="A12" s="292">
        <v>46208</v>
      </c>
      <c r="B12" s="285" t="s">
        <v>234</v>
      </c>
      <c r="F12" s="291"/>
    </row>
    <row r="13" spans="1:6" x14ac:dyDescent="0.15">
      <c r="A13" s="292">
        <v>46208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46209</v>
      </c>
      <c r="B16" s="297">
        <v>46209</v>
      </c>
      <c r="C16" s="296"/>
      <c r="D16" s="295"/>
      <c r="E16" s="294"/>
      <c r="F16" s="293"/>
    </row>
    <row r="17" spans="1:6" x14ac:dyDescent="0.15">
      <c r="A17" s="292">
        <v>46210</v>
      </c>
      <c r="B17" s="285">
        <v>46210</v>
      </c>
      <c r="F17" s="291"/>
    </row>
    <row r="18" spans="1:6" x14ac:dyDescent="0.15">
      <c r="A18" s="292">
        <v>46211</v>
      </c>
      <c r="B18" s="285">
        <v>46211</v>
      </c>
      <c r="F18" s="291"/>
    </row>
    <row r="19" spans="1:6" x14ac:dyDescent="0.15">
      <c r="A19" s="292">
        <v>46212</v>
      </c>
      <c r="B19" s="285">
        <v>46212</v>
      </c>
      <c r="F19" s="291"/>
    </row>
    <row r="20" spans="1:6" x14ac:dyDescent="0.15">
      <c r="A20" s="292">
        <v>46213</v>
      </c>
      <c r="B20" s="285">
        <v>46213</v>
      </c>
      <c r="F20" s="291"/>
    </row>
    <row r="21" spans="1:6" x14ac:dyDescent="0.15">
      <c r="A21" s="292">
        <v>46214</v>
      </c>
      <c r="B21" s="285">
        <v>46214</v>
      </c>
      <c r="F21" s="291"/>
    </row>
    <row r="22" spans="1:6" x14ac:dyDescent="0.15">
      <c r="A22" s="292">
        <v>46215</v>
      </c>
      <c r="B22" s="285">
        <v>46215</v>
      </c>
      <c r="F22" s="291"/>
    </row>
    <row r="23" spans="1:6" x14ac:dyDescent="0.15">
      <c r="A23" s="292">
        <v>46215</v>
      </c>
      <c r="B23" s="285" t="s">
        <v>234</v>
      </c>
      <c r="F23" s="291"/>
    </row>
    <row r="24" spans="1:6" x14ac:dyDescent="0.15">
      <c r="A24" s="292">
        <v>46215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46216</v>
      </c>
      <c r="B27" s="297">
        <v>46216</v>
      </c>
      <c r="C27" s="296"/>
      <c r="D27" s="295"/>
      <c r="E27" s="294"/>
      <c r="F27" s="293"/>
    </row>
    <row r="28" spans="1:6" x14ac:dyDescent="0.15">
      <c r="A28" s="292">
        <v>46217</v>
      </c>
      <c r="B28" s="285">
        <v>46217</v>
      </c>
      <c r="F28" s="291"/>
    </row>
    <row r="29" spans="1:6" x14ac:dyDescent="0.15">
      <c r="A29" s="292">
        <v>46218</v>
      </c>
      <c r="B29" s="285">
        <v>46218</v>
      </c>
      <c r="F29" s="291"/>
    </row>
    <row r="30" spans="1:6" x14ac:dyDescent="0.15">
      <c r="A30" s="292">
        <v>46219</v>
      </c>
      <c r="B30" s="285">
        <v>46219</v>
      </c>
      <c r="F30" s="291"/>
    </row>
    <row r="31" spans="1:6" x14ac:dyDescent="0.15">
      <c r="A31" s="292">
        <v>46220</v>
      </c>
      <c r="B31" s="285">
        <v>46220</v>
      </c>
      <c r="F31" s="291"/>
    </row>
    <row r="32" spans="1:6" x14ac:dyDescent="0.15">
      <c r="A32" s="292">
        <v>46221</v>
      </c>
      <c r="B32" s="285">
        <v>46221</v>
      </c>
      <c r="F32" s="291"/>
    </row>
    <row r="33" spans="1:6" x14ac:dyDescent="0.15">
      <c r="A33" s="292">
        <v>46222</v>
      </c>
      <c r="B33" s="285">
        <v>46222</v>
      </c>
      <c r="F33" s="291"/>
    </row>
    <row r="34" spans="1:6" x14ac:dyDescent="0.15">
      <c r="A34" s="292">
        <v>46222</v>
      </c>
      <c r="B34" s="285" t="s">
        <v>234</v>
      </c>
      <c r="F34" s="291"/>
    </row>
    <row r="35" spans="1:6" x14ac:dyDescent="0.15">
      <c r="A35" s="292">
        <v>46222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46223</v>
      </c>
      <c r="B38" s="297">
        <v>46223</v>
      </c>
      <c r="C38" s="296"/>
      <c r="D38" s="295"/>
      <c r="E38" s="294"/>
      <c r="F38" s="293"/>
    </row>
    <row r="39" spans="1:6" x14ac:dyDescent="0.15">
      <c r="A39" s="292">
        <v>46224</v>
      </c>
      <c r="B39" s="285">
        <v>46224</v>
      </c>
      <c r="F39" s="291"/>
    </row>
    <row r="40" spans="1:6" x14ac:dyDescent="0.15">
      <c r="A40" s="292">
        <v>46225</v>
      </c>
      <c r="B40" s="285">
        <v>46225</v>
      </c>
      <c r="F40" s="291"/>
    </row>
    <row r="41" spans="1:6" x14ac:dyDescent="0.15">
      <c r="A41" s="292">
        <v>46226</v>
      </c>
      <c r="B41" s="285">
        <v>46226</v>
      </c>
      <c r="F41" s="291"/>
    </row>
    <row r="42" spans="1:6" x14ac:dyDescent="0.15">
      <c r="A42" s="292">
        <v>46227</v>
      </c>
      <c r="B42" s="285">
        <v>46227</v>
      </c>
      <c r="F42" s="291"/>
    </row>
    <row r="43" spans="1:6" x14ac:dyDescent="0.15">
      <c r="A43" s="292">
        <v>46228</v>
      </c>
      <c r="B43" s="285">
        <v>46228</v>
      </c>
      <c r="F43" s="291"/>
    </row>
    <row r="44" spans="1:6" x14ac:dyDescent="0.15">
      <c r="A44" s="292">
        <v>46229</v>
      </c>
      <c r="B44" s="285">
        <v>46229</v>
      </c>
      <c r="F44" s="291"/>
    </row>
    <row r="45" spans="1:6" x14ac:dyDescent="0.15">
      <c r="A45" s="292">
        <v>46229</v>
      </c>
      <c r="B45" s="285" t="s">
        <v>234</v>
      </c>
      <c r="F45" s="291"/>
    </row>
    <row r="46" spans="1:6" x14ac:dyDescent="0.15">
      <c r="A46" s="292">
        <v>46229</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E1+SalesJul!$D$1+PurchasesJun!A1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S1+PurchasesJun!T1</f>
        <v>0</v>
      </c>
      <c r="U1" s="320">
        <f>SUM(U4:U199)</f>
        <v>0</v>
      </c>
    </row>
    <row r="2" spans="1:21" s="7" customFormat="1" ht="13.5" customHeight="1" x14ac:dyDescent="0.15">
      <c r="A2" s="319">
        <f>U1+PurchasesJun!A2</f>
        <v>0</v>
      </c>
      <c r="B2" s="104" t="s">
        <v>272</v>
      </c>
      <c r="C2" s="492" t="s">
        <v>271</v>
      </c>
      <c r="D2" s="494" t="s">
        <v>270</v>
      </c>
      <c r="E2" s="492" t="s">
        <v>269</v>
      </c>
      <c r="F2" s="449" t="s">
        <v>268</v>
      </c>
      <c r="G2" s="496" t="s">
        <v>267</v>
      </c>
      <c r="H2" s="497"/>
      <c r="I2" s="498">
        <f>G1+H1+I1+J1+PurchasesJun!I2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IF((E1&lt;&gt;0),Admin!$B$8,"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IF((A1&lt;Admin!$F$22),((A1-PurchasesJun!A1)*Admin!$G$21),(A1*Admin!$G$21-(A1-Admin!$F$21)*(Admin!$G$21-Admin!$G$22)-PurchasesJun!A2))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46230</v>
      </c>
      <c r="B5" s="297">
        <v>46230</v>
      </c>
      <c r="C5" s="296"/>
      <c r="D5" s="295"/>
      <c r="E5" s="294"/>
      <c r="F5" s="293"/>
    </row>
    <row r="6" spans="1:6" x14ac:dyDescent="0.15">
      <c r="A6" s="292">
        <v>46231</v>
      </c>
      <c r="B6" s="285">
        <v>46231</v>
      </c>
      <c r="F6" s="291"/>
    </row>
    <row r="7" spans="1:6" x14ac:dyDescent="0.15">
      <c r="A7" s="292">
        <v>46232</v>
      </c>
      <c r="B7" s="285">
        <v>46232</v>
      </c>
      <c r="F7" s="291"/>
    </row>
    <row r="8" spans="1:6" x14ac:dyDescent="0.15">
      <c r="A8" s="292">
        <v>46233</v>
      </c>
      <c r="B8" s="285">
        <v>46233</v>
      </c>
      <c r="F8" s="291"/>
    </row>
    <row r="9" spans="1:6" x14ac:dyDescent="0.15">
      <c r="A9" s="292">
        <v>46234</v>
      </c>
      <c r="B9" s="285">
        <v>46234</v>
      </c>
      <c r="F9" s="291"/>
    </row>
    <row r="10" spans="1:6" x14ac:dyDescent="0.15">
      <c r="A10" s="292">
        <v>46235</v>
      </c>
      <c r="B10" s="285">
        <v>46235</v>
      </c>
      <c r="F10" s="291"/>
    </row>
    <row r="11" spans="1:6" x14ac:dyDescent="0.15">
      <c r="A11" s="292">
        <v>46236</v>
      </c>
      <c r="B11" s="285">
        <v>46236</v>
      </c>
      <c r="F11" s="291"/>
    </row>
    <row r="12" spans="1:6" x14ac:dyDescent="0.15">
      <c r="A12" s="292">
        <v>46236</v>
      </c>
      <c r="B12" s="285" t="s">
        <v>234</v>
      </c>
      <c r="F12" s="291"/>
    </row>
    <row r="13" spans="1:6" x14ac:dyDescent="0.15">
      <c r="A13" s="292">
        <v>46236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46237</v>
      </c>
      <c r="B16" s="297">
        <v>46237</v>
      </c>
      <c r="C16" s="296"/>
      <c r="D16" s="295"/>
      <c r="E16" s="294"/>
      <c r="F16" s="293"/>
    </row>
    <row r="17" spans="1:6" x14ac:dyDescent="0.15">
      <c r="A17" s="292">
        <v>46238</v>
      </c>
      <c r="B17" s="285">
        <v>46238</v>
      </c>
      <c r="F17" s="291"/>
    </row>
    <row r="18" spans="1:6" x14ac:dyDescent="0.15">
      <c r="A18" s="292">
        <v>46239</v>
      </c>
      <c r="B18" s="285">
        <v>46239</v>
      </c>
      <c r="F18" s="291"/>
    </row>
    <row r="19" spans="1:6" x14ac:dyDescent="0.15">
      <c r="A19" s="292">
        <v>46240</v>
      </c>
      <c r="B19" s="285">
        <v>46240</v>
      </c>
      <c r="F19" s="291"/>
    </row>
    <row r="20" spans="1:6" x14ac:dyDescent="0.15">
      <c r="A20" s="292">
        <v>46241</v>
      </c>
      <c r="B20" s="285">
        <v>46241</v>
      </c>
      <c r="F20" s="291"/>
    </row>
    <row r="21" spans="1:6" x14ac:dyDescent="0.15">
      <c r="A21" s="292">
        <v>46242</v>
      </c>
      <c r="B21" s="285">
        <v>46242</v>
      </c>
      <c r="F21" s="291"/>
    </row>
    <row r="22" spans="1:6" x14ac:dyDescent="0.15">
      <c r="A22" s="292">
        <v>46243</v>
      </c>
      <c r="B22" s="285">
        <v>46243</v>
      </c>
      <c r="F22" s="291"/>
    </row>
    <row r="23" spans="1:6" x14ac:dyDescent="0.15">
      <c r="A23" s="292">
        <v>46243</v>
      </c>
      <c r="B23" s="285" t="s">
        <v>234</v>
      </c>
      <c r="F23" s="291"/>
    </row>
    <row r="24" spans="1:6" x14ac:dyDescent="0.15">
      <c r="A24" s="292">
        <v>46243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46244</v>
      </c>
      <c r="B27" s="297">
        <v>46244</v>
      </c>
      <c r="C27" s="296"/>
      <c r="D27" s="295"/>
      <c r="E27" s="294"/>
      <c r="F27" s="293"/>
    </row>
    <row r="28" spans="1:6" x14ac:dyDescent="0.15">
      <c r="A28" s="292">
        <v>46245</v>
      </c>
      <c r="B28" s="285">
        <v>46245</v>
      </c>
      <c r="F28" s="291"/>
    </row>
    <row r="29" spans="1:6" x14ac:dyDescent="0.15">
      <c r="A29" s="292">
        <v>46246</v>
      </c>
      <c r="B29" s="285">
        <v>46246</v>
      </c>
      <c r="F29" s="291"/>
    </row>
    <row r="30" spans="1:6" x14ac:dyDescent="0.15">
      <c r="A30" s="292">
        <v>46247</v>
      </c>
      <c r="B30" s="285">
        <v>46247</v>
      </c>
      <c r="F30" s="291"/>
    </row>
    <row r="31" spans="1:6" x14ac:dyDescent="0.15">
      <c r="A31" s="292">
        <v>46248</v>
      </c>
      <c r="B31" s="285">
        <v>46248</v>
      </c>
      <c r="F31" s="291"/>
    </row>
    <row r="32" spans="1:6" x14ac:dyDescent="0.15">
      <c r="A32" s="292">
        <v>46249</v>
      </c>
      <c r="B32" s="285">
        <v>46249</v>
      </c>
      <c r="F32" s="291"/>
    </row>
    <row r="33" spans="1:6" x14ac:dyDescent="0.15">
      <c r="A33" s="292">
        <v>46250</v>
      </c>
      <c r="B33" s="285">
        <v>46250</v>
      </c>
      <c r="F33" s="291"/>
    </row>
    <row r="34" spans="1:6" x14ac:dyDescent="0.15">
      <c r="A34" s="292">
        <v>46250</v>
      </c>
      <c r="B34" s="285" t="s">
        <v>234</v>
      </c>
      <c r="F34" s="291"/>
    </row>
    <row r="35" spans="1:6" x14ac:dyDescent="0.15">
      <c r="A35" s="292">
        <v>46250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46251</v>
      </c>
      <c r="B38" s="297">
        <v>46251</v>
      </c>
      <c r="C38" s="296"/>
      <c r="D38" s="295"/>
      <c r="E38" s="294"/>
      <c r="F38" s="293"/>
    </row>
    <row r="39" spans="1:6" x14ac:dyDescent="0.15">
      <c r="A39" s="292">
        <v>46252</v>
      </c>
      <c r="B39" s="285">
        <v>46252</v>
      </c>
      <c r="F39" s="291"/>
    </row>
    <row r="40" spans="1:6" x14ac:dyDescent="0.15">
      <c r="A40" s="292">
        <v>46253</v>
      </c>
      <c r="B40" s="285">
        <v>46253</v>
      </c>
      <c r="F40" s="291"/>
    </row>
    <row r="41" spans="1:6" x14ac:dyDescent="0.15">
      <c r="A41" s="292">
        <v>46254</v>
      </c>
      <c r="B41" s="285">
        <v>46254</v>
      </c>
      <c r="F41" s="291"/>
    </row>
    <row r="42" spans="1:6" x14ac:dyDescent="0.15">
      <c r="A42" s="292">
        <v>46255</v>
      </c>
      <c r="B42" s="285">
        <v>46255</v>
      </c>
      <c r="F42" s="291"/>
    </row>
    <row r="43" spans="1:6" x14ac:dyDescent="0.15">
      <c r="A43" s="292">
        <v>46256</v>
      </c>
      <c r="B43" s="285">
        <v>46256</v>
      </c>
      <c r="F43" s="291"/>
    </row>
    <row r="44" spans="1:6" x14ac:dyDescent="0.15">
      <c r="A44" s="292">
        <v>46257</v>
      </c>
      <c r="B44" s="285">
        <v>46257</v>
      </c>
      <c r="F44" s="291"/>
    </row>
    <row r="45" spans="1:6" x14ac:dyDescent="0.15">
      <c r="A45" s="292">
        <v>46257</v>
      </c>
      <c r="B45" s="285" t="s">
        <v>234</v>
      </c>
      <c r="F45" s="291"/>
    </row>
    <row r="46" spans="1:6" x14ac:dyDescent="0.15">
      <c r="A46" s="292">
        <v>46257</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46258</v>
      </c>
      <c r="B49" s="297">
        <v>46258</v>
      </c>
      <c r="C49" s="296"/>
      <c r="D49" s="295"/>
      <c r="E49" s="294"/>
      <c r="F49" s="293"/>
    </row>
    <row r="50" spans="1:6" x14ac:dyDescent="0.15">
      <c r="A50" s="292">
        <v>46259</v>
      </c>
      <c r="B50" s="285">
        <v>46259</v>
      </c>
      <c r="F50" s="291"/>
    </row>
    <row r="51" spans="1:6" x14ac:dyDescent="0.15">
      <c r="A51" s="292">
        <v>46260</v>
      </c>
      <c r="B51" s="285">
        <v>46260</v>
      </c>
      <c r="F51" s="291"/>
    </row>
    <row r="52" spans="1:6" x14ac:dyDescent="0.15">
      <c r="A52" s="292">
        <v>46261</v>
      </c>
      <c r="B52" s="285">
        <v>46261</v>
      </c>
      <c r="F52" s="291"/>
    </row>
    <row r="53" spans="1:6" x14ac:dyDescent="0.15">
      <c r="A53" s="292">
        <v>46262</v>
      </c>
      <c r="B53" s="285">
        <v>46262</v>
      </c>
      <c r="F53" s="291"/>
    </row>
    <row r="54" spans="1:6" x14ac:dyDescent="0.15">
      <c r="A54" s="292">
        <v>46263</v>
      </c>
      <c r="B54" s="285">
        <v>46263</v>
      </c>
      <c r="F54" s="291"/>
    </row>
    <row r="55" spans="1:6" x14ac:dyDescent="0.15">
      <c r="A55" s="292">
        <v>46264</v>
      </c>
      <c r="B55" s="285">
        <v>46264</v>
      </c>
      <c r="F55" s="291"/>
    </row>
    <row r="56" spans="1:6" x14ac:dyDescent="0.15">
      <c r="A56" s="292">
        <v>46264</v>
      </c>
      <c r="B56" s="285" t="s">
        <v>234</v>
      </c>
      <c r="F56" s="291"/>
    </row>
    <row r="57" spans="1:6" x14ac:dyDescent="0.15">
      <c r="A57" s="292">
        <v>46264</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E1+SalesAug!$D$1+PurchasesJul!A1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S1+PurchasesJul!T1</f>
        <v>0</v>
      </c>
      <c r="U1" s="320">
        <f>SUM(U4:U199)</f>
        <v>0</v>
      </c>
    </row>
    <row r="2" spans="1:21" s="7" customFormat="1" ht="13.5" customHeight="1" x14ac:dyDescent="0.15">
      <c r="A2" s="319">
        <f>U1+PurchasesJul!A2</f>
        <v>0</v>
      </c>
      <c r="B2" s="104" t="s">
        <v>272</v>
      </c>
      <c r="C2" s="492" t="s">
        <v>271</v>
      </c>
      <c r="D2" s="494" t="s">
        <v>270</v>
      </c>
      <c r="E2" s="492" t="s">
        <v>269</v>
      </c>
      <c r="F2" s="449" t="s">
        <v>268</v>
      </c>
      <c r="G2" s="496" t="s">
        <v>267</v>
      </c>
      <c r="H2" s="497"/>
      <c r="I2" s="498">
        <f>G1+H1+I1+J1+PurchasesJul!I2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IF((E1&lt;&gt;0),Admin!$B$9,"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IF((A1&lt;Admin!$F$22),((A1-PurchasesJul!A1)*Admin!$G$21),(A1*Admin!$G$21-(A1-Admin!$F$21)*(Admin!$G$21-Admin!$G$22)-PurchasesJul!A2))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46265</v>
      </c>
      <c r="B5" s="297">
        <v>46265</v>
      </c>
      <c r="C5" s="296"/>
      <c r="D5" s="295"/>
      <c r="E5" s="294"/>
      <c r="F5" s="293"/>
    </row>
    <row r="6" spans="1:6" x14ac:dyDescent="0.15">
      <c r="A6" s="292">
        <v>46266</v>
      </c>
      <c r="B6" s="285">
        <v>46266</v>
      </c>
      <c r="F6" s="291"/>
    </row>
    <row r="7" spans="1:6" x14ac:dyDescent="0.15">
      <c r="A7" s="292">
        <v>46267</v>
      </c>
      <c r="B7" s="285">
        <v>46267</v>
      </c>
      <c r="F7" s="291"/>
    </row>
    <row r="8" spans="1:6" x14ac:dyDescent="0.15">
      <c r="A8" s="292">
        <v>46268</v>
      </c>
      <c r="B8" s="285">
        <v>46268</v>
      </c>
      <c r="F8" s="291"/>
    </row>
    <row r="9" spans="1:6" x14ac:dyDescent="0.15">
      <c r="A9" s="292">
        <v>46269</v>
      </c>
      <c r="B9" s="285">
        <v>46269</v>
      </c>
      <c r="F9" s="291"/>
    </row>
    <row r="10" spans="1:6" x14ac:dyDescent="0.15">
      <c r="A10" s="292">
        <v>46270</v>
      </c>
      <c r="B10" s="285">
        <v>46270</v>
      </c>
      <c r="F10" s="291"/>
    </row>
    <row r="11" spans="1:6" x14ac:dyDescent="0.15">
      <c r="A11" s="292">
        <v>46271</v>
      </c>
      <c r="B11" s="285">
        <v>46271</v>
      </c>
      <c r="F11" s="291"/>
    </row>
    <row r="12" spans="1:6" x14ac:dyDescent="0.15">
      <c r="A12" s="292">
        <v>46271</v>
      </c>
      <c r="B12" s="285" t="s">
        <v>234</v>
      </c>
      <c r="F12" s="291"/>
    </row>
    <row r="13" spans="1:6" x14ac:dyDescent="0.15">
      <c r="A13" s="292">
        <v>46271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46272</v>
      </c>
      <c r="B16" s="297">
        <v>46272</v>
      </c>
      <c r="C16" s="296"/>
      <c r="D16" s="295"/>
      <c r="E16" s="294"/>
      <c r="F16" s="293"/>
    </row>
    <row r="17" spans="1:6" x14ac:dyDescent="0.15">
      <c r="A17" s="292">
        <v>46273</v>
      </c>
      <c r="B17" s="285">
        <v>46273</v>
      </c>
      <c r="F17" s="291"/>
    </row>
    <row r="18" spans="1:6" x14ac:dyDescent="0.15">
      <c r="A18" s="292">
        <v>46274</v>
      </c>
      <c r="B18" s="285">
        <v>46274</v>
      </c>
      <c r="F18" s="291"/>
    </row>
    <row r="19" spans="1:6" x14ac:dyDescent="0.15">
      <c r="A19" s="292">
        <v>46275</v>
      </c>
      <c r="B19" s="285">
        <v>46275</v>
      </c>
      <c r="F19" s="291"/>
    </row>
    <row r="20" spans="1:6" x14ac:dyDescent="0.15">
      <c r="A20" s="292">
        <v>46276</v>
      </c>
      <c r="B20" s="285">
        <v>46276</v>
      </c>
      <c r="F20" s="291"/>
    </row>
    <row r="21" spans="1:6" x14ac:dyDescent="0.15">
      <c r="A21" s="292">
        <v>46277</v>
      </c>
      <c r="B21" s="285">
        <v>46277</v>
      </c>
      <c r="F21" s="291"/>
    </row>
    <row r="22" spans="1:6" x14ac:dyDescent="0.15">
      <c r="A22" s="292">
        <v>46278</v>
      </c>
      <c r="B22" s="285">
        <v>46278</v>
      </c>
      <c r="F22" s="291"/>
    </row>
    <row r="23" spans="1:6" x14ac:dyDescent="0.15">
      <c r="A23" s="292">
        <v>46278</v>
      </c>
      <c r="B23" s="285" t="s">
        <v>234</v>
      </c>
      <c r="F23" s="291"/>
    </row>
    <row r="24" spans="1:6" x14ac:dyDescent="0.15">
      <c r="A24" s="292">
        <v>46278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46279</v>
      </c>
      <c r="B27" s="297">
        <v>46279</v>
      </c>
      <c r="C27" s="296"/>
      <c r="D27" s="295"/>
      <c r="E27" s="294"/>
      <c r="F27" s="293"/>
    </row>
    <row r="28" spans="1:6" x14ac:dyDescent="0.15">
      <c r="A28" s="292">
        <v>46280</v>
      </c>
      <c r="B28" s="285">
        <v>46280</v>
      </c>
      <c r="F28" s="291"/>
    </row>
    <row r="29" spans="1:6" x14ac:dyDescent="0.15">
      <c r="A29" s="292">
        <v>46281</v>
      </c>
      <c r="B29" s="285">
        <v>46281</v>
      </c>
      <c r="F29" s="291"/>
    </row>
    <row r="30" spans="1:6" x14ac:dyDescent="0.15">
      <c r="A30" s="292">
        <v>46282</v>
      </c>
      <c r="B30" s="285">
        <v>46282</v>
      </c>
      <c r="F30" s="291"/>
    </row>
    <row r="31" spans="1:6" x14ac:dyDescent="0.15">
      <c r="A31" s="292">
        <v>46283</v>
      </c>
      <c r="B31" s="285">
        <v>46283</v>
      </c>
      <c r="F31" s="291"/>
    </row>
    <row r="32" spans="1:6" x14ac:dyDescent="0.15">
      <c r="A32" s="292">
        <v>46284</v>
      </c>
      <c r="B32" s="285">
        <v>46284</v>
      </c>
      <c r="F32" s="291"/>
    </row>
    <row r="33" spans="1:6" x14ac:dyDescent="0.15">
      <c r="A33" s="292">
        <v>46285</v>
      </c>
      <c r="B33" s="285">
        <v>46285</v>
      </c>
      <c r="F33" s="291"/>
    </row>
    <row r="34" spans="1:6" x14ac:dyDescent="0.15">
      <c r="A34" s="292">
        <v>46285</v>
      </c>
      <c r="B34" s="285" t="s">
        <v>234</v>
      </c>
      <c r="F34" s="291"/>
    </row>
    <row r="35" spans="1:6" x14ac:dyDescent="0.15">
      <c r="A35" s="292">
        <v>46285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46286</v>
      </c>
      <c r="B38" s="297">
        <v>46286</v>
      </c>
      <c r="C38" s="296"/>
      <c r="D38" s="295"/>
      <c r="E38" s="294"/>
      <c r="F38" s="293"/>
    </row>
    <row r="39" spans="1:6" x14ac:dyDescent="0.15">
      <c r="A39" s="292">
        <v>46287</v>
      </c>
      <c r="B39" s="285">
        <v>46287</v>
      </c>
      <c r="F39" s="291"/>
    </row>
    <row r="40" spans="1:6" x14ac:dyDescent="0.15">
      <c r="A40" s="292">
        <v>46288</v>
      </c>
      <c r="B40" s="285">
        <v>46288</v>
      </c>
      <c r="F40" s="291"/>
    </row>
    <row r="41" spans="1:6" x14ac:dyDescent="0.15">
      <c r="A41" s="292">
        <v>46289</v>
      </c>
      <c r="B41" s="285">
        <v>46289</v>
      </c>
      <c r="F41" s="291"/>
    </row>
    <row r="42" spans="1:6" x14ac:dyDescent="0.15">
      <c r="A42" s="292">
        <v>46290</v>
      </c>
      <c r="B42" s="285">
        <v>46290</v>
      </c>
      <c r="F42" s="291"/>
    </row>
    <row r="43" spans="1:6" x14ac:dyDescent="0.15">
      <c r="A43" s="292">
        <v>46291</v>
      </c>
      <c r="B43" s="285">
        <v>46291</v>
      </c>
      <c r="F43" s="291"/>
    </row>
    <row r="44" spans="1:6" x14ac:dyDescent="0.15">
      <c r="A44" s="292">
        <v>46292</v>
      </c>
      <c r="B44" s="285">
        <v>46292</v>
      </c>
      <c r="F44" s="291"/>
    </row>
    <row r="45" spans="1:6" x14ac:dyDescent="0.15">
      <c r="A45" s="292">
        <v>46292</v>
      </c>
      <c r="B45" s="285" t="s">
        <v>234</v>
      </c>
      <c r="F45" s="291"/>
    </row>
    <row r="46" spans="1:6" x14ac:dyDescent="0.15">
      <c r="A46" s="292">
        <v>46292</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E1+SalesSep!$D$1+PurchasesAug!A1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S1+PurchasesAug!T1</f>
        <v>0</v>
      </c>
      <c r="U1" s="320">
        <f>SUM(U4:U199)</f>
        <v>0</v>
      </c>
    </row>
    <row r="2" spans="1:21" s="7" customFormat="1" ht="13.5" customHeight="1" x14ac:dyDescent="0.15">
      <c r="A2" s="319">
        <f>U1+PurchasesAug!A2</f>
        <v>0</v>
      </c>
      <c r="B2" s="104" t="s">
        <v>272</v>
      </c>
      <c r="C2" s="492" t="s">
        <v>271</v>
      </c>
      <c r="D2" s="494" t="s">
        <v>270</v>
      </c>
      <c r="E2" s="492" t="s">
        <v>269</v>
      </c>
      <c r="F2" s="449" t="s">
        <v>268</v>
      </c>
      <c r="G2" s="496" t="s">
        <v>267</v>
      </c>
      <c r="H2" s="497"/>
      <c r="I2" s="498">
        <f>G1+H1+I1+J1+PurchasesAug!I2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IF((E1&lt;&gt;0),Admin!$B$10,"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IF((A1&lt;Admin!$F$22),((A1-PurchasesAug!A1)*Admin!$G$21),(A1*Admin!$G$21-(A1-Admin!$F$21)*(Admin!$G$21-Admin!$G$22)-PurchasesAug!A2))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7"/>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46293</v>
      </c>
      <c r="B5" s="297">
        <v>46293</v>
      </c>
      <c r="C5" s="296"/>
      <c r="D5" s="295"/>
      <c r="E5" s="294"/>
      <c r="F5" s="293"/>
    </row>
    <row r="6" spans="1:6" x14ac:dyDescent="0.15">
      <c r="A6" s="292">
        <v>46294</v>
      </c>
      <c r="B6" s="285">
        <v>46294</v>
      </c>
      <c r="F6" s="291"/>
    </row>
    <row r="7" spans="1:6" x14ac:dyDescent="0.15">
      <c r="A7" s="292">
        <v>46295</v>
      </c>
      <c r="B7" s="285">
        <v>46295</v>
      </c>
      <c r="F7" s="291"/>
    </row>
    <row r="8" spans="1:6" x14ac:dyDescent="0.15">
      <c r="A8" s="292">
        <v>46296</v>
      </c>
      <c r="B8" s="285">
        <v>46296</v>
      </c>
      <c r="F8" s="291"/>
    </row>
    <row r="9" spans="1:6" x14ac:dyDescent="0.15">
      <c r="A9" s="292">
        <v>46297</v>
      </c>
      <c r="B9" s="285">
        <v>46297</v>
      </c>
      <c r="F9" s="291"/>
    </row>
    <row r="10" spans="1:6" x14ac:dyDescent="0.15">
      <c r="A10" s="292">
        <v>46298</v>
      </c>
      <c r="B10" s="285">
        <v>46298</v>
      </c>
      <c r="F10" s="291"/>
    </row>
    <row r="11" spans="1:6" x14ac:dyDescent="0.15">
      <c r="A11" s="292">
        <v>46299</v>
      </c>
      <c r="B11" s="285">
        <v>46299</v>
      </c>
      <c r="F11" s="291"/>
    </row>
    <row r="12" spans="1:6" x14ac:dyDescent="0.15">
      <c r="A12" s="292">
        <v>46299</v>
      </c>
      <c r="B12" s="285" t="s">
        <v>234</v>
      </c>
      <c r="F12" s="291"/>
    </row>
    <row r="13" spans="1:6" x14ac:dyDescent="0.15">
      <c r="A13" s="292">
        <v>46299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46300</v>
      </c>
      <c r="B16" s="297">
        <v>46300</v>
      </c>
      <c r="C16" s="296"/>
      <c r="D16" s="295"/>
      <c r="E16" s="294"/>
      <c r="F16" s="293"/>
    </row>
    <row r="17" spans="1:6" x14ac:dyDescent="0.15">
      <c r="A17" s="292">
        <v>46301</v>
      </c>
      <c r="B17" s="285">
        <v>46301</v>
      </c>
      <c r="F17" s="291"/>
    </row>
    <row r="18" spans="1:6" x14ac:dyDescent="0.15">
      <c r="A18" s="292">
        <v>46302</v>
      </c>
      <c r="B18" s="285">
        <v>46302</v>
      </c>
      <c r="F18" s="291"/>
    </row>
    <row r="19" spans="1:6" x14ac:dyDescent="0.15">
      <c r="A19" s="292">
        <v>46303</v>
      </c>
      <c r="B19" s="285">
        <v>46303</v>
      </c>
      <c r="F19" s="291"/>
    </row>
    <row r="20" spans="1:6" x14ac:dyDescent="0.15">
      <c r="A20" s="292">
        <v>46304</v>
      </c>
      <c r="B20" s="285">
        <v>46304</v>
      </c>
      <c r="F20" s="291"/>
    </row>
    <row r="21" spans="1:6" x14ac:dyDescent="0.15">
      <c r="A21" s="292">
        <v>46305</v>
      </c>
      <c r="B21" s="285">
        <v>46305</v>
      </c>
      <c r="F21" s="291"/>
    </row>
    <row r="22" spans="1:6" x14ac:dyDescent="0.15">
      <c r="A22" s="292">
        <v>46306</v>
      </c>
      <c r="B22" s="285">
        <v>46306</v>
      </c>
      <c r="F22" s="291"/>
    </row>
    <row r="23" spans="1:6" x14ac:dyDescent="0.15">
      <c r="A23" s="292">
        <v>46306</v>
      </c>
      <c r="B23" s="285" t="s">
        <v>234</v>
      </c>
      <c r="F23" s="291"/>
    </row>
    <row r="24" spans="1:6" x14ac:dyDescent="0.15">
      <c r="A24" s="292">
        <v>46306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46307</v>
      </c>
      <c r="B27" s="297">
        <v>46307</v>
      </c>
      <c r="C27" s="296"/>
      <c r="D27" s="295"/>
      <c r="E27" s="294"/>
      <c r="F27" s="293"/>
    </row>
    <row r="28" spans="1:6" x14ac:dyDescent="0.15">
      <c r="A28" s="292">
        <v>46308</v>
      </c>
      <c r="B28" s="285">
        <v>46308</v>
      </c>
      <c r="F28" s="291"/>
    </row>
    <row r="29" spans="1:6" x14ac:dyDescent="0.15">
      <c r="A29" s="292">
        <v>46309</v>
      </c>
      <c r="B29" s="285">
        <v>46309</v>
      </c>
      <c r="F29" s="291"/>
    </row>
    <row r="30" spans="1:6" x14ac:dyDescent="0.15">
      <c r="A30" s="292">
        <v>46310</v>
      </c>
      <c r="B30" s="285">
        <v>46310</v>
      </c>
      <c r="F30" s="291"/>
    </row>
    <row r="31" spans="1:6" x14ac:dyDescent="0.15">
      <c r="A31" s="292">
        <v>46311</v>
      </c>
      <c r="B31" s="285">
        <v>46311</v>
      </c>
      <c r="F31" s="291"/>
    </row>
    <row r="32" spans="1:6" x14ac:dyDescent="0.15">
      <c r="A32" s="292">
        <v>46312</v>
      </c>
      <c r="B32" s="285">
        <v>46312</v>
      </c>
      <c r="F32" s="291"/>
    </row>
    <row r="33" spans="1:6" x14ac:dyDescent="0.15">
      <c r="A33" s="292">
        <v>46313</v>
      </c>
      <c r="B33" s="285">
        <v>46313</v>
      </c>
      <c r="F33" s="291"/>
    </row>
    <row r="34" spans="1:6" x14ac:dyDescent="0.15">
      <c r="A34" s="292">
        <v>46313</v>
      </c>
      <c r="B34" s="285" t="s">
        <v>234</v>
      </c>
      <c r="F34" s="291"/>
    </row>
    <row r="35" spans="1:6" x14ac:dyDescent="0.15">
      <c r="A35" s="292">
        <v>46313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46314</v>
      </c>
      <c r="B38" s="297">
        <v>46314</v>
      </c>
      <c r="C38" s="296"/>
      <c r="D38" s="295"/>
      <c r="E38" s="294"/>
      <c r="F38" s="293"/>
    </row>
    <row r="39" spans="1:6" x14ac:dyDescent="0.15">
      <c r="A39" s="292">
        <v>46315</v>
      </c>
      <c r="B39" s="285">
        <v>46315</v>
      </c>
      <c r="F39" s="291"/>
    </row>
    <row r="40" spans="1:6" x14ac:dyDescent="0.15">
      <c r="A40" s="292">
        <v>46316</v>
      </c>
      <c r="B40" s="285">
        <v>46316</v>
      </c>
      <c r="F40" s="291"/>
    </row>
    <row r="41" spans="1:6" x14ac:dyDescent="0.15">
      <c r="A41" s="292">
        <v>46317</v>
      </c>
      <c r="B41" s="285">
        <v>46317</v>
      </c>
      <c r="F41" s="291"/>
    </row>
    <row r="42" spans="1:6" x14ac:dyDescent="0.15">
      <c r="A42" s="292">
        <v>46318</v>
      </c>
      <c r="B42" s="285">
        <v>46318</v>
      </c>
      <c r="F42" s="291"/>
    </row>
    <row r="43" spans="1:6" x14ac:dyDescent="0.15">
      <c r="A43" s="292">
        <v>46319</v>
      </c>
      <c r="B43" s="285">
        <v>46319</v>
      </c>
      <c r="F43" s="291"/>
    </row>
    <row r="44" spans="1:6" x14ac:dyDescent="0.15">
      <c r="A44" s="292">
        <v>46320</v>
      </c>
      <c r="B44" s="285">
        <v>46320</v>
      </c>
      <c r="F44" s="291"/>
    </row>
    <row r="45" spans="1:6" x14ac:dyDescent="0.15">
      <c r="A45" s="292">
        <v>46320</v>
      </c>
      <c r="B45" s="285" t="s">
        <v>234</v>
      </c>
      <c r="F45" s="291"/>
    </row>
    <row r="46" spans="1:6" x14ac:dyDescent="0.15">
      <c r="A46" s="292">
        <v>46320</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E1+SalesOct!$D$1+PurchasesSep!A1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S1+PurchasesSep!T1</f>
        <v>0</v>
      </c>
      <c r="U1" s="320">
        <f>SUM(U4:U199)</f>
        <v>0</v>
      </c>
    </row>
    <row r="2" spans="1:21" s="7" customFormat="1" ht="13.5" customHeight="1" x14ac:dyDescent="0.15">
      <c r="A2" s="319">
        <f>U1+PurchasesSep!A2</f>
        <v>0</v>
      </c>
      <c r="B2" s="104" t="s">
        <v>272</v>
      </c>
      <c r="C2" s="492" t="s">
        <v>271</v>
      </c>
      <c r="D2" s="494" t="s">
        <v>270</v>
      </c>
      <c r="E2" s="492" t="s">
        <v>269</v>
      </c>
      <c r="F2" s="449" t="s">
        <v>268</v>
      </c>
      <c r="G2" s="496" t="s">
        <v>267</v>
      </c>
      <c r="H2" s="497"/>
      <c r="I2" s="498">
        <f>G1+H1+I1+J1+PurchasesSep!I2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IF((E1&lt;&gt;0),Admin!$B$11,"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IF((A1&lt;Admin!$F$22),((A1-PurchasesSep!A1)*Admin!$G$21),(A1*Admin!$G$21-(A1-Admin!$F$21)*(Admin!$G$21-Admin!$G$22)-PurchasesSep!A2))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46321</v>
      </c>
      <c r="B5" s="297">
        <v>46321</v>
      </c>
      <c r="C5" s="296"/>
      <c r="D5" s="295"/>
      <c r="E5" s="294"/>
      <c r="F5" s="293"/>
    </row>
    <row r="6" spans="1:6" x14ac:dyDescent="0.15">
      <c r="A6" s="292">
        <v>46322</v>
      </c>
      <c r="B6" s="285">
        <v>46322</v>
      </c>
      <c r="F6" s="291"/>
    </row>
    <row r="7" spans="1:6" x14ac:dyDescent="0.15">
      <c r="A7" s="292">
        <v>46323</v>
      </c>
      <c r="B7" s="285">
        <v>46323</v>
      </c>
      <c r="F7" s="291"/>
    </row>
    <row r="8" spans="1:6" x14ac:dyDescent="0.15">
      <c r="A8" s="292">
        <v>46324</v>
      </c>
      <c r="B8" s="285">
        <v>46324</v>
      </c>
      <c r="F8" s="291"/>
    </row>
    <row r="9" spans="1:6" x14ac:dyDescent="0.15">
      <c r="A9" s="292">
        <v>46325</v>
      </c>
      <c r="B9" s="285">
        <v>46325</v>
      </c>
      <c r="F9" s="291"/>
    </row>
    <row r="10" spans="1:6" x14ac:dyDescent="0.15">
      <c r="A10" s="292">
        <v>46326</v>
      </c>
      <c r="B10" s="285">
        <v>46326</v>
      </c>
      <c r="F10" s="291"/>
    </row>
    <row r="11" spans="1:6" x14ac:dyDescent="0.15">
      <c r="A11" s="292">
        <v>46327</v>
      </c>
      <c r="B11" s="285">
        <v>46327</v>
      </c>
      <c r="F11" s="291"/>
    </row>
    <row r="12" spans="1:6" x14ac:dyDescent="0.15">
      <c r="A12" s="292">
        <v>46327</v>
      </c>
      <c r="B12" s="285" t="s">
        <v>234</v>
      </c>
      <c r="F12" s="291"/>
    </row>
    <row r="13" spans="1:6" x14ac:dyDescent="0.15">
      <c r="A13" s="292">
        <v>46327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46328</v>
      </c>
      <c r="B16" s="297">
        <v>46328</v>
      </c>
      <c r="C16" s="296"/>
      <c r="D16" s="295"/>
      <c r="E16" s="294"/>
      <c r="F16" s="293"/>
    </row>
    <row r="17" spans="1:6" x14ac:dyDescent="0.15">
      <c r="A17" s="292">
        <v>46329</v>
      </c>
      <c r="B17" s="285">
        <v>46329</v>
      </c>
      <c r="F17" s="291"/>
    </row>
    <row r="18" spans="1:6" x14ac:dyDescent="0.15">
      <c r="A18" s="292">
        <v>46330</v>
      </c>
      <c r="B18" s="285">
        <v>46330</v>
      </c>
      <c r="F18" s="291"/>
    </row>
    <row r="19" spans="1:6" x14ac:dyDescent="0.15">
      <c r="A19" s="292">
        <v>46331</v>
      </c>
      <c r="B19" s="285">
        <v>46331</v>
      </c>
      <c r="F19" s="291"/>
    </row>
    <row r="20" spans="1:6" x14ac:dyDescent="0.15">
      <c r="A20" s="292">
        <v>46332</v>
      </c>
      <c r="B20" s="285">
        <v>46332</v>
      </c>
      <c r="F20" s="291"/>
    </row>
    <row r="21" spans="1:6" x14ac:dyDescent="0.15">
      <c r="A21" s="292">
        <v>46333</v>
      </c>
      <c r="B21" s="285">
        <v>46333</v>
      </c>
      <c r="F21" s="291"/>
    </row>
    <row r="22" spans="1:6" x14ac:dyDescent="0.15">
      <c r="A22" s="292">
        <v>46334</v>
      </c>
      <c r="B22" s="285">
        <v>46334</v>
      </c>
      <c r="F22" s="291"/>
    </row>
    <row r="23" spans="1:6" x14ac:dyDescent="0.15">
      <c r="A23" s="292">
        <v>46334</v>
      </c>
      <c r="B23" s="285" t="s">
        <v>234</v>
      </c>
      <c r="F23" s="291"/>
    </row>
    <row r="24" spans="1:6" x14ac:dyDescent="0.15">
      <c r="A24" s="292">
        <v>46334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46335</v>
      </c>
      <c r="B27" s="297">
        <v>46335</v>
      </c>
      <c r="C27" s="296"/>
      <c r="D27" s="295"/>
      <c r="E27" s="294"/>
      <c r="F27" s="293"/>
    </row>
    <row r="28" spans="1:6" x14ac:dyDescent="0.15">
      <c r="A28" s="292">
        <v>46336</v>
      </c>
      <c r="B28" s="285">
        <v>46336</v>
      </c>
      <c r="F28" s="291"/>
    </row>
    <row r="29" spans="1:6" x14ac:dyDescent="0.15">
      <c r="A29" s="292">
        <v>46337</v>
      </c>
      <c r="B29" s="285">
        <v>46337</v>
      </c>
      <c r="F29" s="291"/>
    </row>
    <row r="30" spans="1:6" x14ac:dyDescent="0.15">
      <c r="A30" s="292">
        <v>46338</v>
      </c>
      <c r="B30" s="285">
        <v>46338</v>
      </c>
      <c r="F30" s="291"/>
    </row>
    <row r="31" spans="1:6" x14ac:dyDescent="0.15">
      <c r="A31" s="292">
        <v>46339</v>
      </c>
      <c r="B31" s="285">
        <v>46339</v>
      </c>
      <c r="F31" s="291"/>
    </row>
    <row r="32" spans="1:6" x14ac:dyDescent="0.15">
      <c r="A32" s="292">
        <v>46340</v>
      </c>
      <c r="B32" s="285">
        <v>46340</v>
      </c>
      <c r="F32" s="291"/>
    </row>
    <row r="33" spans="1:6" x14ac:dyDescent="0.15">
      <c r="A33" s="292">
        <v>46341</v>
      </c>
      <c r="B33" s="285">
        <v>46341</v>
      </c>
      <c r="F33" s="291"/>
    </row>
    <row r="34" spans="1:6" x14ac:dyDescent="0.15">
      <c r="A34" s="292">
        <v>46341</v>
      </c>
      <c r="B34" s="285" t="s">
        <v>234</v>
      </c>
      <c r="F34" s="291"/>
    </row>
    <row r="35" spans="1:6" x14ac:dyDescent="0.15">
      <c r="A35" s="292">
        <v>46341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46342</v>
      </c>
      <c r="B38" s="297">
        <v>46342</v>
      </c>
      <c r="C38" s="296"/>
      <c r="D38" s="295"/>
      <c r="E38" s="294"/>
      <c r="F38" s="293"/>
    </row>
    <row r="39" spans="1:6" x14ac:dyDescent="0.15">
      <c r="A39" s="292">
        <v>46343</v>
      </c>
      <c r="B39" s="285">
        <v>46343</v>
      </c>
      <c r="F39" s="291"/>
    </row>
    <row r="40" spans="1:6" x14ac:dyDescent="0.15">
      <c r="A40" s="292">
        <v>46344</v>
      </c>
      <c r="B40" s="285">
        <v>46344</v>
      </c>
      <c r="F40" s="291"/>
    </row>
    <row r="41" spans="1:6" x14ac:dyDescent="0.15">
      <c r="A41" s="292">
        <v>46345</v>
      </c>
      <c r="B41" s="285">
        <v>46345</v>
      </c>
      <c r="F41" s="291"/>
    </row>
    <row r="42" spans="1:6" x14ac:dyDescent="0.15">
      <c r="A42" s="292">
        <v>46346</v>
      </c>
      <c r="B42" s="285">
        <v>46346</v>
      </c>
      <c r="F42" s="291"/>
    </row>
    <row r="43" spans="1:6" x14ac:dyDescent="0.15">
      <c r="A43" s="292">
        <v>46347</v>
      </c>
      <c r="B43" s="285">
        <v>46347</v>
      </c>
      <c r="F43" s="291"/>
    </row>
    <row r="44" spans="1:6" x14ac:dyDescent="0.15">
      <c r="A44" s="292">
        <v>46348</v>
      </c>
      <c r="B44" s="285">
        <v>46348</v>
      </c>
      <c r="F44" s="291"/>
    </row>
    <row r="45" spans="1:6" x14ac:dyDescent="0.15">
      <c r="A45" s="292">
        <v>46348</v>
      </c>
      <c r="B45" s="285" t="s">
        <v>234</v>
      </c>
      <c r="F45" s="291"/>
    </row>
    <row r="46" spans="1:6" x14ac:dyDescent="0.15">
      <c r="A46" s="292">
        <v>46348</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46349</v>
      </c>
      <c r="B49" s="297">
        <v>46349</v>
      </c>
      <c r="C49" s="296"/>
      <c r="D49" s="295"/>
      <c r="E49" s="294"/>
      <c r="F49" s="293"/>
    </row>
    <row r="50" spans="1:6" x14ac:dyDescent="0.15">
      <c r="A50" s="292">
        <v>46350</v>
      </c>
      <c r="B50" s="285">
        <v>46350</v>
      </c>
      <c r="F50" s="291"/>
    </row>
    <row r="51" spans="1:6" x14ac:dyDescent="0.15">
      <c r="A51" s="292">
        <v>46351</v>
      </c>
      <c r="B51" s="285">
        <v>46351</v>
      </c>
      <c r="F51" s="291"/>
    </row>
    <row r="52" spans="1:6" x14ac:dyDescent="0.15">
      <c r="A52" s="292">
        <v>46352</v>
      </c>
      <c r="B52" s="285">
        <v>46352</v>
      </c>
      <c r="F52" s="291"/>
    </row>
    <row r="53" spans="1:6" x14ac:dyDescent="0.15">
      <c r="A53" s="292">
        <v>46353</v>
      </c>
      <c r="B53" s="285">
        <v>46353</v>
      </c>
      <c r="F53" s="291"/>
    </row>
    <row r="54" spans="1:6" x14ac:dyDescent="0.15">
      <c r="A54" s="292">
        <v>46354</v>
      </c>
      <c r="B54" s="285">
        <v>46354</v>
      </c>
      <c r="F54" s="291"/>
    </row>
    <row r="55" spans="1:6" x14ac:dyDescent="0.15">
      <c r="A55" s="292">
        <v>46355</v>
      </c>
      <c r="B55" s="285">
        <v>46355</v>
      </c>
      <c r="F55" s="291"/>
    </row>
    <row r="56" spans="1:6" x14ac:dyDescent="0.15">
      <c r="A56" s="292">
        <v>46355</v>
      </c>
      <c r="B56" s="285" t="s">
        <v>234</v>
      </c>
      <c r="F56" s="291"/>
    </row>
    <row r="57" spans="1:6" x14ac:dyDescent="0.15">
      <c r="A57" s="292">
        <v>46355</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E1+SalesNov!$D$1+PurchasesOct!A1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S1+PurchasesOct!T1</f>
        <v>0</v>
      </c>
      <c r="U1" s="320">
        <f>SUM(U4:U199)</f>
        <v>0</v>
      </c>
    </row>
    <row r="2" spans="1:21" s="7" customFormat="1" ht="13.5" customHeight="1" x14ac:dyDescent="0.15">
      <c r="A2" s="319">
        <f>U1+PurchasesOct!A2</f>
        <v>0</v>
      </c>
      <c r="B2" s="104" t="s">
        <v>272</v>
      </c>
      <c r="C2" s="492" t="s">
        <v>271</v>
      </c>
      <c r="D2" s="494" t="s">
        <v>270</v>
      </c>
      <c r="E2" s="492" t="s">
        <v>269</v>
      </c>
      <c r="F2" s="449" t="s">
        <v>268</v>
      </c>
      <c r="G2" s="496" t="s">
        <v>267</v>
      </c>
      <c r="H2" s="497"/>
      <c r="I2" s="498">
        <f>G1+H1+I1+J1+PurchasesOct!I2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IF((E1&lt;&gt;0),Admin!$B$12,"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IF((A1&lt;Admin!$F$22),((A1-PurchasesOct!A1)*Admin!$G$21),(A1*Admin!$G$21-(A1-Admin!$F$21)*(Admin!$G$21-Admin!$G$22)-PurchasesOct!A2))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46356</v>
      </c>
      <c r="B5" s="297">
        <v>46356</v>
      </c>
      <c r="C5" s="296"/>
      <c r="D5" s="295"/>
      <c r="E5" s="294"/>
      <c r="F5" s="293"/>
    </row>
    <row r="6" spans="1:6" x14ac:dyDescent="0.15">
      <c r="A6" s="292">
        <v>46357</v>
      </c>
      <c r="B6" s="285">
        <v>46357</v>
      </c>
      <c r="F6" s="291"/>
    </row>
    <row r="7" spans="1:6" x14ac:dyDescent="0.15">
      <c r="A7" s="292">
        <v>46358</v>
      </c>
      <c r="B7" s="285">
        <v>46358</v>
      </c>
      <c r="F7" s="291"/>
    </row>
    <row r="8" spans="1:6" x14ac:dyDescent="0.15">
      <c r="A8" s="292">
        <v>46359</v>
      </c>
      <c r="B8" s="285">
        <v>46359</v>
      </c>
      <c r="F8" s="291"/>
    </row>
    <row r="9" spans="1:6" x14ac:dyDescent="0.15">
      <c r="A9" s="292">
        <v>46360</v>
      </c>
      <c r="B9" s="285">
        <v>46360</v>
      </c>
      <c r="F9" s="291"/>
    </row>
    <row r="10" spans="1:6" x14ac:dyDescent="0.15">
      <c r="A10" s="292">
        <v>46361</v>
      </c>
      <c r="B10" s="285">
        <v>46361</v>
      </c>
      <c r="F10" s="291"/>
    </row>
    <row r="11" spans="1:6" x14ac:dyDescent="0.15">
      <c r="A11" s="292">
        <v>46362</v>
      </c>
      <c r="B11" s="285">
        <v>46362</v>
      </c>
      <c r="F11" s="291"/>
    </row>
    <row r="12" spans="1:6" x14ac:dyDescent="0.15">
      <c r="A12" s="292">
        <v>46362</v>
      </c>
      <c r="B12" s="285" t="s">
        <v>234</v>
      </c>
      <c r="F12" s="291"/>
    </row>
    <row r="13" spans="1:6" x14ac:dyDescent="0.15">
      <c r="A13" s="292">
        <v>46362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46363</v>
      </c>
      <c r="B16" s="297">
        <v>46363</v>
      </c>
      <c r="C16" s="296"/>
      <c r="D16" s="295"/>
      <c r="E16" s="294"/>
      <c r="F16" s="293"/>
    </row>
    <row r="17" spans="1:6" x14ac:dyDescent="0.15">
      <c r="A17" s="292">
        <v>46364</v>
      </c>
      <c r="B17" s="285">
        <v>46364</v>
      </c>
      <c r="F17" s="291"/>
    </row>
    <row r="18" spans="1:6" x14ac:dyDescent="0.15">
      <c r="A18" s="292">
        <v>46365</v>
      </c>
      <c r="B18" s="285">
        <v>46365</v>
      </c>
      <c r="F18" s="291"/>
    </row>
    <row r="19" spans="1:6" x14ac:dyDescent="0.15">
      <c r="A19" s="292">
        <v>46366</v>
      </c>
      <c r="B19" s="285">
        <v>46366</v>
      </c>
      <c r="F19" s="291"/>
    </row>
    <row r="20" spans="1:6" x14ac:dyDescent="0.15">
      <c r="A20" s="292">
        <v>46367</v>
      </c>
      <c r="B20" s="285">
        <v>46367</v>
      </c>
      <c r="F20" s="291"/>
    </row>
    <row r="21" spans="1:6" x14ac:dyDescent="0.15">
      <c r="A21" s="292">
        <v>46368</v>
      </c>
      <c r="B21" s="285">
        <v>46368</v>
      </c>
      <c r="F21" s="291"/>
    </row>
    <row r="22" spans="1:6" x14ac:dyDescent="0.15">
      <c r="A22" s="292">
        <v>46369</v>
      </c>
      <c r="B22" s="285">
        <v>46369</v>
      </c>
      <c r="F22" s="291"/>
    </row>
    <row r="23" spans="1:6" x14ac:dyDescent="0.15">
      <c r="A23" s="292">
        <v>46369</v>
      </c>
      <c r="B23" s="285" t="s">
        <v>234</v>
      </c>
      <c r="F23" s="291"/>
    </row>
    <row r="24" spans="1:6" x14ac:dyDescent="0.15">
      <c r="A24" s="292">
        <v>46369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46370</v>
      </c>
      <c r="B27" s="297">
        <v>46370</v>
      </c>
      <c r="C27" s="296"/>
      <c r="D27" s="295"/>
      <c r="E27" s="294"/>
      <c r="F27" s="293"/>
    </row>
    <row r="28" spans="1:6" x14ac:dyDescent="0.15">
      <c r="A28" s="292">
        <v>46371</v>
      </c>
      <c r="B28" s="285">
        <v>46371</v>
      </c>
      <c r="F28" s="291"/>
    </row>
    <row r="29" spans="1:6" x14ac:dyDescent="0.15">
      <c r="A29" s="292">
        <v>46372</v>
      </c>
      <c r="B29" s="285">
        <v>46372</v>
      </c>
      <c r="F29" s="291"/>
    </row>
    <row r="30" spans="1:6" x14ac:dyDescent="0.15">
      <c r="A30" s="292">
        <v>46373</v>
      </c>
      <c r="B30" s="285">
        <v>46373</v>
      </c>
      <c r="F30" s="291"/>
    </row>
    <row r="31" spans="1:6" x14ac:dyDescent="0.15">
      <c r="A31" s="292">
        <v>46374</v>
      </c>
      <c r="B31" s="285">
        <v>46374</v>
      </c>
      <c r="F31" s="291"/>
    </row>
    <row r="32" spans="1:6" x14ac:dyDescent="0.15">
      <c r="A32" s="292">
        <v>46375</v>
      </c>
      <c r="B32" s="285">
        <v>46375</v>
      </c>
      <c r="F32" s="291"/>
    </row>
    <row r="33" spans="1:6" x14ac:dyDescent="0.15">
      <c r="A33" s="292">
        <v>46376</v>
      </c>
      <c r="B33" s="285">
        <v>46376</v>
      </c>
      <c r="F33" s="291"/>
    </row>
    <row r="34" spans="1:6" x14ac:dyDescent="0.15">
      <c r="A34" s="292">
        <v>46376</v>
      </c>
      <c r="B34" s="285" t="s">
        <v>234</v>
      </c>
      <c r="F34" s="291"/>
    </row>
    <row r="35" spans="1:6" x14ac:dyDescent="0.15">
      <c r="A35" s="292">
        <v>46376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46377</v>
      </c>
      <c r="B38" s="297">
        <v>46377</v>
      </c>
      <c r="C38" s="296"/>
      <c r="D38" s="295"/>
      <c r="E38" s="294"/>
      <c r="F38" s="293"/>
    </row>
    <row r="39" spans="1:6" x14ac:dyDescent="0.15">
      <c r="A39" s="292">
        <v>46378</v>
      </c>
      <c r="B39" s="285">
        <v>46378</v>
      </c>
      <c r="F39" s="291"/>
    </row>
    <row r="40" spans="1:6" x14ac:dyDescent="0.15">
      <c r="A40" s="292">
        <v>46379</v>
      </c>
      <c r="B40" s="285">
        <v>46379</v>
      </c>
      <c r="F40" s="291"/>
    </row>
    <row r="41" spans="1:6" x14ac:dyDescent="0.15">
      <c r="A41" s="292">
        <v>46380</v>
      </c>
      <c r="B41" s="285">
        <v>46380</v>
      </c>
      <c r="F41" s="291"/>
    </row>
    <row r="42" spans="1:6" x14ac:dyDescent="0.15">
      <c r="A42" s="292">
        <v>46381</v>
      </c>
      <c r="B42" s="285">
        <v>46381</v>
      </c>
      <c r="F42" s="291"/>
    </row>
    <row r="43" spans="1:6" x14ac:dyDescent="0.15">
      <c r="A43" s="292">
        <v>46382</v>
      </c>
      <c r="B43" s="285">
        <v>46382</v>
      </c>
      <c r="F43" s="291"/>
    </row>
    <row r="44" spans="1:6" x14ac:dyDescent="0.15">
      <c r="A44" s="292">
        <v>46383</v>
      </c>
      <c r="B44" s="285">
        <v>46383</v>
      </c>
      <c r="F44" s="291"/>
    </row>
    <row r="45" spans="1:6" x14ac:dyDescent="0.15">
      <c r="A45" s="292">
        <v>46383</v>
      </c>
      <c r="B45" s="285" t="s">
        <v>234</v>
      </c>
      <c r="F45" s="291"/>
    </row>
    <row r="46" spans="1:6" x14ac:dyDescent="0.15">
      <c r="A46" s="292">
        <v>46383</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E1+SalesDec!$D$1+PurchasesNov!A1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S1+PurchasesNov!T1</f>
        <v>0</v>
      </c>
      <c r="U1" s="320">
        <f>SUM(U4:U199)</f>
        <v>0</v>
      </c>
    </row>
    <row r="2" spans="1:21" s="7" customFormat="1" ht="13.5" customHeight="1" x14ac:dyDescent="0.15">
      <c r="A2" s="319">
        <f>U1+PurchasesNov!A2</f>
        <v>0</v>
      </c>
      <c r="B2" s="104" t="s">
        <v>272</v>
      </c>
      <c r="C2" s="492" t="s">
        <v>271</v>
      </c>
      <c r="D2" s="494" t="s">
        <v>270</v>
      </c>
      <c r="E2" s="492" t="s">
        <v>269</v>
      </c>
      <c r="F2" s="449" t="s">
        <v>268</v>
      </c>
      <c r="G2" s="496" t="s">
        <v>267</v>
      </c>
      <c r="H2" s="497"/>
      <c r="I2" s="498">
        <f>G1+H1+I1+J1+PurchasesNov!I2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IF((E1&lt;&gt;0),Admin!$B$13,"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IF((A1&lt;Admin!$F$22),((A1-PurchasesNov!A1)*Admin!$G$21),(A1*Admin!$G$21-(A1-Admin!$F$21)*(Admin!$G$21-Admin!$G$22)-PurchasesNov!A2))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8"/>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46384</v>
      </c>
      <c r="B5" s="297">
        <v>46384</v>
      </c>
      <c r="C5" s="296"/>
      <c r="D5" s="295"/>
      <c r="E5" s="294"/>
      <c r="F5" s="293"/>
    </row>
    <row r="6" spans="1:6" x14ac:dyDescent="0.15">
      <c r="A6" s="292">
        <v>46385</v>
      </c>
      <c r="B6" s="285">
        <v>46385</v>
      </c>
      <c r="F6" s="291"/>
    </row>
    <row r="7" spans="1:6" x14ac:dyDescent="0.15">
      <c r="A7" s="292">
        <v>46386</v>
      </c>
      <c r="B7" s="285">
        <v>46386</v>
      </c>
      <c r="F7" s="291"/>
    </row>
    <row r="8" spans="1:6" x14ac:dyDescent="0.15">
      <c r="A8" s="292">
        <v>46387</v>
      </c>
      <c r="B8" s="285">
        <v>46387</v>
      </c>
      <c r="F8" s="291"/>
    </row>
    <row r="9" spans="1:6" x14ac:dyDescent="0.15">
      <c r="A9" s="292">
        <v>46388</v>
      </c>
      <c r="B9" s="285">
        <v>46388</v>
      </c>
      <c r="F9" s="291"/>
    </row>
    <row r="10" spans="1:6" x14ac:dyDescent="0.15">
      <c r="A10" s="292">
        <v>46389</v>
      </c>
      <c r="B10" s="285">
        <v>46389</v>
      </c>
      <c r="F10" s="291"/>
    </row>
    <row r="11" spans="1:6" x14ac:dyDescent="0.15">
      <c r="A11" s="292">
        <v>46390</v>
      </c>
      <c r="B11" s="285">
        <v>46390</v>
      </c>
      <c r="F11" s="291"/>
    </row>
    <row r="12" spans="1:6" x14ac:dyDescent="0.15">
      <c r="A12" s="292">
        <v>46390</v>
      </c>
      <c r="B12" s="285" t="s">
        <v>234</v>
      </c>
      <c r="F12" s="291"/>
    </row>
    <row r="13" spans="1:6" x14ac:dyDescent="0.15">
      <c r="A13" s="292">
        <v>46390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46391</v>
      </c>
      <c r="B16" s="297">
        <v>46391</v>
      </c>
      <c r="C16" s="296"/>
      <c r="D16" s="295"/>
      <c r="E16" s="294"/>
      <c r="F16" s="293"/>
    </row>
    <row r="17" spans="1:6" x14ac:dyDescent="0.15">
      <c r="A17" s="292">
        <v>46392</v>
      </c>
      <c r="B17" s="285">
        <v>46392</v>
      </c>
      <c r="F17" s="291"/>
    </row>
    <row r="18" spans="1:6" x14ac:dyDescent="0.15">
      <c r="A18" s="292">
        <v>46393</v>
      </c>
      <c r="B18" s="285">
        <v>46393</v>
      </c>
      <c r="F18" s="291"/>
    </row>
    <row r="19" spans="1:6" x14ac:dyDescent="0.15">
      <c r="A19" s="292">
        <v>46394</v>
      </c>
      <c r="B19" s="285">
        <v>46394</v>
      </c>
      <c r="F19" s="291"/>
    </row>
    <row r="20" spans="1:6" x14ac:dyDescent="0.15">
      <c r="A20" s="292">
        <v>46395</v>
      </c>
      <c r="B20" s="285">
        <v>46395</v>
      </c>
      <c r="F20" s="291"/>
    </row>
    <row r="21" spans="1:6" x14ac:dyDescent="0.15">
      <c r="A21" s="292">
        <v>46396</v>
      </c>
      <c r="B21" s="285">
        <v>46396</v>
      </c>
      <c r="F21" s="291"/>
    </row>
    <row r="22" spans="1:6" x14ac:dyDescent="0.15">
      <c r="A22" s="292">
        <v>46397</v>
      </c>
      <c r="B22" s="285">
        <v>46397</v>
      </c>
      <c r="F22" s="291"/>
    </row>
    <row r="23" spans="1:6" x14ac:dyDescent="0.15">
      <c r="A23" s="292">
        <v>46397</v>
      </c>
      <c r="B23" s="285" t="s">
        <v>234</v>
      </c>
      <c r="F23" s="291"/>
    </row>
    <row r="24" spans="1:6" x14ac:dyDescent="0.15">
      <c r="A24" s="292">
        <v>46397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46398</v>
      </c>
      <c r="B27" s="297">
        <v>46398</v>
      </c>
      <c r="C27" s="296"/>
      <c r="D27" s="295"/>
      <c r="E27" s="294"/>
      <c r="F27" s="293"/>
    </row>
    <row r="28" spans="1:6" x14ac:dyDescent="0.15">
      <c r="A28" s="292">
        <v>46399</v>
      </c>
      <c r="B28" s="285">
        <v>46399</v>
      </c>
      <c r="F28" s="291"/>
    </row>
    <row r="29" spans="1:6" x14ac:dyDescent="0.15">
      <c r="A29" s="292">
        <v>46400</v>
      </c>
      <c r="B29" s="285">
        <v>46400</v>
      </c>
      <c r="F29" s="291"/>
    </row>
    <row r="30" spans="1:6" x14ac:dyDescent="0.15">
      <c r="A30" s="292">
        <v>46401</v>
      </c>
      <c r="B30" s="285">
        <v>46401</v>
      </c>
      <c r="F30" s="291"/>
    </row>
    <row r="31" spans="1:6" x14ac:dyDescent="0.15">
      <c r="A31" s="292">
        <v>46402</v>
      </c>
      <c r="B31" s="285">
        <v>46402</v>
      </c>
      <c r="F31" s="291"/>
    </row>
    <row r="32" spans="1:6" x14ac:dyDescent="0.15">
      <c r="A32" s="292">
        <v>46403</v>
      </c>
      <c r="B32" s="285">
        <v>46403</v>
      </c>
      <c r="F32" s="291"/>
    </row>
    <row r="33" spans="1:6" x14ac:dyDescent="0.15">
      <c r="A33" s="292">
        <v>46404</v>
      </c>
      <c r="B33" s="285">
        <v>46404</v>
      </c>
      <c r="F33" s="291"/>
    </row>
    <row r="34" spans="1:6" x14ac:dyDescent="0.15">
      <c r="A34" s="292">
        <v>46404</v>
      </c>
      <c r="B34" s="285" t="s">
        <v>234</v>
      </c>
      <c r="F34" s="291"/>
    </row>
    <row r="35" spans="1:6" x14ac:dyDescent="0.15">
      <c r="A35" s="292">
        <v>46404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46405</v>
      </c>
      <c r="B38" s="297">
        <v>46405</v>
      </c>
      <c r="C38" s="296"/>
      <c r="D38" s="295"/>
      <c r="E38" s="294"/>
      <c r="F38" s="293"/>
    </row>
    <row r="39" spans="1:6" x14ac:dyDescent="0.15">
      <c r="A39" s="292">
        <v>46406</v>
      </c>
      <c r="B39" s="285">
        <v>46406</v>
      </c>
      <c r="F39" s="291"/>
    </row>
    <row r="40" spans="1:6" x14ac:dyDescent="0.15">
      <c r="A40" s="292">
        <v>46407</v>
      </c>
      <c r="B40" s="285">
        <v>46407</v>
      </c>
      <c r="F40" s="291"/>
    </row>
    <row r="41" spans="1:6" x14ac:dyDescent="0.15">
      <c r="A41" s="292">
        <v>46408</v>
      </c>
      <c r="B41" s="285">
        <v>46408</v>
      </c>
      <c r="F41" s="291"/>
    </row>
    <row r="42" spans="1:6" x14ac:dyDescent="0.15">
      <c r="A42" s="292">
        <v>46409</v>
      </c>
      <c r="B42" s="285">
        <v>46409</v>
      </c>
      <c r="F42" s="291"/>
    </row>
    <row r="43" spans="1:6" x14ac:dyDescent="0.15">
      <c r="A43" s="292">
        <v>46410</v>
      </c>
      <c r="B43" s="285">
        <v>46410</v>
      </c>
      <c r="F43" s="291"/>
    </row>
    <row r="44" spans="1:6" x14ac:dyDescent="0.15">
      <c r="A44" s="292">
        <v>46411</v>
      </c>
      <c r="B44" s="285">
        <v>46411</v>
      </c>
      <c r="F44" s="291"/>
    </row>
    <row r="45" spans="1:6" x14ac:dyDescent="0.15">
      <c r="A45" s="292">
        <v>46411</v>
      </c>
      <c r="B45" s="285" t="s">
        <v>234</v>
      </c>
      <c r="F45" s="291"/>
    </row>
    <row r="46" spans="1:6" x14ac:dyDescent="0.15">
      <c r="A46" s="292">
        <v>46411</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46412</v>
      </c>
      <c r="B49" s="297">
        <v>46412</v>
      </c>
      <c r="C49" s="296"/>
      <c r="D49" s="295"/>
      <c r="E49" s="294"/>
      <c r="F49" s="293"/>
    </row>
    <row r="50" spans="1:6" x14ac:dyDescent="0.15">
      <c r="A50" s="292">
        <v>46413</v>
      </c>
      <c r="B50" s="285">
        <v>46413</v>
      </c>
      <c r="F50" s="291"/>
    </row>
    <row r="51" spans="1:6" x14ac:dyDescent="0.15">
      <c r="A51" s="292">
        <v>46414</v>
      </c>
      <c r="B51" s="285">
        <v>46414</v>
      </c>
      <c r="F51" s="291"/>
    </row>
    <row r="52" spans="1:6" x14ac:dyDescent="0.15">
      <c r="A52" s="292">
        <v>46415</v>
      </c>
      <c r="B52" s="285">
        <v>46415</v>
      </c>
      <c r="F52" s="291"/>
    </row>
    <row r="53" spans="1:6" x14ac:dyDescent="0.15">
      <c r="A53" s="292">
        <v>46416</v>
      </c>
      <c r="B53" s="285">
        <v>46416</v>
      </c>
      <c r="F53" s="291"/>
    </row>
    <row r="54" spans="1:6" x14ac:dyDescent="0.15">
      <c r="A54" s="292">
        <v>46417</v>
      </c>
      <c r="B54" s="285">
        <v>46417</v>
      </c>
      <c r="F54" s="291"/>
    </row>
    <row r="55" spans="1:6" x14ac:dyDescent="0.15">
      <c r="A55" s="292">
        <v>46418</v>
      </c>
      <c r="B55" s="285">
        <v>46418</v>
      </c>
      <c r="F55" s="291"/>
    </row>
    <row r="56" spans="1:6" x14ac:dyDescent="0.15">
      <c r="A56" s="292">
        <v>46418</v>
      </c>
      <c r="B56" s="285" t="s">
        <v>234</v>
      </c>
      <c r="F56" s="291"/>
    </row>
    <row r="57" spans="1:6" x14ac:dyDescent="0.15">
      <c r="A57" s="292">
        <v>46418</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E1+SalesJan!$D$1+PurchasesDec!A1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S1+PurchasesDec!T1</f>
        <v>0</v>
      </c>
      <c r="U1" s="320">
        <f>SUM(U4:U199)</f>
        <v>0</v>
      </c>
    </row>
    <row r="2" spans="1:21" s="7" customFormat="1" ht="13.5" customHeight="1" x14ac:dyDescent="0.15">
      <c r="A2" s="319">
        <f>U1+PurchasesDec!A2</f>
        <v>0</v>
      </c>
      <c r="B2" s="104" t="s">
        <v>272</v>
      </c>
      <c r="C2" s="492" t="s">
        <v>271</v>
      </c>
      <c r="D2" s="494" t="s">
        <v>270</v>
      </c>
      <c r="E2" s="492" t="s">
        <v>269</v>
      </c>
      <c r="F2" s="449" t="s">
        <v>268</v>
      </c>
      <c r="G2" s="496" t="s">
        <v>267</v>
      </c>
      <c r="H2" s="497"/>
      <c r="I2" s="498">
        <f>G1+H1+I1+J1+PurchasesDec!I2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IF((E1&lt;&gt;0),Admin!$B$14,"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IF((A1&lt;Admin!$F$22),((A1-PurchasesDec!A1)*Admin!$G$21),(A1*Admin!$G$21-(A1-Admin!$F$21)*(Admin!$G$21-Admin!$G$22)-PurchasesDec!A2))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46419</v>
      </c>
      <c r="B5" s="297">
        <v>46419</v>
      </c>
      <c r="C5" s="296"/>
      <c r="D5" s="295"/>
      <c r="E5" s="294"/>
      <c r="F5" s="293"/>
    </row>
    <row r="6" spans="1:6" x14ac:dyDescent="0.15">
      <c r="A6" s="292">
        <v>46420</v>
      </c>
      <c r="B6" s="285">
        <v>46420</v>
      </c>
      <c r="F6" s="291"/>
    </row>
    <row r="7" spans="1:6" x14ac:dyDescent="0.15">
      <c r="A7" s="292">
        <v>46421</v>
      </c>
      <c r="B7" s="285">
        <v>46421</v>
      </c>
      <c r="F7" s="291"/>
    </row>
    <row r="8" spans="1:6" x14ac:dyDescent="0.15">
      <c r="A8" s="292">
        <v>46422</v>
      </c>
      <c r="B8" s="285">
        <v>46422</v>
      </c>
      <c r="F8" s="291"/>
    </row>
    <row r="9" spans="1:6" x14ac:dyDescent="0.15">
      <c r="A9" s="292">
        <v>46423</v>
      </c>
      <c r="B9" s="285">
        <v>46423</v>
      </c>
      <c r="F9" s="291"/>
    </row>
    <row r="10" spans="1:6" x14ac:dyDescent="0.15">
      <c r="A10" s="292">
        <v>46424</v>
      </c>
      <c r="B10" s="285">
        <v>46424</v>
      </c>
      <c r="F10" s="291"/>
    </row>
    <row r="11" spans="1:6" x14ac:dyDescent="0.15">
      <c r="A11" s="292">
        <v>46425</v>
      </c>
      <c r="B11" s="285">
        <v>46425</v>
      </c>
      <c r="F11" s="291"/>
    </row>
    <row r="12" spans="1:6" x14ac:dyDescent="0.15">
      <c r="A12" s="292">
        <v>46425</v>
      </c>
      <c r="B12" s="285" t="s">
        <v>234</v>
      </c>
      <c r="F12" s="291"/>
    </row>
    <row r="13" spans="1:6" x14ac:dyDescent="0.15">
      <c r="A13" s="292">
        <v>46425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46426</v>
      </c>
      <c r="B16" s="297">
        <v>46426</v>
      </c>
      <c r="C16" s="296"/>
      <c r="D16" s="295"/>
      <c r="E16" s="294"/>
      <c r="F16" s="293"/>
    </row>
    <row r="17" spans="1:6" x14ac:dyDescent="0.15">
      <c r="A17" s="292">
        <v>46427</v>
      </c>
      <c r="B17" s="285">
        <v>46427</v>
      </c>
      <c r="F17" s="291"/>
    </row>
    <row r="18" spans="1:6" x14ac:dyDescent="0.15">
      <c r="A18" s="292">
        <v>46428</v>
      </c>
      <c r="B18" s="285">
        <v>46428</v>
      </c>
      <c r="F18" s="291"/>
    </row>
    <row r="19" spans="1:6" x14ac:dyDescent="0.15">
      <c r="A19" s="292">
        <v>46429</v>
      </c>
      <c r="B19" s="285">
        <v>46429</v>
      </c>
      <c r="F19" s="291"/>
    </row>
    <row r="20" spans="1:6" x14ac:dyDescent="0.15">
      <c r="A20" s="292">
        <v>46430</v>
      </c>
      <c r="B20" s="285">
        <v>46430</v>
      </c>
      <c r="F20" s="291"/>
    </row>
    <row r="21" spans="1:6" x14ac:dyDescent="0.15">
      <c r="A21" s="292">
        <v>46431</v>
      </c>
      <c r="B21" s="285">
        <v>46431</v>
      </c>
      <c r="F21" s="291"/>
    </row>
    <row r="22" spans="1:6" x14ac:dyDescent="0.15">
      <c r="A22" s="292">
        <v>46432</v>
      </c>
      <c r="B22" s="285">
        <v>46432</v>
      </c>
      <c r="F22" s="291"/>
    </row>
    <row r="23" spans="1:6" x14ac:dyDescent="0.15">
      <c r="A23" s="292">
        <v>46432</v>
      </c>
      <c r="B23" s="285" t="s">
        <v>234</v>
      </c>
      <c r="F23" s="291"/>
    </row>
    <row r="24" spans="1:6" x14ac:dyDescent="0.15">
      <c r="A24" s="292">
        <v>46432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46433</v>
      </c>
      <c r="B27" s="297">
        <v>46433</v>
      </c>
      <c r="C27" s="296"/>
      <c r="D27" s="295"/>
      <c r="E27" s="294"/>
      <c r="F27" s="293"/>
    </row>
    <row r="28" spans="1:6" x14ac:dyDescent="0.15">
      <c r="A28" s="292">
        <v>46434</v>
      </c>
      <c r="B28" s="285">
        <v>46434</v>
      </c>
      <c r="F28" s="291"/>
    </row>
    <row r="29" spans="1:6" x14ac:dyDescent="0.15">
      <c r="A29" s="292">
        <v>46435</v>
      </c>
      <c r="B29" s="285">
        <v>46435</v>
      </c>
      <c r="F29" s="291"/>
    </row>
    <row r="30" spans="1:6" x14ac:dyDescent="0.15">
      <c r="A30" s="292">
        <v>46436</v>
      </c>
      <c r="B30" s="285">
        <v>46436</v>
      </c>
      <c r="F30" s="291"/>
    </row>
    <row r="31" spans="1:6" x14ac:dyDescent="0.15">
      <c r="A31" s="292">
        <v>46437</v>
      </c>
      <c r="B31" s="285">
        <v>46437</v>
      </c>
      <c r="F31" s="291"/>
    </row>
    <row r="32" spans="1:6" x14ac:dyDescent="0.15">
      <c r="A32" s="292">
        <v>46438</v>
      </c>
      <c r="B32" s="285">
        <v>46438</v>
      </c>
      <c r="F32" s="291"/>
    </row>
    <row r="33" spans="1:6" x14ac:dyDescent="0.15">
      <c r="A33" s="292">
        <v>46439</v>
      </c>
      <c r="B33" s="285">
        <v>46439</v>
      </c>
      <c r="F33" s="291"/>
    </row>
    <row r="34" spans="1:6" x14ac:dyDescent="0.15">
      <c r="A34" s="292">
        <v>46439</v>
      </c>
      <c r="B34" s="285" t="s">
        <v>234</v>
      </c>
      <c r="F34" s="291"/>
    </row>
    <row r="35" spans="1:6" x14ac:dyDescent="0.15">
      <c r="A35" s="292">
        <v>46439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46440</v>
      </c>
      <c r="B38" s="297">
        <v>46440</v>
      </c>
      <c r="C38" s="296"/>
      <c r="D38" s="295"/>
      <c r="E38" s="294"/>
      <c r="F38" s="293"/>
    </row>
    <row r="39" spans="1:6" x14ac:dyDescent="0.15">
      <c r="A39" s="292">
        <v>46441</v>
      </c>
      <c r="B39" s="285">
        <v>46441</v>
      </c>
      <c r="F39" s="291"/>
    </row>
    <row r="40" spans="1:6" x14ac:dyDescent="0.15">
      <c r="A40" s="292">
        <v>46442</v>
      </c>
      <c r="B40" s="285">
        <v>46442</v>
      </c>
      <c r="F40" s="291"/>
    </row>
    <row r="41" spans="1:6" x14ac:dyDescent="0.15">
      <c r="A41" s="292">
        <v>46443</v>
      </c>
      <c r="B41" s="285">
        <v>46443</v>
      </c>
      <c r="F41" s="291"/>
    </row>
    <row r="42" spans="1:6" x14ac:dyDescent="0.15">
      <c r="A42" s="292">
        <v>46444</v>
      </c>
      <c r="B42" s="285">
        <v>46444</v>
      </c>
      <c r="F42" s="291"/>
    </row>
    <row r="43" spans="1:6" x14ac:dyDescent="0.15">
      <c r="A43" s="292">
        <v>46445</v>
      </c>
      <c r="B43" s="285">
        <v>46445</v>
      </c>
      <c r="F43" s="291"/>
    </row>
    <row r="44" spans="1:6" x14ac:dyDescent="0.15">
      <c r="A44" s="292">
        <v>46446</v>
      </c>
      <c r="B44" s="285">
        <v>46446</v>
      </c>
      <c r="F44" s="291"/>
    </row>
    <row r="45" spans="1:6" x14ac:dyDescent="0.15">
      <c r="A45" s="292">
        <v>46446</v>
      </c>
      <c r="B45" s="285" t="s">
        <v>234</v>
      </c>
      <c r="F45" s="291"/>
    </row>
    <row r="46" spans="1:6" x14ac:dyDescent="0.15">
      <c r="A46" s="292">
        <v>46446</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E1+SalesFeb!$D$1+PurchasesJan!A1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S1+PurchasesJan!T1</f>
        <v>0</v>
      </c>
      <c r="U1" s="320">
        <f>SUM(U4:U199)</f>
        <v>0</v>
      </c>
    </row>
    <row r="2" spans="1:21" s="7" customFormat="1" ht="13.5" customHeight="1" x14ac:dyDescent="0.15">
      <c r="A2" s="319">
        <f>U1+PurchasesJan!A2</f>
        <v>0</v>
      </c>
      <c r="B2" s="104" t="s">
        <v>272</v>
      </c>
      <c r="C2" s="492" t="s">
        <v>271</v>
      </c>
      <c r="D2" s="494" t="s">
        <v>270</v>
      </c>
      <c r="E2" s="492" t="s">
        <v>269</v>
      </c>
      <c r="F2" s="449" t="s">
        <v>268</v>
      </c>
      <c r="G2" s="496" t="s">
        <v>267</v>
      </c>
      <c r="H2" s="497"/>
      <c r="I2" s="498">
        <f>G1+H1+I1+J1+PurchasesJan!I2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IF((A1&lt;Admin!$F$22),((A1-PurchasesJan!A1)*Admin!$G$21),(A1*Admin!$G$21-(A1-Admin!$F$21)*(Admin!$G$21-Admin!$G$22)-PurchasesJan!A2))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3"/>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ht="12.75" customHeight="1" x14ac:dyDescent="0.15">
      <c r="A1" s="486" t="s">
        <v>241</v>
      </c>
      <c r="B1" s="484" t="s">
        <v>240</v>
      </c>
      <c r="C1" s="303" t="s">
        <v>239</v>
      </c>
      <c r="D1" s="304">
        <f>SUM(D4:D63)</f>
        <v>0</v>
      </c>
      <c r="E1" s="303">
        <f>SUM(E4:E63)/2</f>
        <v>0</v>
      </c>
      <c r="F1" s="303">
        <f>SUM(F4:F63)/2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46447</v>
      </c>
      <c r="B5" s="297">
        <v>46447</v>
      </c>
      <c r="C5" s="296"/>
      <c r="D5" s="295"/>
      <c r="E5" s="294"/>
      <c r="F5" s="293"/>
    </row>
    <row r="6" spans="1:6" x14ac:dyDescent="0.15">
      <c r="A6" s="292">
        <v>46448</v>
      </c>
      <c r="B6" s="285">
        <v>46448</v>
      </c>
      <c r="F6" s="291"/>
    </row>
    <row r="7" spans="1:6" x14ac:dyDescent="0.15">
      <c r="A7" s="292">
        <v>46449</v>
      </c>
      <c r="B7" s="285">
        <v>46449</v>
      </c>
      <c r="F7" s="291"/>
    </row>
    <row r="8" spans="1:6" x14ac:dyDescent="0.15">
      <c r="A8" s="292">
        <v>46450</v>
      </c>
      <c r="B8" s="285">
        <v>46450</v>
      </c>
      <c r="F8" s="291"/>
    </row>
    <row r="9" spans="1:6" x14ac:dyDescent="0.15">
      <c r="A9" s="292">
        <v>46451</v>
      </c>
      <c r="B9" s="285">
        <v>46451</v>
      </c>
      <c r="F9" s="291"/>
    </row>
    <row r="10" spans="1:6" x14ac:dyDescent="0.15">
      <c r="A10" s="292">
        <v>46452</v>
      </c>
      <c r="B10" s="285">
        <v>46452</v>
      </c>
      <c r="F10" s="291"/>
    </row>
    <row r="11" spans="1:6" x14ac:dyDescent="0.15">
      <c r="A11" s="292">
        <v>46453</v>
      </c>
      <c r="B11" s="285">
        <v>46453</v>
      </c>
      <c r="F11" s="291"/>
    </row>
    <row r="12" spans="1:6" x14ac:dyDescent="0.15">
      <c r="A12" s="292">
        <v>46453</v>
      </c>
      <c r="B12" s="285" t="s">
        <v>234</v>
      </c>
      <c r="F12" s="291"/>
    </row>
    <row r="13" spans="1:6" x14ac:dyDescent="0.15">
      <c r="A13" s="292">
        <v>46453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46454</v>
      </c>
      <c r="B16" s="297">
        <v>46454</v>
      </c>
      <c r="C16" s="296"/>
      <c r="D16" s="295"/>
      <c r="E16" s="294"/>
      <c r="F16" s="293"/>
    </row>
    <row r="17" spans="1:6" x14ac:dyDescent="0.15">
      <c r="A17" s="292">
        <v>46455</v>
      </c>
      <c r="B17" s="285">
        <v>46455</v>
      </c>
      <c r="F17" s="291"/>
    </row>
    <row r="18" spans="1:6" x14ac:dyDescent="0.15">
      <c r="A18" s="292">
        <v>46456</v>
      </c>
      <c r="B18" s="285">
        <v>46456</v>
      </c>
      <c r="F18" s="291"/>
    </row>
    <row r="19" spans="1:6" x14ac:dyDescent="0.15">
      <c r="A19" s="292">
        <v>46457</v>
      </c>
      <c r="B19" s="285">
        <v>46457</v>
      </c>
      <c r="F19" s="291"/>
    </row>
    <row r="20" spans="1:6" x14ac:dyDescent="0.15">
      <c r="A20" s="292">
        <v>46458</v>
      </c>
      <c r="B20" s="285">
        <v>46458</v>
      </c>
      <c r="F20" s="291"/>
    </row>
    <row r="21" spans="1:6" x14ac:dyDescent="0.15">
      <c r="A21" s="292">
        <v>46459</v>
      </c>
      <c r="B21" s="285">
        <v>46459</v>
      </c>
      <c r="F21" s="291"/>
    </row>
    <row r="22" spans="1:6" x14ac:dyDescent="0.15">
      <c r="A22" s="292">
        <v>46460</v>
      </c>
      <c r="B22" s="285">
        <v>46460</v>
      </c>
      <c r="F22" s="291"/>
    </row>
    <row r="23" spans="1:6" x14ac:dyDescent="0.15">
      <c r="A23" s="292">
        <v>46460</v>
      </c>
      <c r="B23" s="285" t="s">
        <v>234</v>
      </c>
      <c r="F23" s="291"/>
    </row>
    <row r="24" spans="1:6" x14ac:dyDescent="0.15">
      <c r="A24" s="292">
        <v>46460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46461</v>
      </c>
      <c r="B27" s="297">
        <v>46461</v>
      </c>
      <c r="C27" s="296"/>
      <c r="D27" s="295"/>
      <c r="E27" s="294"/>
      <c r="F27" s="293"/>
    </row>
    <row r="28" spans="1:6" x14ac:dyDescent="0.15">
      <c r="A28" s="292">
        <v>46462</v>
      </c>
      <c r="B28" s="285">
        <v>46462</v>
      </c>
      <c r="F28" s="291"/>
    </row>
    <row r="29" spans="1:6" x14ac:dyDescent="0.15">
      <c r="A29" s="292">
        <v>46463</v>
      </c>
      <c r="B29" s="285">
        <v>46463</v>
      </c>
      <c r="F29" s="291"/>
    </row>
    <row r="30" spans="1:6" x14ac:dyDescent="0.15">
      <c r="A30" s="292">
        <v>46464</v>
      </c>
      <c r="B30" s="285">
        <v>46464</v>
      </c>
      <c r="F30" s="291"/>
    </row>
    <row r="31" spans="1:6" x14ac:dyDescent="0.15">
      <c r="A31" s="292">
        <v>46465</v>
      </c>
      <c r="B31" s="285">
        <v>46465</v>
      </c>
      <c r="F31" s="291"/>
    </row>
    <row r="32" spans="1:6" x14ac:dyDescent="0.15">
      <c r="A32" s="292">
        <v>46466</v>
      </c>
      <c r="B32" s="285">
        <v>46466</v>
      </c>
      <c r="F32" s="291"/>
    </row>
    <row r="33" spans="1:6" x14ac:dyDescent="0.15">
      <c r="A33" s="292">
        <v>46467</v>
      </c>
      <c r="B33" s="285">
        <v>46467</v>
      </c>
      <c r="F33" s="291"/>
    </row>
    <row r="34" spans="1:6" x14ac:dyDescent="0.15">
      <c r="A34" s="292">
        <v>46467</v>
      </c>
      <c r="B34" s="285" t="s">
        <v>234</v>
      </c>
      <c r="F34" s="291"/>
    </row>
    <row r="35" spans="1:6" x14ac:dyDescent="0.15">
      <c r="A35" s="292">
        <v>46467</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46468</v>
      </c>
      <c r="B38" s="297">
        <v>46468</v>
      </c>
      <c r="C38" s="296"/>
      <c r="D38" s="295"/>
      <c r="E38" s="294"/>
      <c r="F38" s="293"/>
    </row>
    <row r="39" spans="1:6" x14ac:dyDescent="0.15">
      <c r="A39" s="292">
        <v>46469</v>
      </c>
      <c r="B39" s="285">
        <v>46469</v>
      </c>
      <c r="F39" s="291"/>
    </row>
    <row r="40" spans="1:6" x14ac:dyDescent="0.15">
      <c r="A40" s="292">
        <v>46470</v>
      </c>
      <c r="B40" s="285">
        <v>46470</v>
      </c>
      <c r="F40" s="291"/>
    </row>
    <row r="41" spans="1:6" x14ac:dyDescent="0.15">
      <c r="A41" s="292">
        <v>46471</v>
      </c>
      <c r="B41" s="285">
        <v>46471</v>
      </c>
      <c r="F41" s="291"/>
    </row>
    <row r="42" spans="1:6" x14ac:dyDescent="0.15">
      <c r="A42" s="292">
        <v>46472</v>
      </c>
      <c r="B42" s="285">
        <v>46472</v>
      </c>
      <c r="F42" s="291"/>
    </row>
    <row r="43" spans="1:6" x14ac:dyDescent="0.15">
      <c r="A43" s="292">
        <v>46473</v>
      </c>
      <c r="B43" s="285">
        <v>46473</v>
      </c>
      <c r="F43" s="291"/>
    </row>
    <row r="44" spans="1:6" x14ac:dyDescent="0.15">
      <c r="A44" s="292">
        <v>46474</v>
      </c>
      <c r="B44" s="285">
        <v>46474</v>
      </c>
      <c r="F44" s="291"/>
    </row>
    <row r="45" spans="1:6" x14ac:dyDescent="0.15">
      <c r="A45" s="292">
        <v>46474</v>
      </c>
      <c r="B45" s="285" t="s">
        <v>234</v>
      </c>
      <c r="F45" s="291"/>
    </row>
    <row r="46" spans="1:6" x14ac:dyDescent="0.15">
      <c r="A46" s="292">
        <v>46474</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46475</v>
      </c>
      <c r="B49" s="297">
        <v>46475</v>
      </c>
      <c r="C49" s="296"/>
      <c r="D49" s="295"/>
      <c r="E49" s="294"/>
      <c r="F49" s="293"/>
    </row>
    <row r="50" spans="1:6" x14ac:dyDescent="0.15">
      <c r="A50" s="292">
        <v>46476</v>
      </c>
      <c r="B50" s="285">
        <v>46476</v>
      </c>
      <c r="F50" s="291"/>
    </row>
    <row r="51" spans="1:6" x14ac:dyDescent="0.15">
      <c r="A51" s="292">
        <v>46477</v>
      </c>
      <c r="B51" s="285">
        <v>46477</v>
      </c>
      <c r="F51" s="291"/>
    </row>
    <row r="52" spans="1:6" x14ac:dyDescent="0.15">
      <c r="A52" s="292">
        <v>46478</v>
      </c>
      <c r="B52" s="285">
        <v>46478</v>
      </c>
      <c r="F52" s="291"/>
    </row>
    <row r="53" spans="1:6" x14ac:dyDescent="0.15">
      <c r="A53" s="292">
        <v>46479</v>
      </c>
      <c r="B53" s="285">
        <v>46479</v>
      </c>
      <c r="F53" s="291"/>
    </row>
    <row r="54" spans="1:6" x14ac:dyDescent="0.15">
      <c r="A54" s="292">
        <v>46480</v>
      </c>
      <c r="B54" s="285">
        <v>46480</v>
      </c>
      <c r="F54" s="291"/>
    </row>
    <row r="55" spans="1:6" x14ac:dyDescent="0.15">
      <c r="A55" s="292">
        <v>46481</v>
      </c>
      <c r="B55" s="285">
        <v>46481</v>
      </c>
      <c r="F55" s="291"/>
    </row>
    <row r="56" spans="1:6" x14ac:dyDescent="0.15">
      <c r="A56" s="292">
        <v>46481</v>
      </c>
      <c r="B56" s="285" t="s">
        <v>234</v>
      </c>
      <c r="F56" s="291"/>
    </row>
    <row r="57" spans="1:6" x14ac:dyDescent="0.15">
      <c r="A57" s="292">
        <v>46481</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v>46482</v>
      </c>
      <c r="B60" s="297">
        <v>46482</v>
      </c>
      <c r="C60" s="296"/>
      <c r="D60" s="295"/>
      <c r="E60" s="294"/>
      <c r="F60" s="293"/>
    </row>
    <row r="61" spans="1:6" x14ac:dyDescent="0.15">
      <c r="A61" s="292">
        <v>46482</v>
      </c>
      <c r="B61" s="285" t="s">
        <v>234</v>
      </c>
      <c r="F61" s="291"/>
    </row>
    <row r="62" spans="1:6" x14ac:dyDescent="0.15">
      <c r="A62" s="292">
        <v>46482</v>
      </c>
      <c r="B62" s="285" t="s">
        <v>233</v>
      </c>
      <c r="F62" s="291"/>
    </row>
    <row r="63" spans="1:6" ht="14" thickBot="1" x14ac:dyDescent="0.2">
      <c r="A63" s="290"/>
      <c r="B63" s="289"/>
      <c r="C63" s="287"/>
      <c r="D63" s="288"/>
      <c r="E63" s="300">
        <f>SUM(E60:E62)</f>
        <v>0</v>
      </c>
      <c r="F63" s="299">
        <f>SUM(F60:F62)</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E1+SalesMar!$D$1+PurchasesFeb!A1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S1+PurchasesFeb!T1</f>
        <v>0</v>
      </c>
      <c r="U1" s="320">
        <f>SUM(U4:U199)</f>
        <v>0</v>
      </c>
    </row>
    <row r="2" spans="1:21" s="7" customFormat="1" ht="13.5" customHeight="1" x14ac:dyDescent="0.15">
      <c r="A2" s="319">
        <f>U1+PurchasesFeb!A2</f>
        <v>0</v>
      </c>
      <c r="B2" s="104" t="s">
        <v>272</v>
      </c>
      <c r="C2" s="492" t="s">
        <v>271</v>
      </c>
      <c r="D2" s="494" t="s">
        <v>270</v>
      </c>
      <c r="E2" s="492" t="s">
        <v>269</v>
      </c>
      <c r="F2" s="449" t="s">
        <v>268</v>
      </c>
      <c r="G2" s="496" t="s">
        <v>267</v>
      </c>
      <c r="H2" s="497"/>
      <c r="I2" s="498">
        <f>G1+H1+I1+J1+PurchasesFeb!I2</f>
        <v>0</v>
      </c>
      <c r="J2" s="499"/>
      <c r="K2" s="449" t="s">
        <v>266</v>
      </c>
      <c r="L2" s="449" t="s">
        <v>265</v>
      </c>
      <c r="M2" s="449" t="s">
        <v>264</v>
      </c>
      <c r="N2" s="449" t="s">
        <v>274</v>
      </c>
      <c r="O2" s="449" t="s">
        <v>262</v>
      </c>
      <c r="P2" s="449" t="s">
        <v>261</v>
      </c>
      <c r="Q2" s="449" t="s">
        <v>260</v>
      </c>
      <c r="R2" s="449" t="s">
        <v>259</v>
      </c>
      <c r="S2" s="500" t="s">
        <v>258</v>
      </c>
      <c r="T2" s="503" t="str">
        <f>IF(T1&gt;'Fixed Assets'!$D$62,"ENTER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7"/>
    </row>
    <row r="4" spans="1:21" s="308" customFormat="1" x14ac:dyDescent="0.15">
      <c r="A4" s="312" t="str">
        <f>IF((E1&lt;&gt;0),Admin!$B$16,"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IF((A1&lt;Admin!$F$22),((A1-PurchasesFeb!A1)*Admin!$G$21),(A1*Admin!$G$21-(A1-Admin!$F$21)*(Admin!$G$21-Admin!$G$22)-PurchasesFeb!A2))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D2" sqref="D2:F2"/>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6" style="122" customWidth="1"/>
    <col min="16" max="16384" width="9.1640625" style="122"/>
  </cols>
  <sheetData>
    <row r="1" spans="1:15" ht="12" customHeight="1" thickBot="1" x14ac:dyDescent="0.2">
      <c r="A1" s="119"/>
      <c r="B1" s="120" t="s">
        <v>70</v>
      </c>
      <c r="C1" s="119"/>
      <c r="D1" s="511"/>
      <c r="E1" s="511"/>
      <c r="F1" s="511"/>
      <c r="G1" s="121"/>
      <c r="H1" s="119"/>
      <c r="I1" s="119"/>
      <c r="J1" s="119"/>
      <c r="K1" s="119"/>
      <c r="L1" s="119"/>
      <c r="M1" s="119"/>
      <c r="N1" s="119"/>
      <c r="O1" s="119"/>
    </row>
    <row r="2" spans="1:15" ht="12" customHeight="1" x14ac:dyDescent="0.15">
      <c r="A2" s="119"/>
      <c r="B2" s="123">
        <v>46081</v>
      </c>
      <c r="C2" s="119"/>
      <c r="D2" s="512" t="s">
        <v>71</v>
      </c>
      <c r="E2" s="513"/>
      <c r="F2" s="514"/>
      <c r="G2" s="252" t="str">
        <f>B23</f>
        <v>2025-26</v>
      </c>
      <c r="H2" s="119"/>
      <c r="I2" s="515" t="s">
        <v>72</v>
      </c>
      <c r="J2" s="516"/>
      <c r="K2" s="124" t="str">
        <f>G2</f>
        <v>2025-26</v>
      </c>
      <c r="L2" s="119"/>
      <c r="M2" s="119"/>
      <c r="N2" s="119"/>
      <c r="O2" s="119"/>
    </row>
    <row r="3" spans="1:15" ht="12" customHeight="1" thickBot="1" x14ac:dyDescent="0.2">
      <c r="A3" s="119"/>
      <c r="B3" s="123">
        <v>46112</v>
      </c>
      <c r="C3" s="119"/>
      <c r="D3" s="119"/>
      <c r="E3" s="119"/>
      <c r="F3" s="119"/>
      <c r="G3" s="125"/>
      <c r="H3" s="119"/>
      <c r="I3" s="119"/>
      <c r="J3" s="126"/>
      <c r="K3" s="126"/>
      <c r="L3" s="121"/>
      <c r="M3" s="119"/>
      <c r="N3" s="119"/>
      <c r="O3" s="119"/>
    </row>
    <row r="4" spans="1:15" ht="12" customHeight="1" thickBot="1" x14ac:dyDescent="0.2">
      <c r="A4" s="119"/>
      <c r="B4" s="127">
        <v>46118</v>
      </c>
      <c r="C4" s="119"/>
      <c r="D4" s="510" t="s">
        <v>132</v>
      </c>
      <c r="E4" s="510"/>
      <c r="F4" s="510"/>
      <c r="G4" s="128">
        <v>1</v>
      </c>
      <c r="H4" s="119"/>
      <c r="I4" s="510" t="s">
        <v>73</v>
      </c>
      <c r="J4" s="510"/>
      <c r="K4" s="510"/>
      <c r="L4" s="510"/>
      <c r="M4" s="510"/>
      <c r="N4" s="129">
        <v>12570</v>
      </c>
      <c r="O4" s="125" t="s">
        <v>50</v>
      </c>
    </row>
    <row r="5" spans="1:15" ht="12" customHeight="1" x14ac:dyDescent="0.15">
      <c r="A5" s="119"/>
      <c r="B5" s="123">
        <v>46142</v>
      </c>
      <c r="C5" s="119"/>
      <c r="D5" s="510" t="s">
        <v>74</v>
      </c>
      <c r="E5" s="510"/>
      <c r="F5" s="510"/>
      <c r="G5" s="128">
        <v>0.14</v>
      </c>
      <c r="H5" s="119"/>
      <c r="I5" s="510" t="inlineStr">
        <is>
          <t>Personal allowance taper threshold</t>
        </is>
      </c>
      <c r="J5" s="119"/>
      <c r="K5" s="119"/>
      <c r="L5" s="119"/>
      <c r="M5" s="119"/>
      <c r="N5" s="130">
        <v>100000</v>
      </c>
      <c r="O5" s="125"/>
    </row>
    <row r="6" spans="1:15" ht="12" customHeight="1" x14ac:dyDescent="0.15">
      <c r="A6" s="119"/>
      <c r="B6" s="123">
        <v>46173</v>
      </c>
      <c r="C6" s="119"/>
      <c r="D6" s="119"/>
      <c r="E6" s="119"/>
      <c r="F6" s="119"/>
      <c r="G6" s="125"/>
      <c r="H6" s="119"/>
      <c r="I6" s="510" t="s">
        <v>75</v>
      </c>
      <c r="J6" s="510"/>
      <c r="K6" s="510"/>
      <c r="L6" s="510"/>
      <c r="M6" s="510"/>
      <c r="N6" s="128">
        <v>0.2</v>
      </c>
      <c r="O6" s="125" t="s">
        <v>76</v>
      </c>
    </row>
    <row r="7" spans="1:15" ht="12" customHeight="1" x14ac:dyDescent="0.15">
      <c r="A7" s="119"/>
      <c r="B7" s="123">
        <v>46203</v>
      </c>
      <c r="C7" s="119"/>
      <c r="D7" s="510" t="s">
        <v>77</v>
      </c>
      <c r="E7" s="510"/>
      <c r="F7" s="510"/>
      <c r="G7" s="125"/>
      <c r="H7" s="119"/>
      <c r="I7" s="510" t="s">
        <v>78</v>
      </c>
      <c r="J7" s="510"/>
      <c r="K7" s="510"/>
      <c r="L7" s="510"/>
      <c r="M7" s="510"/>
      <c r="N7" s="128">
        <v>0.4</v>
      </c>
      <c r="O7" s="125" t="s">
        <v>76</v>
      </c>
    </row>
    <row r="8" spans="1:15" ht="12" customHeight="1" x14ac:dyDescent="0.15">
      <c r="A8" s="119"/>
      <c r="B8" s="123">
        <v>46234</v>
      </c>
      <c r="C8" s="119"/>
      <c r="D8" s="119"/>
      <c r="E8" s="130"/>
      <c r="F8" s="119"/>
      <c r="G8" s="130"/>
      <c r="H8" s="119"/>
      <c r="I8" s="510" t="inlineStr">
        <is>
          <t>Additional rate applicable above the higher rate limit</t>
        </is>
      </c>
      <c r="J8" s="119"/>
      <c r="K8" s="119"/>
      <c r="L8" s="119"/>
      <c r="M8" s="119"/>
      <c r="N8" s="128">
        <v>0.45</v>
      </c>
      <c r="O8" s="125"/>
    </row>
    <row r="9" spans="1:15" ht="12" customHeight="1" x14ac:dyDescent="0.15">
      <c r="A9" s="119"/>
      <c r="B9" s="123">
        <v>46265</v>
      </c>
      <c r="C9" s="119"/>
      <c r="D9" s="119"/>
      <c r="E9" s="125"/>
      <c r="F9" s="119"/>
      <c r="G9" s="125"/>
      <c r="H9" s="119"/>
      <c r="I9" s="510" t="s">
        <v>81</v>
      </c>
      <c r="J9" s="517"/>
      <c r="K9" s="517"/>
      <c r="L9" s="131" t="s">
        <v>82</v>
      </c>
      <c r="M9" s="131" t="s">
        <v>83</v>
      </c>
      <c r="N9" s="132" t="s">
        <v>84</v>
      </c>
      <c r="O9" s="125"/>
    </row>
    <row r="10" spans="1:15" ht="12" customHeight="1" x14ac:dyDescent="0.15">
      <c r="A10" s="119"/>
      <c r="B10" s="123">
        <v>46295</v>
      </c>
      <c r="C10" s="119"/>
      <c r="D10" s="119"/>
      <c r="E10" s="125"/>
      <c r="F10" s="119"/>
      <c r="G10" s="125"/>
      <c r="H10" s="119"/>
      <c r="I10" s="119"/>
      <c r="J10" s="119"/>
      <c r="K10" s="119"/>
      <c r="L10" s="119"/>
      <c r="M10" s="119"/>
      <c r="N10" s="125"/>
      <c r="O10" s="125"/>
    </row>
    <row r="11" spans="1:15" ht="12" customHeight="1" x14ac:dyDescent="0.15">
      <c r="A11" s="119"/>
      <c r="B11" s="123">
        <v>46326</v>
      </c>
      <c r="C11" s="119"/>
      <c r="D11" s="512" t="s">
        <v>85</v>
      </c>
      <c r="E11" s="513"/>
      <c r="F11" s="514"/>
      <c r="G11" s="125" t="s">
        <v>76</v>
      </c>
      <c r="H11" s="119"/>
      <c r="I11" s="119" t="s">
        <v>86</v>
      </c>
      <c r="J11" s="119"/>
      <c r="K11" s="133">
        <v>0.2</v>
      </c>
      <c r="L11" s="125">
        <f>N11</f>
        <v>0</v>
      </c>
      <c r="M11" s="125">
        <v>37700</v>
      </c>
      <c r="N11" s="130">
        <v>0</v>
      </c>
      <c r="O11" s="125"/>
    </row>
    <row r="12" spans="1:15" ht="12" customHeight="1" x14ac:dyDescent="0.15">
      <c r="A12" s="119"/>
      <c r="B12" s="123">
        <v>46356</v>
      </c>
      <c r="C12" s="119"/>
      <c r="D12" s="119"/>
      <c r="E12" s="119"/>
      <c r="F12" s="119"/>
      <c r="G12" s="125"/>
      <c r="H12" s="119"/>
      <c r="I12" s="119" t="s">
        <v>87</v>
      </c>
      <c r="J12" s="119"/>
      <c r="K12" s="133">
        <v>0.4</v>
      </c>
      <c r="L12" s="125">
        <v>37701</v>
      </c>
      <c r="M12" s="119"/>
      <c r="N12" s="130">
        <v>37701</v>
      </c>
      <c r="O12" s="125"/>
    </row>
    <row r="13" spans="1:15" ht="12" customHeight="1" x14ac:dyDescent="0.15">
      <c r="A13" s="119"/>
      <c r="B13" s="123">
        <v>46387</v>
      </c>
      <c r="C13" s="119"/>
      <c r="D13" s="510" t="s">
        <v>88</v>
      </c>
      <c r="E13" s="510"/>
      <c r="F13" s="510"/>
      <c r="G13" s="128">
        <v>0</v>
      </c>
      <c r="H13" s="119"/>
      <c r="I13" s="119" t="inlineStr">
        <is>
          <t>Additional rate</t>
        </is>
      </c>
      <c r="J13" s="119"/>
      <c r="K13" s="133">
        <v>0.45</v>
      </c>
      <c r="L13" s="125">
        <v>125141</v>
      </c>
      <c r="M13" s="119"/>
      <c r="N13" s="130">
        <v>125140</v>
      </c>
      <c r="O13" s="119"/>
    </row>
    <row r="14" spans="1:15" ht="12" customHeight="1" x14ac:dyDescent="0.15">
      <c r="A14" s="119"/>
      <c r="B14" s="123">
        <v>46418</v>
      </c>
      <c r="C14" s="119"/>
      <c r="D14" s="510" t="s">
        <v>89</v>
      </c>
      <c r="E14" s="510"/>
      <c r="F14" s="510"/>
      <c r="G14" s="128">
        <v>0.1</v>
      </c>
      <c r="H14" s="119"/>
      <c r="I14" s="518" t="s">
        <v>90</v>
      </c>
      <c r="J14" s="519"/>
      <c r="K14" s="520"/>
      <c r="L14" s="134" t="str">
        <f>G2</f>
        <v>2025-26</v>
      </c>
      <c r="M14" s="119"/>
      <c r="N14" s="119"/>
      <c r="O14" s="119"/>
    </row>
    <row r="15" spans="1:15" ht="12" customHeight="1" x14ac:dyDescent="0.15">
      <c r="A15" s="119"/>
      <c r="B15" s="123">
        <v>46446</v>
      </c>
      <c r="C15" s="119"/>
      <c r="D15" s="510" t="s">
        <v>91</v>
      </c>
      <c r="E15" s="510"/>
      <c r="F15" s="510"/>
      <c r="G15" s="128">
        <v>0.2</v>
      </c>
      <c r="H15" s="119"/>
      <c r="I15" s="119"/>
      <c r="J15" s="119"/>
      <c r="K15" s="119"/>
      <c r="L15" s="119"/>
      <c r="M15" s="119"/>
      <c r="N15" s="119"/>
      <c r="O15" s="119"/>
    </row>
    <row r="16" spans="1:15" ht="12" customHeight="1" thickBot="1" x14ac:dyDescent="0.2">
      <c r="A16" s="119"/>
      <c r="B16" s="123">
        <v>46477</v>
      </c>
      <c r="C16" s="119"/>
      <c r="D16" s="510" t="s">
        <v>92</v>
      </c>
      <c r="E16" s="510"/>
      <c r="F16" s="510"/>
      <c r="G16" s="128">
        <v>0.33</v>
      </c>
      <c r="H16" s="119"/>
      <c r="I16" s="510" t="s">
        <v>93</v>
      </c>
      <c r="J16" s="510"/>
      <c r="K16" s="510"/>
      <c r="L16" s="135">
        <v>3.65</v>
      </c>
      <c r="M16" s="158" t="s">
        <v>313</v>
      </c>
      <c r="N16" s="119">
        <v>7105</v>
      </c>
      <c r="O16" s="119"/>
    </row>
    <row r="17" spans="1:15" ht="12" customHeight="1" thickBot="1" x14ac:dyDescent="0.2">
      <c r="A17" s="119"/>
      <c r="B17" s="127">
        <v>46482</v>
      </c>
      <c r="C17" s="119"/>
      <c r="D17" s="510" t="s">
        <v>94</v>
      </c>
      <c r="E17" s="510"/>
      <c r="F17" s="510"/>
      <c r="G17" s="128">
        <v>0.25</v>
      </c>
      <c r="H17" s="119"/>
      <c r="I17" s="119"/>
      <c r="J17" s="119"/>
      <c r="K17" s="119"/>
      <c r="L17" s="137"/>
      <c r="M17" s="119"/>
      <c r="N17" s="119"/>
      <c r="O17" s="119"/>
    </row>
    <row r="18" spans="1:15" ht="12" customHeight="1" x14ac:dyDescent="0.15">
      <c r="A18" s="119"/>
      <c r="B18" s="123">
        <v>46507</v>
      </c>
      <c r="C18" s="119"/>
      <c r="D18" s="119"/>
      <c r="E18" s="119"/>
      <c r="F18" s="119"/>
      <c r="G18" s="125"/>
      <c r="H18" s="119"/>
      <c r="I18" s="119"/>
      <c r="J18" s="119"/>
      <c r="K18" s="119"/>
      <c r="L18" s="119"/>
      <c r="M18" s="119"/>
      <c r="N18" s="119"/>
      <c r="O18" s="119"/>
    </row>
    <row r="19" spans="1:15" ht="12" customHeight="1" x14ac:dyDescent="0.15">
      <c r="A19" s="119"/>
      <c r="B19" s="123">
        <v>46538</v>
      </c>
      <c r="C19" s="119"/>
      <c r="D19" s="512" t="s">
        <v>96</v>
      </c>
      <c r="E19" s="514"/>
      <c r="F19" s="125" t="s">
        <v>97</v>
      </c>
      <c r="G19" s="125" t="s">
        <v>98</v>
      </c>
      <c r="H19" s="119"/>
      <c r="I19" s="522" t="s">
        <v>95</v>
      </c>
      <c r="J19" s="522"/>
      <c r="K19" s="522"/>
      <c r="L19" s="119"/>
      <c r="M19" s="521" t="s">
        <v>228</v>
      </c>
      <c r="N19" s="119"/>
      <c r="O19" s="119"/>
    </row>
    <row r="20" spans="1:15" ht="12" customHeight="1" x14ac:dyDescent="0.15">
      <c r="A20" s="119"/>
      <c r="B20" s="123">
        <v>46568</v>
      </c>
      <c r="C20" s="119"/>
      <c r="D20" s="121"/>
      <c r="E20" s="121"/>
      <c r="F20" s="125"/>
      <c r="G20" s="125"/>
      <c r="H20" s="119"/>
      <c r="I20" s="522"/>
      <c r="J20" s="522"/>
      <c r="K20" s="522"/>
      <c r="L20" s="328">
        <v>0.06</v>
      </c>
      <c r="M20" s="521"/>
      <c r="N20" s="130">
        <v>12570</v>
      </c>
      <c r="O20" s="125" t="s">
        <v>50</v>
      </c>
    </row>
    <row r="21" spans="1:15" ht="12" customHeight="1" x14ac:dyDescent="0.15">
      <c r="A21" s="119"/>
      <c r="B21" s="123">
        <v>46783</v>
      </c>
      <c r="C21" s="119"/>
      <c r="D21" s="510" t="s">
        <v>99</v>
      </c>
      <c r="E21" s="510"/>
      <c r="F21" s="130">
        <v>10000</v>
      </c>
      <c r="G21" s="135">
        <v>0.55</v>
      </c>
      <c r="H21" s="119"/>
      <c r="I21" s="136"/>
      <c r="J21" s="136"/>
      <c r="K21" s="136"/>
      <c r="L21" s="133"/>
      <c r="M21" s="119"/>
      <c r="N21" s="119"/>
      <c r="O21" s="119"/>
    </row>
    <row r="22" spans="1:15" ht="12" customHeight="1" thickBot="1" x14ac:dyDescent="0.2">
      <c r="A22" s="119"/>
      <c r="B22" s="123">
        <v>46965</v>
      </c>
      <c r="C22" s="119"/>
      <c r="D22" s="119" t="s">
        <v>101</v>
      </c>
      <c r="E22" s="119"/>
      <c r="F22" s="130">
        <v>10001</v>
      </c>
      <c r="G22" s="135">
        <v>0.25</v>
      </c>
      <c r="H22" s="119"/>
      <c r="I22" s="522" t="s">
        <v>100</v>
      </c>
      <c r="J22" s="522"/>
      <c r="K22" s="522"/>
      <c r="L22" s="119"/>
      <c r="M22" s="521" t="s">
        <v>229</v>
      </c>
      <c r="N22" s="119"/>
      <c r="O22" s="119"/>
    </row>
    <row r="23" spans="1:15" ht="12" customHeight="1" thickBot="1" x14ac:dyDescent="0.2">
      <c r="A23" s="119"/>
      <c r="B23" s="127" t="inlineStr">
        <is>
          <t>2026-27</t>
        </is>
      </c>
      <c r="C23" s="119"/>
      <c r="D23" s="119"/>
      <c r="E23" s="119"/>
      <c r="F23" s="125"/>
      <c r="G23" s="137"/>
      <c r="H23" s="119"/>
      <c r="I23" s="522"/>
      <c r="J23" s="522"/>
      <c r="K23" s="522"/>
      <c r="L23" s="328">
        <v>0.02</v>
      </c>
      <c r="M23" s="521"/>
      <c r="N23" s="130">
        <v>50270</v>
      </c>
      <c r="O23" s="125" t="s">
        <v>50</v>
      </c>
    </row>
    <row r="24" spans="1:15" ht="12" customHeight="1" thickBot="1" x14ac:dyDescent="0.2">
      <c r="A24" s="119"/>
      <c r="B24" s="127" t="inlineStr">
        <is>
          <t>2027-28</t>
        </is>
      </c>
      <c r="C24" s="119"/>
      <c r="D24" s="512" t="s">
        <v>96</v>
      </c>
      <c r="E24" s="514"/>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0" t="s">
        <v>278</v>
      </c>
      <c r="E26" s="510"/>
      <c r="F26" s="130">
        <v>90000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24:E24"/>
    <mergeCell ref="D26:E26"/>
    <mergeCell ref="M19:M20"/>
    <mergeCell ref="M22:M23"/>
    <mergeCell ref="I19:K20"/>
    <mergeCell ref="D19:E19"/>
    <mergeCell ref="D21:E21"/>
    <mergeCell ref="I22:K23"/>
    <mergeCell ref="D15:F15"/>
    <mergeCell ref="D16:F16"/>
    <mergeCell ref="I16:K16"/>
    <mergeCell ref="D17:F17"/>
    <mergeCell ref="I9:K9"/>
    <mergeCell ref="D11:F11"/>
    <mergeCell ref="D13:F13"/>
    <mergeCell ref="D14:F14"/>
    <mergeCell ref="I14:K14"/>
    <mergeCell ref="D5:F5"/>
    <mergeCell ref="I6:M6"/>
    <mergeCell ref="D7:F7"/>
    <mergeCell ref="I7:M7"/>
    <mergeCell ref="D1:F1"/>
    <mergeCell ref="D2:F2"/>
    <mergeCell ref="D4:F4"/>
    <mergeCell ref="I4:M4"/>
    <mergeCell ref="I2:J2"/>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'Fixed Assets'!Print_Titles</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DIY Accounting Limited</dc:creator>
  <cp:lastModifiedBy>DIY Accounting Limited</cp:lastModifiedBy>
  <cp:lastPrinted>2008-06-02T20:50:10Z</cp:lastPrinted>
  <dcterms:created xsi:type="dcterms:W3CDTF">2002-12-30T15:31:19Z</dcterms:created>
  <dcterms:modified xsi:type="dcterms:W3CDTF">2026-03-31T22:02:53Z</dcterms:modified>
  <dc:description>Copyright (C) 2006-2026 DIY Accounting Limited. Licensed under the PolyForm Internal Use License 1.0.0 with an additional grant for accountants.</dc:description>
</cp:coreProperties>
</file>