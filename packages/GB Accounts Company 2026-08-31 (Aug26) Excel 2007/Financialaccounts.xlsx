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<sst xmlns="http://schemas.openxmlformats.org/spreadsheetml/2006/main" count="1773" uniqueCount="1773">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</sst>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Sep"/>
      <sheetName val="Oct"/>
      <sheetName val="Nov"/>
      <sheetName val="Dec"/>
      <sheetName val="Jan"/>
      <sheetName val="Feb"/>
      <sheetName val="Mar"/>
      <sheetName val="Apr"/>
      <sheetName val="May"/>
      <sheetName val="Jun"/>
      <sheetName val="Jul"/>
      <sheetName val="Aug"/>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Sep"/>
      <sheetName val="Oct"/>
      <sheetName val="Nov"/>
      <sheetName val="Dec"/>
      <sheetName val="Jan"/>
      <sheetName val="Feb"/>
      <sheetName val="Mar"/>
      <sheetName val="Apr"/>
      <sheetName val="May"/>
      <sheetName val="Jun"/>
      <sheetName val="Jul"/>
      <sheetName val="Aug"/>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ep"/>
      <sheetName val="Oct"/>
      <sheetName val="Nov"/>
      <sheetName val="Dec"/>
      <sheetName val="Jan"/>
      <sheetName val="Feb"/>
      <sheetName val="Mar"/>
      <sheetName val="Apr"/>
      <sheetName val="May"/>
      <sheetName val="Jun"/>
      <sheetName val="Jul"/>
      <sheetName val="Aug"/>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ep"/>
      <sheetName val="Oct"/>
      <sheetName val="Nov"/>
      <sheetName val="Dec"/>
      <sheetName val="Jan"/>
      <sheetName val="Feb"/>
      <sheetName val="Mar"/>
      <sheetName val="Apr"/>
      <sheetName val="May"/>
      <sheetName val="Jun"/>
      <sheetName val="Jul"/>
      <sheetName val="Aug"/>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ep"/>
      <sheetName val="Oct"/>
      <sheetName val="Nov"/>
      <sheetName val="Dec"/>
      <sheetName val="Jan"/>
      <sheetName val="Feb"/>
      <sheetName val="Mar"/>
      <sheetName val="Apr"/>
      <sheetName val="May"/>
      <sheetName val="Jun"/>
      <sheetName val="Jul"/>
      <sheetName val="Aug"/>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ep"/>
      <sheetName val="Oct"/>
      <sheetName val="Nov"/>
      <sheetName val="Dec"/>
      <sheetName val="Jan"/>
      <sheetName val="Feb"/>
      <sheetName val="Mar"/>
      <sheetName val="Apr"/>
      <sheetName val="May"/>
      <sheetName val="Jun"/>
      <sheetName val="Jul"/>
      <sheetName val="Aug"/>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Sep"/>
      <sheetName val="Oct"/>
      <sheetName val="Nov"/>
      <sheetName val="Dec"/>
      <sheetName val="Jan"/>
      <sheetName val="Feb"/>
      <sheetName val="Mar"/>
      <sheetName val="Apr"/>
      <sheetName val="May"/>
      <sheetName val="Jun"/>
      <sheetName val="Jul"/>
      <sheetName val="Aug"/>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[2]Sep!$AI$1</f>
        <v>0</v>
      </c>
      <c r="H16" s="22"/>
      <c r="I16" s="22"/>
      <c r="J16" s="22"/>
      <c r="K16" s="22"/>
      <c r="L16" s="22"/>
      <c r="N16" s="21"/>
      <c r="O16" s="22">
        <f>SUM(D16:N16)</f>
        <v>0</v>
      </c>
      <c r="P16" s="21"/>
      <c r="Q16" s="22"/>
      <c r="R16" s="22">
        <f>[2]Oct!$AI$1</f>
        <v>0</v>
      </c>
      <c r="S16" s="22"/>
      <c r="T16" s="22"/>
      <c r="U16" s="22"/>
      <c r="V16" s="22"/>
      <c r="W16" s="22"/>
      <c r="X16" s="22"/>
      <c r="Y16" s="13"/>
      <c r="Z16" s="22">
        <f>SUM(O16:Y16)</f>
        <v>0</v>
      </c>
      <c r="AA16" s="21"/>
      <c r="AB16" s="22"/>
      <c r="AC16" s="22">
        <f>[2]Nov!$AI$1</f>
        <v>0</v>
      </c>
      <c r="AD16" s="22"/>
      <c r="AE16" s="22"/>
      <c r="AF16" s="22"/>
      <c r="AG16" s="22"/>
      <c r="AH16" s="22"/>
      <c r="AI16" s="22"/>
      <c r="AJ16" s="13"/>
      <c r="AK16" s="22">
        <f>SUM(Z16:AJ16)</f>
        <v>0</v>
      </c>
      <c r="AL16" s="21"/>
      <c r="AM16" s="22"/>
      <c r="AN16" s="22">
        <f>[2]Dec!$AI$1</f>
        <v>0</v>
      </c>
      <c r="AO16" s="22"/>
      <c r="AP16" s="22"/>
      <c r="AQ16" s="22"/>
      <c r="AR16" s="22"/>
      <c r="AS16" s="22"/>
      <c r="AT16" s="22"/>
      <c r="AU16" s="13"/>
      <c r="AV16" s="22">
        <f>SUM(AK16:AU16)</f>
        <v>0</v>
      </c>
      <c r="AW16" s="21"/>
      <c r="AX16" s="22"/>
      <c r="AY16" s="22">
        <f>[2]Jan!$AI$1</f>
        <v>0</v>
      </c>
      <c r="AZ16" s="22"/>
      <c r="BA16" s="22"/>
      <c r="BB16" s="22"/>
      <c r="BC16" s="22"/>
      <c r="BD16" s="22"/>
      <c r="BE16" s="22"/>
      <c r="BF16" s="13"/>
      <c r="BG16" s="22">
        <f>SUM(AV16:BF16)</f>
        <v>0</v>
      </c>
      <c r="BH16" s="21"/>
      <c r="BI16" s="22"/>
      <c r="BJ16" s="22">
        <f>[2]Feb!$AI$1</f>
        <v>0</v>
      </c>
      <c r="BK16" s="22"/>
      <c r="BL16" s="22"/>
      <c r="BM16" s="22"/>
      <c r="BN16" s="22"/>
      <c r="BO16" s="22"/>
      <c r="BP16" s="22"/>
      <c r="BQ16" s="13"/>
      <c r="BR16" s="22">
        <f>SUM(BG16:BQ16)</f>
        <v>0</v>
      </c>
      <c r="BS16" s="21"/>
      <c r="BT16" s="22"/>
      <c r="BU16" s="22">
        <f>[2]Mar!$AI$1</f>
        <v>0</v>
      </c>
      <c r="BV16" s="22"/>
      <c r="BW16" s="22"/>
      <c r="BX16" s="22"/>
      <c r="BY16" s="22"/>
      <c r="BZ16" s="22"/>
      <c r="CA16" s="22"/>
      <c r="CB16" s="13"/>
      <c r="CC16" s="22">
        <f>SUM(BR16:CB16)</f>
        <v>0</v>
      </c>
      <c r="CD16" s="21"/>
      <c r="CE16" s="22"/>
      <c r="CF16" s="22">
        <f>[2]Apr!$AI$1</f>
        <v>0</v>
      </c>
      <c r="CG16" s="22"/>
      <c r="CH16" s="22"/>
      <c r="CI16" s="22"/>
      <c r="CJ16" s="22"/>
      <c r="CK16" s="22"/>
      <c r="CL16" s="22"/>
      <c r="CM16" s="13"/>
      <c r="CN16" s="22">
        <f>SUM(CC16:CM16)</f>
        <v>0</v>
      </c>
      <c r="CO16" s="21"/>
      <c r="CP16" s="22"/>
      <c r="CQ16" s="22">
        <f>[2]May!$AI$1</f>
        <v>0</v>
      </c>
      <c r="CR16" s="22"/>
      <c r="CS16" s="22"/>
      <c r="CT16" s="22"/>
      <c r="CU16" s="22"/>
      <c r="CV16" s="22"/>
      <c r="CW16" s="22"/>
      <c r="CX16" s="13"/>
      <c r="CY16" s="22">
        <f>SUM(CN16:CX16)</f>
        <v>0</v>
      </c>
      <c r="CZ16" s="21"/>
      <c r="DA16" s="22"/>
      <c r="DB16" s="22">
        <f>[2]Jun!$AI$1</f>
        <v>0</v>
      </c>
      <c r="DC16" s="22"/>
      <c r="DD16" s="22"/>
      <c r="DE16" s="22"/>
      <c r="DF16" s="22"/>
      <c r="DG16" s="22"/>
      <c r="DH16" s="22"/>
      <c r="DI16" s="13"/>
      <c r="DJ16" s="22">
        <f>SUM(CY16:DI16)</f>
        <v>0</v>
      </c>
      <c r="DK16" s="21"/>
      <c r="DL16" s="22"/>
      <c r="DM16" s="22">
        <f>[2]Jul!$AI$1</f>
        <v>0</v>
      </c>
      <c r="DN16" s="22"/>
      <c r="DO16" s="22"/>
      <c r="DP16" s="22"/>
      <c r="DQ16" s="22"/>
      <c r="DR16" s="22"/>
      <c r="DS16" s="22"/>
      <c r="DT16" s="13"/>
      <c r="DU16" s="22">
        <f>SUM(DJ16:DT16)</f>
        <v>0</v>
      </c>
      <c r="DV16" s="21"/>
      <c r="DW16" s="22"/>
      <c r="DX16" s="22">
        <f>[2]Aug!$AI$1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-[3]Sep!$U$1</f>
        <v>0</v>
      </c>
      <c r="G17" s="22"/>
      <c r="H17" s="22"/>
      <c r="I17" s="22"/>
      <c r="J17" s="22"/>
      <c r="K17" s="22"/>
      <c r="L17" s="22"/>
      <c r="M17" s="22">
        <f>-((Schedule!$W$1-Schedule!$X$1-Schedule!$V$1)/12)</f>
        <v>0</v>
      </c>
      <c r="N17" s="21"/>
      <c r="O17" s="22">
        <f t="shared" si="1"/>
        <v>0</v>
      </c>
      <c r="P17" s="21"/>
      <c r="Q17" s="22">
        <f>-[3]Oct!$U$1</f>
        <v>0</v>
      </c>
      <c r="R17" s="22"/>
      <c r="S17" s="22"/>
      <c r="T17" s="22"/>
      <c r="U17" s="22"/>
      <c r="V17" s="22"/>
      <c r="W17" s="22"/>
      <c r="X17" s="22">
        <f>-((Schedule!$W$1-Schedule!$X$1-Schedule!$V$1)/12)</f>
        <v>0</v>
      </c>
      <c r="Y17" s="13"/>
      <c r="Z17" s="22">
        <f t="shared" si="2"/>
        <v>0</v>
      </c>
      <c r="AA17" s="21"/>
      <c r="AB17" s="22">
        <f>-[3]Nov!$U$1</f>
        <v>0</v>
      </c>
      <c r="AC17" s="22"/>
      <c r="AD17" s="22"/>
      <c r="AE17" s="22"/>
      <c r="AF17" s="22"/>
      <c r="AG17" s="22"/>
      <c r="AH17" s="22"/>
      <c r="AI17" s="22">
        <f>-((Schedule!$W$1-Schedule!$X$1-Schedule!$V$1)/12)</f>
        <v>0</v>
      </c>
      <c r="AJ17" s="13"/>
      <c r="AK17" s="22">
        <f t="shared" si="3"/>
        <v>0</v>
      </c>
      <c r="AL17" s="21"/>
      <c r="AM17" s="22">
        <f>-[3]Dec!$U$1</f>
        <v>0</v>
      </c>
      <c r="AN17" s="22"/>
      <c r="AO17" s="22"/>
      <c r="AP17" s="22"/>
      <c r="AQ17" s="22"/>
      <c r="AR17" s="22"/>
      <c r="AS17" s="22"/>
      <c r="AT17" s="22">
        <f>-((Schedule!$W$1-Schedule!$X$1-Schedule!$V$1)/12)</f>
        <v>0</v>
      </c>
      <c r="AU17" s="13"/>
      <c r="AV17" s="22">
        <f t="shared" si="4"/>
        <v>0</v>
      </c>
      <c r="AW17" s="21"/>
      <c r="AX17" s="22">
        <f>-[3]Jan!$U$1</f>
        <v>0</v>
      </c>
      <c r="AY17" s="22"/>
      <c r="AZ17" s="22"/>
      <c r="BA17" s="22"/>
      <c r="BB17" s="22"/>
      <c r="BC17" s="22"/>
      <c r="BD17" s="22"/>
      <c r="BE17" s="22">
        <f>-((Schedule!$W$1-Schedule!$X$1-Schedule!$V$1)/12)</f>
        <v>0</v>
      </c>
      <c r="BF17" s="13"/>
      <c r="BG17" s="22">
        <f t="shared" si="5"/>
        <v>0</v>
      </c>
      <c r="BH17" s="21"/>
      <c r="BI17" s="22">
        <f>-[3]Feb!$U$1</f>
        <v>0</v>
      </c>
      <c r="BJ17" s="22"/>
      <c r="BK17" s="22"/>
      <c r="BL17" s="22"/>
      <c r="BM17" s="22"/>
      <c r="BN17" s="22"/>
      <c r="BO17" s="22"/>
      <c r="BP17" s="22">
        <f>-((Schedule!$W$1-Schedule!$X$1-Schedule!$V$1)/12)</f>
        <v>0</v>
      </c>
      <c r="BQ17" s="13"/>
      <c r="BR17" s="22">
        <f t="shared" si="6"/>
        <v>0</v>
      </c>
      <c r="BS17" s="21"/>
      <c r="BT17" s="22">
        <f>-[3]Mar!$U$1</f>
        <v>0</v>
      </c>
      <c r="BU17" s="22"/>
      <c r="BV17" s="22"/>
      <c r="BW17" s="22"/>
      <c r="BX17" s="22"/>
      <c r="BY17" s="22"/>
      <c r="BZ17" s="22"/>
      <c r="CA17" s="22">
        <f>-((Schedule!$W$1-Schedule!$X$1-Schedule!$V$1)/12)</f>
        <v>0</v>
      </c>
      <c r="CB17" s="13"/>
      <c r="CC17" s="22">
        <f t="shared" si="7"/>
        <v>0</v>
      </c>
      <c r="CD17" s="21"/>
      <c r="CE17" s="22">
        <f>-[3]Apr!$U$1</f>
        <v>0</v>
      </c>
      <c r="CF17" s="22"/>
      <c r="CG17" s="22"/>
      <c r="CH17" s="22"/>
      <c r="CI17" s="22"/>
      <c r="CJ17" s="22"/>
      <c r="CK17" s="22"/>
      <c r="CL17" s="22">
        <f>-((Schedule!$W$1-Schedule!$X$1-Schedule!$V$1)/12)</f>
        <v>0</v>
      </c>
      <c r="CM17" s="13"/>
      <c r="CN17" s="22">
        <f t="shared" si="8"/>
        <v>0</v>
      </c>
      <c r="CO17" s="21"/>
      <c r="CP17" s="22">
        <f>-[3]May!$U$1</f>
        <v>0</v>
      </c>
      <c r="CQ17" s="22"/>
      <c r="CR17" s="22"/>
      <c r="CS17" s="22"/>
      <c r="CT17" s="22"/>
      <c r="CU17" s="22"/>
      <c r="CV17" s="22"/>
      <c r="CW17" s="22">
        <f>-((Schedule!$W$1-Schedule!$X$1-Schedule!$V$1)/12)</f>
        <v>0</v>
      </c>
      <c r="CX17" s="13"/>
      <c r="CY17" s="22">
        <f t="shared" si="9"/>
        <v>0</v>
      </c>
      <c r="CZ17" s="21"/>
      <c r="DA17" s="22">
        <f>-[3]Jun!$U$1</f>
        <v>0</v>
      </c>
      <c r="DB17" s="22"/>
      <c r="DC17" s="22"/>
      <c r="DD17" s="22"/>
      <c r="DE17" s="22"/>
      <c r="DF17" s="22"/>
      <c r="DG17" s="22"/>
      <c r="DH17" s="22">
        <f>-((Schedule!$W$1-Schedule!$X$1-Schedule!$V$1)/12)</f>
        <v>0</v>
      </c>
      <c r="DI17" s="13"/>
      <c r="DJ17" s="22">
        <f t="shared" si="10"/>
        <v>0</v>
      </c>
      <c r="DK17" s="21"/>
      <c r="DL17" s="22">
        <f>-[3]Jul!$U$1</f>
        <v>0</v>
      </c>
      <c r="DM17" s="22"/>
      <c r="DN17" s="22"/>
      <c r="DO17" s="22"/>
      <c r="DP17" s="22"/>
      <c r="DQ17" s="22"/>
      <c r="DR17" s="22"/>
      <c r="DS17" s="22">
        <f>-((Schedule!$W$1-Schedule!$X$1-Schedule!$V$1)/12)</f>
        <v>0</v>
      </c>
      <c r="DT17" s="13"/>
      <c r="DU17" s="22">
        <f t="shared" si="11"/>
        <v>0</v>
      </c>
      <c r="DV17" s="21"/>
      <c r="DW17" s="22">
        <f>-[3]Aug!$U$1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[3]Sep!$F$1-[3]Sep!$V$1</f>
        <v>0</v>
      </c>
      <c r="G20" s="22"/>
      <c r="H20" s="22">
        <f>-[4]Sep!$J$1</f>
        <v>0</v>
      </c>
      <c r="I20" s="22">
        <f>-[5]Sep!$J$1</f>
        <v>0</v>
      </c>
      <c r="J20" s="22">
        <f>-[6]Sep!$J$1</f>
        <v>0</v>
      </c>
      <c r="K20" s="22">
        <f>-[7]Sep!$J$1</f>
        <v>0</v>
      </c>
      <c r="L20" s="22"/>
      <c r="N20" s="21"/>
      <c r="O20" s="22">
        <f t="shared" si="1"/>
        <v>0</v>
      </c>
      <c r="P20" s="21"/>
      <c r="Q20" s="22">
        <f>[3]Oct!$F$1-[3]Oct!$V$1</f>
        <v>0</v>
      </c>
      <c r="R20" s="22"/>
      <c r="S20" s="22">
        <f>-[4]Oct!$J$1</f>
        <v>0</v>
      </c>
      <c r="T20" s="22">
        <f>-[5]Oct!$J$1</f>
        <v>0</v>
      </c>
      <c r="U20" s="22">
        <f>-[6]Oct!$J$1</f>
        <v>0</v>
      </c>
      <c r="V20" s="22">
        <f>-[7]Oct!$J$1</f>
        <v>0</v>
      </c>
      <c r="W20" s="22"/>
      <c r="X20" s="22" t="s">
        <v>233</v>
      </c>
      <c r="Y20" s="13"/>
      <c r="Z20" s="22">
        <f t="shared" si="2"/>
        <v>0</v>
      </c>
      <c r="AA20" s="21"/>
      <c r="AB20" s="22">
        <f>[3]Nov!$F$1-[3]Nov!$V$1</f>
        <v>0</v>
      </c>
      <c r="AC20" s="22"/>
      <c r="AD20" s="22">
        <f>-[4]Nov!$J$1</f>
        <v>0</v>
      </c>
      <c r="AE20" s="22">
        <f>-[5]Nov!$J$1</f>
        <v>0</v>
      </c>
      <c r="AF20" s="22">
        <f>-[6]Nov!$J$1</f>
        <v>0</v>
      </c>
      <c r="AG20" s="22">
        <f>-[7]Nov!$J$1</f>
        <v>0</v>
      </c>
      <c r="AH20" s="22"/>
      <c r="AI20" s="22"/>
      <c r="AJ20" s="13"/>
      <c r="AK20" s="22">
        <f t="shared" si="3"/>
        <v>0</v>
      </c>
      <c r="AL20" s="21"/>
      <c r="AM20" s="22">
        <f>[3]Dec!$F$1-[3]Dec!$V$1</f>
        <v>0</v>
      </c>
      <c r="AN20" s="22"/>
      <c r="AO20" s="22">
        <f>-[4]Dec!$J$1</f>
        <v>0</v>
      </c>
      <c r="AP20" s="22">
        <f>-[5]Dec!$J$1</f>
        <v>0</v>
      </c>
      <c r="AQ20" s="22">
        <f>-[6]Dec!$J$1</f>
        <v>0</v>
      </c>
      <c r="AR20" s="22">
        <f>-[7]Dec!$J$1</f>
        <v>0</v>
      </c>
      <c r="AS20" s="22"/>
      <c r="AT20" s="22"/>
      <c r="AU20" s="13"/>
      <c r="AV20" s="22">
        <f t="shared" si="4"/>
        <v>0</v>
      </c>
      <c r="AW20" s="21"/>
      <c r="AX20" s="22">
        <f>[3]Jan!$F$1-[3]Jan!$V$1</f>
        <v>0</v>
      </c>
      <c r="AY20" s="22"/>
      <c r="AZ20" s="22">
        <f>-[4]Jan!$J$1</f>
        <v>0</v>
      </c>
      <c r="BA20" s="22">
        <f>-[5]Jan!$J$1</f>
        <v>0</v>
      </c>
      <c r="BB20" s="22">
        <f>-[6]Jan!$J$1</f>
        <v>0</v>
      </c>
      <c r="BC20" s="22">
        <f>-[7]Jan!$J$1</f>
        <v>0</v>
      </c>
      <c r="BD20" s="22"/>
      <c r="BE20" s="22"/>
      <c r="BF20" s="13"/>
      <c r="BG20" s="22">
        <f t="shared" si="5"/>
        <v>0</v>
      </c>
      <c r="BH20" s="21"/>
      <c r="BI20" s="22">
        <f>[3]Feb!$F$1-[3]Feb!$V$1</f>
        <v>0</v>
      </c>
      <c r="BJ20" s="22"/>
      <c r="BK20" s="22">
        <f>-[4]Feb!$J$1</f>
        <v>0</v>
      </c>
      <c r="BL20" s="22">
        <f>-[5]Feb!$J$1</f>
        <v>0</v>
      </c>
      <c r="BM20" s="22">
        <f>-[6]Feb!$J$1</f>
        <v>0</v>
      </c>
      <c r="BN20" s="22">
        <f>-[7]Feb!$J$1</f>
        <v>0</v>
      </c>
      <c r="BO20" s="22"/>
      <c r="BP20" s="22"/>
      <c r="BQ20" s="13"/>
      <c r="BR20" s="22">
        <f t="shared" si="6"/>
        <v>0</v>
      </c>
      <c r="BS20" s="21"/>
      <c r="BT20" s="22">
        <f>[3]Mar!$F$1-[3]Mar!$V$1</f>
        <v>0</v>
      </c>
      <c r="BU20" s="22"/>
      <c r="BV20" s="22">
        <f>-[4]Mar!$J$1</f>
        <v>0</v>
      </c>
      <c r="BW20" s="22">
        <f>-[5]Mar!$J$1</f>
        <v>0</v>
      </c>
      <c r="BX20" s="22">
        <f>-[6]Mar!$J$1</f>
        <v>0</v>
      </c>
      <c r="BY20" s="22">
        <f>-[7]Mar!$J$1</f>
        <v>0</v>
      </c>
      <c r="BZ20" s="22"/>
      <c r="CA20" s="22"/>
      <c r="CB20" s="13"/>
      <c r="CC20" s="22">
        <f t="shared" si="7"/>
        <v>0</v>
      </c>
      <c r="CD20" s="21"/>
      <c r="CE20" s="22">
        <f>[3]Apr!$F$1-[3]Apr!$V$1</f>
        <v>0</v>
      </c>
      <c r="CF20" s="22"/>
      <c r="CG20" s="22">
        <f>-[4]Apr!$J$1</f>
        <v>0</v>
      </c>
      <c r="CH20" s="22">
        <f>-[5]Apr!$J$1</f>
        <v>0</v>
      </c>
      <c r="CI20" s="22">
        <f>-[6]Apr!$J$1</f>
        <v>0</v>
      </c>
      <c r="CJ20" s="22">
        <f>-[7]Apr!$J$1</f>
        <v>0</v>
      </c>
      <c r="CK20" s="22"/>
      <c r="CL20" s="22"/>
      <c r="CM20" s="13"/>
      <c r="CN20" s="22">
        <f t="shared" si="8"/>
        <v>0</v>
      </c>
      <c r="CO20" s="21"/>
      <c r="CP20" s="22">
        <f>[3]May!$F$1-[3]May!$V$1</f>
        <v>0</v>
      </c>
      <c r="CQ20" s="22"/>
      <c r="CR20" s="22">
        <f>-[4]May!$J$1</f>
        <v>0</v>
      </c>
      <c r="CS20" s="22">
        <f>-[5]May!$J$1</f>
        <v>0</v>
      </c>
      <c r="CT20" s="22">
        <f>-[6]May!$J$1</f>
        <v>0</v>
      </c>
      <c r="CU20" s="22">
        <f>-[7]May!$J$1</f>
        <v>0</v>
      </c>
      <c r="CV20" s="22"/>
      <c r="CW20" s="22"/>
      <c r="CX20" s="13"/>
      <c r="CY20" s="22">
        <f t="shared" si="9"/>
        <v>0</v>
      </c>
      <c r="CZ20" s="21"/>
      <c r="DA20" s="22">
        <f>[3]Jun!$F$1-[3]Jun!$V$1</f>
        <v>0</v>
      </c>
      <c r="DB20" s="22"/>
      <c r="DC20" s="22">
        <f>-[4]Jun!$J$1</f>
        <v>0</v>
      </c>
      <c r="DD20" s="22">
        <f>-[5]Jun!$J$1</f>
        <v>0</v>
      </c>
      <c r="DE20" s="22">
        <f>-[6]Jun!$J$1</f>
        <v>0</v>
      </c>
      <c r="DF20" s="22">
        <f>-[7]Jun!$J$1</f>
        <v>0</v>
      </c>
      <c r="DG20" s="22"/>
      <c r="DH20" s="22"/>
      <c r="DI20" s="13"/>
      <c r="DJ20" s="22">
        <f t="shared" si="10"/>
        <v>0</v>
      </c>
      <c r="DK20" s="21"/>
      <c r="DL20" s="22">
        <f>[3]Jul!$F$1-[3]Jul!$V$1</f>
        <v>0</v>
      </c>
      <c r="DM20" s="22"/>
      <c r="DN20" s="22">
        <f>-[4]Jul!$J$1</f>
        <v>0</v>
      </c>
      <c r="DO20" s="22">
        <f>-[5]Jul!$J$1</f>
        <v>0</v>
      </c>
      <c r="DP20" s="22">
        <f>-[6]Jul!$J$1</f>
        <v>0</v>
      </c>
      <c r="DQ20" s="22">
        <f>-[7]Jul!$J$1</f>
        <v>0</v>
      </c>
      <c r="DR20" s="22"/>
      <c r="DS20" s="22"/>
      <c r="DT20" s="13"/>
      <c r="DU20" s="22">
        <f t="shared" si="11"/>
        <v>0</v>
      </c>
      <c r="DV20" s="21"/>
      <c r="DW20" s="22">
        <f>[3]Aug!$F$1-[3]Aug!$V$1</f>
        <v>0</v>
      </c>
      <c r="DX20" s="22"/>
      <c r="DY20" s="22">
        <f>-[4]Aug!$J$1</f>
        <v>0</v>
      </c>
      <c r="DZ20" s="22">
        <f>-[5]Aug!$J$1</f>
        <v>0</v>
      </c>
      <c r="EA20" s="22">
        <f>-[6]Aug!$J$1</f>
        <v>0</v>
      </c>
      <c r="EB20" s="22">
        <f>-[7]Aug!$J$1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[4]Sep!$F$1-[4]Sep!$X$1</f>
        <v>0</v>
      </c>
      <c r="I22" s="22"/>
      <c r="J22" s="22"/>
      <c r="K22" s="22"/>
      <c r="L22" s="22"/>
      <c r="N22" s="21"/>
      <c r="O22" s="22">
        <f t="shared" si="1"/>
        <v>0</v>
      </c>
      <c r="P22" s="21"/>
      <c r="Q22" s="22"/>
      <c r="R22" s="22"/>
      <c r="S22" s="22">
        <f>[4]Oct!$F$1-[4]Oct!$X$1</f>
        <v>0</v>
      </c>
      <c r="T22" s="22"/>
      <c r="U22" s="22"/>
      <c r="V22" s="22"/>
      <c r="W22" s="22"/>
      <c r="X22" s="22"/>
      <c r="Y22" s="13"/>
      <c r="Z22" s="22">
        <f t="shared" si="2"/>
        <v>0</v>
      </c>
      <c r="AA22" s="21"/>
      <c r="AB22" s="22"/>
      <c r="AC22" s="22"/>
      <c r="AD22" s="22">
        <f>[4]Nov!$F$1-[4]Nov!$X$1</f>
        <v>0</v>
      </c>
      <c r="AE22" s="22"/>
      <c r="AF22" s="22"/>
      <c r="AG22" s="22"/>
      <c r="AH22" s="22"/>
      <c r="AI22" s="22"/>
      <c r="AJ22" s="13"/>
      <c r="AK22" s="22">
        <f t="shared" si="3"/>
        <v>0</v>
      </c>
      <c r="AL22" s="21"/>
      <c r="AM22" s="22"/>
      <c r="AN22" s="22"/>
      <c r="AO22" s="22">
        <f>[4]Dec!$F$1-[4]Dec!$X$1</f>
        <v>0</v>
      </c>
      <c r="AP22" s="22"/>
      <c r="AQ22" s="22"/>
      <c r="AR22" s="22"/>
      <c r="AS22" s="22"/>
      <c r="AT22" s="22"/>
      <c r="AU22" s="13"/>
      <c r="AV22" s="22">
        <f t="shared" si="4"/>
        <v>0</v>
      </c>
      <c r="AW22" s="21"/>
      <c r="AX22" s="22"/>
      <c r="AY22" s="22"/>
      <c r="AZ22" s="22">
        <f>[4]Jan!$F$1-[4]Jan!$X$1</f>
        <v>0</v>
      </c>
      <c r="BA22" s="22"/>
      <c r="BB22" s="22"/>
      <c r="BC22" s="22"/>
      <c r="BD22" s="22"/>
      <c r="BE22" s="22"/>
      <c r="BF22" s="13"/>
      <c r="BG22" s="22">
        <f t="shared" si="5"/>
        <v>0</v>
      </c>
      <c r="BH22" s="21"/>
      <c r="BI22" s="22"/>
      <c r="BJ22" s="22"/>
      <c r="BK22" s="22">
        <f>[4]Feb!$F$1-[4]Feb!$X$1</f>
        <v>0</v>
      </c>
      <c r="BL22" s="22"/>
      <c r="BM22" s="22"/>
      <c r="BN22" s="22"/>
      <c r="BO22" s="22"/>
      <c r="BP22" s="22"/>
      <c r="BQ22" s="13"/>
      <c r="BR22" s="22">
        <f t="shared" si="6"/>
        <v>0</v>
      </c>
      <c r="BS22" s="21"/>
      <c r="BT22" s="22"/>
      <c r="BU22" s="22"/>
      <c r="BV22" s="22">
        <f>[4]Mar!$F$1-[4]Mar!$X$1</f>
        <v>0</v>
      </c>
      <c r="BW22" s="22"/>
      <c r="BX22" s="22"/>
      <c r="BY22" s="22"/>
      <c r="BZ22" s="22"/>
      <c r="CA22" s="22"/>
      <c r="CB22" s="13"/>
      <c r="CC22" s="22">
        <f t="shared" si="7"/>
        <v>0</v>
      </c>
      <c r="CD22" s="21"/>
      <c r="CE22" s="22"/>
      <c r="CF22" s="22"/>
      <c r="CG22" s="22">
        <f>[4]Apr!$F$1-[4]Apr!$X$1</f>
        <v>0</v>
      </c>
      <c r="CH22" s="22"/>
      <c r="CI22" s="22"/>
      <c r="CJ22" s="22"/>
      <c r="CK22" s="22"/>
      <c r="CL22" s="22"/>
      <c r="CM22" s="13"/>
      <c r="CN22" s="22">
        <f t="shared" si="8"/>
        <v>0</v>
      </c>
      <c r="CO22" s="21"/>
      <c r="CP22" s="22"/>
      <c r="CQ22" s="22"/>
      <c r="CR22" s="22">
        <f>[4]May!$F$1-[4]May!$X$1</f>
        <v>0</v>
      </c>
      <c r="CS22" s="22"/>
      <c r="CT22" s="22"/>
      <c r="CU22" s="22"/>
      <c r="CV22" s="22"/>
      <c r="CW22" s="22"/>
      <c r="CX22" s="13"/>
      <c r="CY22" s="22">
        <f t="shared" si="9"/>
        <v>0</v>
      </c>
      <c r="CZ22" s="21"/>
      <c r="DA22" s="22"/>
      <c r="DB22" s="22"/>
      <c r="DC22" s="22">
        <f>[4]Jun!$F$1-[4]Jun!$X$1</f>
        <v>0</v>
      </c>
      <c r="DD22" s="22"/>
      <c r="DE22" s="22"/>
      <c r="DF22" s="22"/>
      <c r="DG22" s="22"/>
      <c r="DH22" s="22"/>
      <c r="DI22" s="13"/>
      <c r="DJ22" s="22">
        <f t="shared" si="10"/>
        <v>0</v>
      </c>
      <c r="DK22" s="21"/>
      <c r="DL22" s="22"/>
      <c r="DM22" s="22"/>
      <c r="DN22" s="22">
        <f>[4]Jul!$F$1-[4]Jul!$X$1</f>
        <v>0</v>
      </c>
      <c r="DO22" s="22"/>
      <c r="DP22" s="22"/>
      <c r="DQ22" s="22"/>
      <c r="DR22" s="22"/>
      <c r="DS22" s="22"/>
      <c r="DT22" s="13"/>
      <c r="DU22" s="22">
        <f t="shared" si="11"/>
        <v>0</v>
      </c>
      <c r="DV22" s="21"/>
      <c r="DW22" s="22"/>
      <c r="DX22" s="22"/>
      <c r="DY22" s="22">
        <f>[4]Aug!$F$1-[4]Aug!$X$1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[5]Sep!$F$1-[5]Sep!$X$1</f>
        <v>0</v>
      </c>
      <c r="J23" s="22"/>
      <c r="K23" s="22"/>
      <c r="L23" s="22"/>
      <c r="N23" s="21"/>
      <c r="O23" s="22">
        <f t="shared" si="1"/>
        <v>0</v>
      </c>
      <c r="P23" s="21"/>
      <c r="Q23" s="22"/>
      <c r="R23" s="22"/>
      <c r="S23" s="22"/>
      <c r="T23" s="22">
        <f>[5]Oct!$F$1-[5]Oct!$X$1</f>
        <v>0</v>
      </c>
      <c r="U23" s="22"/>
      <c r="V23" s="22"/>
      <c r="W23" s="22"/>
      <c r="X23" s="22"/>
      <c r="Y23" s="13"/>
      <c r="Z23" s="22">
        <f t="shared" si="2"/>
        <v>0</v>
      </c>
      <c r="AA23" s="21"/>
      <c r="AB23" s="22"/>
      <c r="AC23" s="22"/>
      <c r="AD23" s="22"/>
      <c r="AE23" s="22">
        <f>[5]Nov!$F$1-[5]Nov!$X$1</f>
        <v>0</v>
      </c>
      <c r="AF23" s="22"/>
      <c r="AG23" s="22"/>
      <c r="AH23" s="22"/>
      <c r="AI23" s="22"/>
      <c r="AJ23" s="13"/>
      <c r="AK23" s="22">
        <f t="shared" si="3"/>
        <v>0</v>
      </c>
      <c r="AL23" s="21"/>
      <c r="AM23" s="22"/>
      <c r="AN23" s="22"/>
      <c r="AO23" s="22"/>
      <c r="AP23" s="22">
        <f>[5]Dec!$F$1-[5]Dec!$X$1</f>
        <v>0</v>
      </c>
      <c r="AQ23" s="22"/>
      <c r="AR23" s="22"/>
      <c r="AS23" s="22"/>
      <c r="AT23" s="22"/>
      <c r="AU23" s="13"/>
      <c r="AV23" s="22">
        <f t="shared" si="4"/>
        <v>0</v>
      </c>
      <c r="AW23" s="21"/>
      <c r="AX23" s="22"/>
      <c r="AY23" s="22"/>
      <c r="AZ23" s="22"/>
      <c r="BA23" s="22">
        <f>[5]Jan!$F$1-[5]Jan!$X$1</f>
        <v>0</v>
      </c>
      <c r="BB23" s="22"/>
      <c r="BC23" s="22"/>
      <c r="BD23" s="22"/>
      <c r="BE23" s="22"/>
      <c r="BF23" s="13"/>
      <c r="BG23" s="22">
        <f t="shared" si="5"/>
        <v>0</v>
      </c>
      <c r="BH23" s="21"/>
      <c r="BI23" s="22"/>
      <c r="BJ23" s="22"/>
      <c r="BK23" s="22"/>
      <c r="BL23" s="22">
        <f>[5]Feb!$F$1-[5]Feb!$X$1</f>
        <v>0</v>
      </c>
      <c r="BM23" s="22"/>
      <c r="BN23" s="22"/>
      <c r="BO23" s="22"/>
      <c r="BP23" s="22"/>
      <c r="BQ23" s="13"/>
      <c r="BR23" s="22">
        <f t="shared" si="6"/>
        <v>0</v>
      </c>
      <c r="BS23" s="21"/>
      <c r="BT23" s="22"/>
      <c r="BU23" s="22"/>
      <c r="BV23" s="22"/>
      <c r="BW23" s="22">
        <f>[5]Mar!$F$1-[5]Mar!$X$1</f>
        <v>0</v>
      </c>
      <c r="BX23" s="22"/>
      <c r="BY23" s="22"/>
      <c r="BZ23" s="22"/>
      <c r="CA23" s="22"/>
      <c r="CB23" s="13"/>
      <c r="CC23" s="22">
        <f t="shared" si="7"/>
        <v>0</v>
      </c>
      <c r="CD23" s="21"/>
      <c r="CE23" s="22"/>
      <c r="CF23" s="22"/>
      <c r="CG23" s="22"/>
      <c r="CH23" s="22">
        <f>[5]Apr!$F$1-[5]Apr!$X$1</f>
        <v>0</v>
      </c>
      <c r="CI23" s="22"/>
      <c r="CJ23" s="22"/>
      <c r="CK23" s="22"/>
      <c r="CL23" s="22"/>
      <c r="CM23" s="13"/>
      <c r="CN23" s="22">
        <f t="shared" si="8"/>
        <v>0</v>
      </c>
      <c r="CO23" s="21"/>
      <c r="CP23" s="22"/>
      <c r="CQ23" s="22"/>
      <c r="CR23" s="22"/>
      <c r="CS23" s="22">
        <f>[5]May!$F$1-[5]May!$X$1</f>
        <v>0</v>
      </c>
      <c r="CT23" s="22"/>
      <c r="CU23" s="22"/>
      <c r="CV23" s="22"/>
      <c r="CW23" s="22"/>
      <c r="CX23" s="13"/>
      <c r="CY23" s="22">
        <f t="shared" si="9"/>
        <v>0</v>
      </c>
      <c r="CZ23" s="21"/>
      <c r="DA23" s="22"/>
      <c r="DB23" s="22"/>
      <c r="DC23" s="22"/>
      <c r="DD23" s="22">
        <f>[5]Jun!$F$1-[5]Jun!$X$1</f>
        <v>0</v>
      </c>
      <c r="DE23" s="22"/>
      <c r="DF23" s="22"/>
      <c r="DG23" s="22"/>
      <c r="DH23" s="22"/>
      <c r="DI23" s="13"/>
      <c r="DJ23" s="22">
        <f t="shared" si="10"/>
        <v>0</v>
      </c>
      <c r="DK23" s="21"/>
      <c r="DL23" s="22"/>
      <c r="DM23" s="22"/>
      <c r="DN23" s="22"/>
      <c r="DO23" s="22">
        <f>[5]Jul!$F$1-[5]Jul!$X$1</f>
        <v>0</v>
      </c>
      <c r="DP23" s="22"/>
      <c r="DQ23" s="22"/>
      <c r="DR23" s="22"/>
      <c r="DS23" s="22"/>
      <c r="DT23" s="13"/>
      <c r="DU23" s="22">
        <f t="shared" si="11"/>
        <v>0</v>
      </c>
      <c r="DV23" s="21"/>
      <c r="DW23" s="22"/>
      <c r="DX23" s="22"/>
      <c r="DY23" s="22"/>
      <c r="DZ23" s="22">
        <f>[5]Aug!$F$1-[5]Aug!$X$1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[6]Sep!$F$1-[6]Sep!$X$1</f>
        <v>0</v>
      </c>
      <c r="K24" s="22"/>
      <c r="L24" s="22"/>
      <c r="N24" s="21"/>
      <c r="O24" s="22">
        <f t="shared" si="1"/>
        <v>0</v>
      </c>
      <c r="P24" s="21"/>
      <c r="Q24" s="22"/>
      <c r="R24" s="22"/>
      <c r="S24" s="22"/>
      <c r="T24" s="22"/>
      <c r="U24" s="22">
        <f>[6]Oct!$F$1-[6]Oct!$X$1</f>
        <v>0</v>
      </c>
      <c r="V24" s="22"/>
      <c r="W24" s="22"/>
      <c r="X24" s="22"/>
      <c r="Y24" s="13"/>
      <c r="Z24" s="22">
        <f t="shared" si="2"/>
        <v>0</v>
      </c>
      <c r="AA24" s="21"/>
      <c r="AB24" s="22"/>
      <c r="AC24" s="22"/>
      <c r="AD24" s="22"/>
      <c r="AE24" s="22"/>
      <c r="AF24" s="22">
        <f>[6]Nov!$F$1-[6]Nov!$X$1</f>
        <v>0</v>
      </c>
      <c r="AG24" s="22"/>
      <c r="AH24" s="22"/>
      <c r="AI24" s="22"/>
      <c r="AJ24" s="13"/>
      <c r="AK24" s="22">
        <f t="shared" si="3"/>
        <v>0</v>
      </c>
      <c r="AL24" s="21"/>
      <c r="AM24" s="22"/>
      <c r="AN24" s="22"/>
      <c r="AO24" s="22"/>
      <c r="AP24" s="22"/>
      <c r="AQ24" s="22">
        <f>[6]Dec!$F$1-[6]Dec!$X$1</f>
        <v>0</v>
      </c>
      <c r="AR24" s="22"/>
      <c r="AS24" s="22"/>
      <c r="AT24" s="22"/>
      <c r="AU24" s="13"/>
      <c r="AV24" s="22">
        <f t="shared" si="4"/>
        <v>0</v>
      </c>
      <c r="AW24" s="21"/>
      <c r="AX24" s="22"/>
      <c r="AY24" s="22"/>
      <c r="AZ24" s="22"/>
      <c r="BA24" s="22"/>
      <c r="BB24" s="22">
        <f>[6]Jan!$F$1-[6]Jan!$X$1</f>
        <v>0</v>
      </c>
      <c r="BC24" s="22"/>
      <c r="BD24" s="22"/>
      <c r="BE24" s="22"/>
      <c r="BF24" s="13"/>
      <c r="BG24" s="22">
        <f t="shared" si="5"/>
        <v>0</v>
      </c>
      <c r="BH24" s="21"/>
      <c r="BI24" s="22"/>
      <c r="BJ24" s="22"/>
      <c r="BK24" s="22"/>
      <c r="BL24" s="22"/>
      <c r="BM24" s="22">
        <f>[6]Feb!$F$1-[6]Feb!$X$1</f>
        <v>0</v>
      </c>
      <c r="BN24" s="22"/>
      <c r="BO24" s="22"/>
      <c r="BP24" s="22"/>
      <c r="BQ24" s="13"/>
      <c r="BR24" s="22">
        <f t="shared" si="6"/>
        <v>0</v>
      </c>
      <c r="BS24" s="21"/>
      <c r="BT24" s="22"/>
      <c r="BU24" s="22"/>
      <c r="BV24" s="22"/>
      <c r="BW24" s="22"/>
      <c r="BX24" s="22">
        <f>[6]Mar!$F$1-[6]Mar!$X$1</f>
        <v>0</v>
      </c>
      <c r="BY24" s="22"/>
      <c r="BZ24" s="22"/>
      <c r="CA24" s="22"/>
      <c r="CB24" s="13"/>
      <c r="CC24" s="22">
        <f t="shared" si="7"/>
        <v>0</v>
      </c>
      <c r="CD24" s="21"/>
      <c r="CE24" s="22"/>
      <c r="CF24" s="22"/>
      <c r="CG24" s="22"/>
      <c r="CH24" s="22"/>
      <c r="CI24" s="22">
        <f>[6]Apr!$F$1-[6]Apr!$X$1</f>
        <v>0</v>
      </c>
      <c r="CJ24" s="22"/>
      <c r="CK24" s="22"/>
      <c r="CL24" s="22"/>
      <c r="CM24" s="13"/>
      <c r="CN24" s="22">
        <f t="shared" si="8"/>
        <v>0</v>
      </c>
      <c r="CO24" s="21"/>
      <c r="CP24" s="22"/>
      <c r="CQ24" s="22"/>
      <c r="CR24" s="22"/>
      <c r="CS24" s="22"/>
      <c r="CT24" s="22">
        <f>[6]May!$F$1-[6]May!$X$1</f>
        <v>0</v>
      </c>
      <c r="CU24" s="22"/>
      <c r="CV24" s="22"/>
      <c r="CW24" s="22"/>
      <c r="CX24" s="13"/>
      <c r="CY24" s="22">
        <f t="shared" si="9"/>
        <v>0</v>
      </c>
      <c r="CZ24" s="21"/>
      <c r="DA24" s="22"/>
      <c r="DB24" s="22"/>
      <c r="DC24" s="22"/>
      <c r="DD24" s="22"/>
      <c r="DE24" s="22">
        <f>[6]Jun!$F$1-[6]Jun!$X$1</f>
        <v>0</v>
      </c>
      <c r="DF24" s="22"/>
      <c r="DG24" s="22"/>
      <c r="DH24" s="22"/>
      <c r="DI24" s="13"/>
      <c r="DJ24" s="22">
        <f t="shared" si="10"/>
        <v>0</v>
      </c>
      <c r="DK24" s="21"/>
      <c r="DL24" s="22"/>
      <c r="DM24" s="22"/>
      <c r="DN24" s="22"/>
      <c r="DO24" s="22"/>
      <c r="DP24" s="22">
        <f>[6]Jul!$F$1-[6]Jul!$X$1</f>
        <v>0</v>
      </c>
      <c r="DQ24" s="22"/>
      <c r="DR24" s="22"/>
      <c r="DS24" s="22"/>
      <c r="DT24" s="13"/>
      <c r="DU24" s="22">
        <f t="shared" si="11"/>
        <v>0</v>
      </c>
      <c r="DV24" s="21"/>
      <c r="DW24" s="22"/>
      <c r="DX24" s="22"/>
      <c r="DY24" s="22"/>
      <c r="DZ24" s="22"/>
      <c r="EA24" s="22">
        <f>[6]Aug!$F$1-[6]Aug!$X$1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[7]Sep!$F$1-[7]Sep!$U$1</f>
        <v>0</v>
      </c>
      <c r="L25" s="22"/>
      <c r="N25" s="21"/>
      <c r="O25" s="22">
        <f t="shared" si="1"/>
        <v>0</v>
      </c>
      <c r="P25" s="21"/>
      <c r="Q25" s="22"/>
      <c r="R25" s="22"/>
      <c r="S25" s="22"/>
      <c r="T25" s="22"/>
      <c r="U25" s="22"/>
      <c r="V25" s="22">
        <f>[7]Oct!$F$1-[7]Oct!$U$1</f>
        <v>0</v>
      </c>
      <c r="W25" s="22"/>
      <c r="X25" s="22"/>
      <c r="Y25" s="13"/>
      <c r="Z25" s="22">
        <f t="shared" si="2"/>
        <v>0</v>
      </c>
      <c r="AA25" s="21"/>
      <c r="AB25" s="22"/>
      <c r="AC25" s="22"/>
      <c r="AD25" s="22"/>
      <c r="AE25" s="22"/>
      <c r="AF25" s="22"/>
      <c r="AG25" s="22">
        <f>[7]Nov!$F$1-[7]Nov!$U$1</f>
        <v>0</v>
      </c>
      <c r="AH25" s="22"/>
      <c r="AI25" s="22"/>
      <c r="AJ25" s="13"/>
      <c r="AK25" s="22">
        <f t="shared" si="3"/>
        <v>0</v>
      </c>
      <c r="AL25" s="21"/>
      <c r="AM25" s="22"/>
      <c r="AN25" s="22"/>
      <c r="AO25" s="22"/>
      <c r="AP25" s="22"/>
      <c r="AQ25" s="22"/>
      <c r="AR25" s="22">
        <f>[7]Dec!$F$1-[7]Dec!$U$1</f>
        <v>0</v>
      </c>
      <c r="AS25" s="22"/>
      <c r="AT25" s="22"/>
      <c r="AU25" s="13"/>
      <c r="AV25" s="22">
        <f t="shared" si="4"/>
        <v>0</v>
      </c>
      <c r="AW25" s="21"/>
      <c r="AX25" s="22"/>
      <c r="AY25" s="22"/>
      <c r="AZ25" s="22"/>
      <c r="BA25" s="22"/>
      <c r="BB25" s="22"/>
      <c r="BC25" s="22">
        <f>[7]Jan!$F$1-[7]Jan!$U$1</f>
        <v>0</v>
      </c>
      <c r="BD25" s="22"/>
      <c r="BE25" s="22"/>
      <c r="BF25" s="13"/>
      <c r="BG25" s="22">
        <f t="shared" si="5"/>
        <v>0</v>
      </c>
      <c r="BH25" s="21"/>
      <c r="BI25" s="22"/>
      <c r="BJ25" s="22"/>
      <c r="BK25" s="22"/>
      <c r="BL25" s="22"/>
      <c r="BM25" s="22"/>
      <c r="BN25" s="22">
        <f>[7]Feb!$F$1-[7]Feb!$U$1</f>
        <v>0</v>
      </c>
      <c r="BO25" s="22"/>
      <c r="BP25" s="22"/>
      <c r="BQ25" s="13"/>
      <c r="BR25" s="22">
        <f t="shared" si="6"/>
        <v>0</v>
      </c>
      <c r="BS25" s="21"/>
      <c r="BT25" s="22"/>
      <c r="BU25" s="22"/>
      <c r="BV25" s="22"/>
      <c r="BW25" s="22"/>
      <c r="BX25" s="22"/>
      <c r="BY25" s="22">
        <f>[7]Mar!$F$1-[7]Mar!$U$1</f>
        <v>0</v>
      </c>
      <c r="BZ25" s="22"/>
      <c r="CA25" s="22"/>
      <c r="CB25" s="13"/>
      <c r="CC25" s="22">
        <f t="shared" si="7"/>
        <v>0</v>
      </c>
      <c r="CD25" s="21"/>
      <c r="CE25" s="22"/>
      <c r="CF25" s="22"/>
      <c r="CG25" s="22"/>
      <c r="CH25" s="22"/>
      <c r="CI25" s="22"/>
      <c r="CJ25" s="22">
        <f>[7]Apr!$F$1-[7]Apr!$U$1</f>
        <v>0</v>
      </c>
      <c r="CK25" s="22"/>
      <c r="CL25" s="22"/>
      <c r="CM25" s="13"/>
      <c r="CN25" s="22">
        <f t="shared" si="8"/>
        <v>0</v>
      </c>
      <c r="CO25" s="21"/>
      <c r="CP25" s="22"/>
      <c r="CQ25" s="22"/>
      <c r="CR25" s="22"/>
      <c r="CS25" s="22"/>
      <c r="CT25" s="22"/>
      <c r="CU25" s="22">
        <f>[7]May!$F$1-[7]May!$U$1</f>
        <v>0</v>
      </c>
      <c r="CV25" s="22"/>
      <c r="CW25" s="22"/>
      <c r="CX25" s="13"/>
      <c r="CY25" s="22">
        <f t="shared" si="9"/>
        <v>0</v>
      </c>
      <c r="CZ25" s="21"/>
      <c r="DA25" s="22"/>
      <c r="DB25" s="22"/>
      <c r="DC25" s="22"/>
      <c r="DD25" s="22"/>
      <c r="DE25" s="22"/>
      <c r="DF25" s="22">
        <f>[7]Jun!$F$1-[7]Jun!$U$1</f>
        <v>0</v>
      </c>
      <c r="DG25" s="22"/>
      <c r="DH25" s="22"/>
      <c r="DI25" s="13"/>
      <c r="DJ25" s="22">
        <f t="shared" si="10"/>
        <v>0</v>
      </c>
      <c r="DK25" s="21"/>
      <c r="DL25" s="22"/>
      <c r="DM25" s="22"/>
      <c r="DN25" s="22"/>
      <c r="DO25" s="22"/>
      <c r="DP25" s="22"/>
      <c r="DQ25" s="22">
        <f>[7]Jul!$F$1-[7]Jul!$U$1</f>
        <v>0</v>
      </c>
      <c r="DR25" s="22"/>
      <c r="DS25" s="22"/>
      <c r="DT25" s="13"/>
      <c r="DU25" s="22">
        <f t="shared" si="11"/>
        <v>0</v>
      </c>
      <c r="DV25" s="21"/>
      <c r="DW25" s="22"/>
      <c r="DX25" s="22"/>
      <c r="DY25" s="22"/>
      <c r="DZ25" s="22"/>
      <c r="EA25" s="22"/>
      <c r="EB25" s="22">
        <f>[7]Aug!$F$1-[7]Aug!$U$1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-[4]Sep!$G$1-[4]Sep!$H$1-[4]Sep!$I$1+[4]Sep!$Y$1+[4]Sep!$Z$1+[4]Sep!$AA$1</f>
        <v>0</v>
      </c>
      <c r="I26" s="22">
        <f>-[5]Sep!$G$1-[5]Sep!$H$1-[5]Sep!$I$1+[5]Sep!$Y$1+[5]Sep!$Z$1+[5]Sep!$AA$1</f>
        <v>0</v>
      </c>
      <c r="J26" s="22">
        <f>-[6]Sep!$G$1-[6]Sep!$H$1-[6]Sep!$I$1+[6]Sep!$Y$1+[6]Sep!$Z$1+[6]Sep!$AA$1</f>
        <v>0</v>
      </c>
      <c r="K26" s="22">
        <f>-[7]Sep!$G$1-[7]Sep!$H$1-[7]Sep!$I$1+[7]Sep!$V$1+[7]Sep!$W$1+[7]Sep!$X$1</f>
        <v>0</v>
      </c>
      <c r="L26" s="22"/>
      <c r="N26" s="21"/>
      <c r="O26" s="22">
        <f t="shared" si="1"/>
        <v>0</v>
      </c>
      <c r="P26" s="21"/>
      <c r="Q26" s="22"/>
      <c r="R26" s="22"/>
      <c r="S26" s="22">
        <f>-[4]Oct!$G$1-[4]Oct!$H$1-[4]Oct!$I$1+[4]Oct!$Y$1+[4]Oct!$Z$1+[4]Oct!$AA$1</f>
        <v>0</v>
      </c>
      <c r="T26" s="22">
        <f>-[5]Oct!$G$1-[5]Oct!$H$1-[5]Oct!$I$1+[5]Oct!$Y$1+[5]Oct!$Z$1+[5]Oct!$AA$1</f>
        <v>0</v>
      </c>
      <c r="U26" s="22">
        <f>-[6]Oct!$G$1-[6]Oct!$H$1-[6]Oct!$I$1+[6]Oct!$Y$1+[6]Oct!$Z$1+[6]Oct!$AA$1</f>
        <v>0</v>
      </c>
      <c r="V26" s="22">
        <f>-[7]Oct!$G$1-[7]Oct!$H$1-[7]Oct!$I$1+[7]Oct!$V$1+[7]Oct!$W$1+[7]Oct!$X$1</f>
        <v>0</v>
      </c>
      <c r="W26" s="22"/>
      <c r="X26" s="22"/>
      <c r="Y26" s="13"/>
      <c r="Z26" s="22">
        <f t="shared" si="2"/>
        <v>0</v>
      </c>
      <c r="AA26" s="21"/>
      <c r="AB26" s="22"/>
      <c r="AC26" s="22"/>
      <c r="AD26" s="22">
        <f>-[4]Nov!$G$1-[4]Nov!$H$1-[4]Nov!$I$1+[4]Nov!$Y$1+[4]Nov!$Z$1+[4]Nov!$AA$1</f>
        <v>0</v>
      </c>
      <c r="AE26" s="22">
        <f>-[5]Nov!$G$1-[5]Nov!$H$1-[5]Nov!$I$1+[5]Nov!$Y$1+[5]Nov!$Z$1+[5]Nov!$AA$1</f>
        <v>0</v>
      </c>
      <c r="AF26" s="22">
        <f>-[6]Nov!$G$1-[6]Nov!$H$1-[6]Nov!$I$1+[6]Nov!$Y$1+[6]Nov!$Z$1+[6]Nov!$AA$1</f>
        <v>0</v>
      </c>
      <c r="AG26" s="22">
        <f>-[7]Nov!$G$1-[7]Nov!$H$1-[7]Nov!$I$1+[7]Nov!$V$1+[7]Nov!$W$1+[7]Nov!$X$1</f>
        <v>0</v>
      </c>
      <c r="AH26" s="22"/>
      <c r="AI26" s="22"/>
      <c r="AJ26" s="13"/>
      <c r="AK26" s="22">
        <f t="shared" si="3"/>
        <v>0</v>
      </c>
      <c r="AL26" s="21"/>
      <c r="AM26" s="22"/>
      <c r="AN26" s="22"/>
      <c r="AO26" s="22">
        <f>-[4]Dec!$G$1-[4]Dec!$H$1-[4]Dec!$I$1+[4]Dec!$Y$1+[4]Dec!$Z$1+[4]Dec!$AA$1</f>
        <v>0</v>
      </c>
      <c r="AP26" s="22">
        <f>-[5]Dec!$G$1-[5]Dec!$H$1-[5]Dec!$I$1+[5]Dec!$Y$1+[5]Dec!$Z$1+[5]Dec!$AA$1</f>
        <v>0</v>
      </c>
      <c r="AQ26" s="22">
        <f>-[6]Dec!$G$1-[6]Dec!$H$1-[6]Dec!$I$1+[6]Dec!$Y$1+[6]Dec!$Z$1+[6]Dec!$AA$1</f>
        <v>0</v>
      </c>
      <c r="AR26" s="22">
        <f>-[7]Dec!$G$1-[7]Dec!$H$1-[7]Dec!$I$1+[7]Dec!$V$1+[7]Dec!$W$1+[7]Dec!$X$1</f>
        <v>0</v>
      </c>
      <c r="AS26" s="22"/>
      <c r="AT26" s="22"/>
      <c r="AU26" s="13"/>
      <c r="AV26" s="22">
        <f t="shared" si="4"/>
        <v>0</v>
      </c>
      <c r="AW26" s="21"/>
      <c r="AX26" s="22"/>
      <c r="AY26" s="22"/>
      <c r="AZ26" s="22">
        <f>-[4]Jan!$G$1-[4]Jan!$H$1-[4]Jan!$I$1+[4]Jan!$Y$1+[4]Jan!$Z$1+[4]Jan!$AA$1</f>
        <v>0</v>
      </c>
      <c r="BA26" s="22">
        <f>-[5]Jan!$G$1-[5]Jan!$H$1-[5]Jan!$I$1+[5]Jan!$Y$1+[5]Jan!$Z$1+[5]Jan!$AA$1</f>
        <v>0</v>
      </c>
      <c r="BB26" s="22">
        <f>-[6]Jan!$G$1-[6]Jan!$H$1-[6]Jan!$I$1+[6]Jan!$Y$1+[6]Jan!$Z$1+[6]Jan!$AA$1</f>
        <v>0</v>
      </c>
      <c r="BC26" s="22">
        <f>-[7]Jan!$G$1-[7]Jan!$H$1-[7]Jan!$I$1+[7]Jan!$V$1+[7]Jan!$W$1+[7]Jan!$X$1</f>
        <v>0</v>
      </c>
      <c r="BD26" s="22"/>
      <c r="BE26" s="22"/>
      <c r="BF26" s="13"/>
      <c r="BG26" s="22">
        <f t="shared" si="5"/>
        <v>0</v>
      </c>
      <c r="BH26" s="21"/>
      <c r="BI26" s="22"/>
      <c r="BJ26" s="22"/>
      <c r="BK26" s="22">
        <f>-[4]Feb!$G$1-[4]Feb!$H$1-[4]Feb!$I$1+[4]Feb!$Y$1+[4]Feb!$Z$1+[4]Feb!$AA$1</f>
        <v>0</v>
      </c>
      <c r="BL26" s="22">
        <f>-[5]Feb!$G$1-[5]Feb!$H$1-[5]Feb!$I$1+[5]Feb!$Y$1+[5]Feb!$Z$1+[5]Feb!$AA$1</f>
        <v>0</v>
      </c>
      <c r="BM26" s="22">
        <f>-[6]Feb!$G$1-[6]Feb!$H$1-[6]Feb!$I$1+[6]Feb!$Y$1+[6]Feb!$Z$1+[6]Feb!$AA$1</f>
        <v>0</v>
      </c>
      <c r="BN26" s="22">
        <f>-[7]Feb!$G$1-[7]Feb!$H$1-[7]Feb!$I$1+[7]Feb!$V$1+[7]Feb!$W$1+[7]Feb!$X$1</f>
        <v>0</v>
      </c>
      <c r="BO26" s="22"/>
      <c r="BP26" s="22"/>
      <c r="BQ26" s="13"/>
      <c r="BR26" s="22">
        <f t="shared" si="6"/>
        <v>0</v>
      </c>
      <c r="BS26" s="21"/>
      <c r="BT26" s="22"/>
      <c r="BU26" s="22"/>
      <c r="BV26" s="22">
        <f>-[4]Mar!$G$1-[4]Mar!$H$1-[4]Mar!$I$1+[4]Mar!$Y$1+[4]Mar!$Z$1+[4]Mar!$AA$1</f>
        <v>0</v>
      </c>
      <c r="BW26" s="22">
        <f>-[5]Mar!$G$1-[5]Mar!$H$1-[5]Mar!$I$1+[5]Mar!$Y$1+[5]Mar!$Z$1+[5]Mar!$AA$1</f>
        <v>0</v>
      </c>
      <c r="BX26" s="22">
        <f>-[6]Mar!$G$1-[6]Mar!$H$1-[6]Mar!$I$1+[6]Mar!$Y$1+[6]Mar!$Z$1+[6]Mar!$AA$1</f>
        <v>0</v>
      </c>
      <c r="BY26" s="22">
        <f>-[7]Mar!$G$1-[7]Mar!$H$1-[7]Mar!$I$1+[7]Mar!$V$1+[7]Mar!$W$1+[7]Mar!$X$1</f>
        <v>0</v>
      </c>
      <c r="BZ26" s="22"/>
      <c r="CA26" s="22"/>
      <c r="CB26" s="13"/>
      <c r="CC26" s="22">
        <f t="shared" si="7"/>
        <v>0</v>
      </c>
      <c r="CD26" s="21"/>
      <c r="CE26" s="22"/>
      <c r="CF26" s="22"/>
      <c r="CG26" s="22">
        <f>-[4]Apr!$G$1-[4]Apr!$H$1-[4]Apr!$I$1+[4]Apr!$Y$1+[4]Apr!$Z$1+[4]Apr!$AA$1</f>
        <v>0</v>
      </c>
      <c r="CH26" s="22">
        <f>-[5]Apr!$G$1-[5]Apr!$H$1-[5]Apr!$I$1+[5]Apr!$Y$1+[5]Apr!$Z$1+[5]Apr!$AA$1</f>
        <v>0</v>
      </c>
      <c r="CI26" s="22">
        <f>-[6]Apr!$G$1-[6]Apr!$H$1-[6]Apr!$I$1+[6]Apr!$Y$1+[6]Apr!$Z$1+[6]Apr!$AA$1</f>
        <v>0</v>
      </c>
      <c r="CJ26" s="22">
        <f>-[7]Apr!$G$1-[7]Apr!$H$1-[7]Apr!$I$1+[7]Apr!$V$1+[7]Apr!$W$1+[7]Apr!$X$1</f>
        <v>0</v>
      </c>
      <c r="CK26" s="22"/>
      <c r="CL26" s="22"/>
      <c r="CM26" s="13"/>
      <c r="CN26" s="22">
        <f t="shared" si="8"/>
        <v>0</v>
      </c>
      <c r="CO26" s="21"/>
      <c r="CP26" s="22"/>
      <c r="CQ26" s="22"/>
      <c r="CR26" s="22">
        <f>-[4]May!$G$1-[4]May!$H$1-[4]May!$I$1+[4]May!$Y$1+[4]May!$Z$1+[4]May!$AA$1</f>
        <v>0</v>
      </c>
      <c r="CS26" s="22">
        <f>-[5]May!$G$1-[5]May!$H$1-[5]May!$I$1+[5]May!$Y$1+[5]May!$Z$1+[5]May!$AA$1</f>
        <v>0</v>
      </c>
      <c r="CT26" s="22">
        <f>-[6]May!$G$1-[6]May!$H$1-[6]May!$I$1+[6]May!$Y$1+[6]May!$Z$1+[6]May!$AA$1</f>
        <v>0</v>
      </c>
      <c r="CU26" s="22">
        <f>-[7]May!$G$1-[7]May!$H$1-[7]May!$I$1+[7]May!$V$1+[7]May!$W$1+[7]May!$X$1</f>
        <v>0</v>
      </c>
      <c r="CV26" s="22"/>
      <c r="CW26" s="22"/>
      <c r="CX26" s="13"/>
      <c r="CY26" s="22">
        <f t="shared" si="9"/>
        <v>0</v>
      </c>
      <c r="CZ26" s="21"/>
      <c r="DA26" s="22"/>
      <c r="DB26" s="22"/>
      <c r="DC26" s="22">
        <f>-[4]Jun!$G$1-[4]Jun!$H$1-[4]Jun!$I$1+[4]Jun!$Y$1+[4]Jun!$Z$1+[4]Jun!$AA$1</f>
        <v>0</v>
      </c>
      <c r="DD26" s="22">
        <f>-[5]Jun!$G$1-[5]Jun!$H$1-[5]Jun!$I$1+[5]Jun!$Y$1+[5]Jun!$Z$1+[5]Jun!$AA$1</f>
        <v>0</v>
      </c>
      <c r="DE26" s="22">
        <f>-[6]Jun!$G$1-[6]Jun!$H$1-[6]Jun!$I$1+[6]Jun!$Y$1+[6]Jun!$Z$1+[6]Jun!$AA$1</f>
        <v>0</v>
      </c>
      <c r="DF26" s="22">
        <f>-[7]Jun!$G$1-[7]Jun!$H$1-[7]Jun!$I$1+[7]Jun!$V$1+[7]Jun!$W$1+[7]Jun!$X$1</f>
        <v>0</v>
      </c>
      <c r="DG26" s="22"/>
      <c r="DH26" s="22"/>
      <c r="DI26" s="13"/>
      <c r="DJ26" s="22">
        <f t="shared" si="10"/>
        <v>0</v>
      </c>
      <c r="DK26" s="21"/>
      <c r="DL26" s="22"/>
      <c r="DM26" s="22"/>
      <c r="DN26" s="22">
        <f>-[4]Jul!$G$1-[4]Jul!$H$1-[4]Jul!$I$1+[4]Jul!$Y$1+[4]Jul!$Z$1+[4]Jul!$AA$1</f>
        <v>0</v>
      </c>
      <c r="DO26" s="22">
        <f>-[5]Jul!$G$1-[5]Jul!$H$1-[5]Jul!$I$1+[5]Jul!$Y$1+[5]Jul!$Z$1+[5]Jul!$AA$1</f>
        <v>0</v>
      </c>
      <c r="DP26" s="22">
        <f>-[6]Jul!$G$1-[6]Jul!$H$1-[6]Jul!$I$1+[6]Jul!$Y$1+[6]Jul!$Z$1+[6]Jul!$AA$1</f>
        <v>0</v>
      </c>
      <c r="DQ26" s="22">
        <f>-[7]Jul!$G$1-[7]Jul!$H$1-[7]Jul!$I$1+[7]Jul!$V$1+[7]Jul!$W$1+[7]Jul!$X$1</f>
        <v>0</v>
      </c>
      <c r="DR26" s="22"/>
      <c r="DS26" s="22"/>
      <c r="DT26" s="13"/>
      <c r="DU26" s="22">
        <f t="shared" si="11"/>
        <v>0</v>
      </c>
      <c r="DV26" s="21"/>
      <c r="DW26" s="22"/>
      <c r="DX26" s="22"/>
      <c r="DY26" s="22">
        <f>-[4]Aug!$G$1-[4]Aug!$H$1-[4]Aug!$I$1+[4]Aug!$Y$1+[4]Aug!$Z$1+[4]Aug!$AA$1</f>
        <v>0</v>
      </c>
      <c r="DZ26" s="22">
        <f>-[5]Aug!$G$1-[5]Aug!$H$1-[5]Aug!$I$1+[5]Aug!$Y$1+[5]Aug!$Z$1+[5]Aug!$AA$1</f>
        <v>0</v>
      </c>
      <c r="EA26" s="22">
        <f>-[6]Aug!$G$1-[6]Aug!$H$1-[6]Aug!$I$1+[6]Aug!$Y$1+[6]Aug!$Z$1+[6]Aug!$AA$1</f>
        <v>0</v>
      </c>
      <c r="EB26" s="22">
        <f>-[7]Aug!$G$1-[7]Aug!$H$1-[7]Aug!$I$1+[7]Aug!$V$1+[7]Aug!$W$1+[7]Aug!$X$1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-[2]Sep!$F$1+[2]Sep!$AK$1</f>
        <v>0</v>
      </c>
      <c r="H28" s="22">
        <f>[4]Sep!$AB$1</f>
        <v>0</v>
      </c>
      <c r="I28" s="22">
        <f>[5]Sep!$AB$1</f>
        <v>0</v>
      </c>
      <c r="J28" s="22">
        <f>[6]Sep!$AB$1</f>
        <v>0</v>
      </c>
      <c r="K28" s="22">
        <f>[7]Sep!$Y$1</f>
        <v>0</v>
      </c>
      <c r="L28" s="22"/>
      <c r="N28" s="21"/>
      <c r="O28" s="22">
        <f t="shared" si="1"/>
        <v>0</v>
      </c>
      <c r="P28" s="21"/>
      <c r="Q28" s="22"/>
      <c r="R28" s="22">
        <f>-[2]Oct!$F$1+[2]Oct!$AK$1</f>
        <v>0</v>
      </c>
      <c r="S28" s="22">
        <f>[4]Oct!$AB$1</f>
        <v>0</v>
      </c>
      <c r="T28" s="22">
        <f>[5]Oct!$AB$1</f>
        <v>0</v>
      </c>
      <c r="U28" s="22">
        <f>[6]Oct!$AB$1</f>
        <v>0</v>
      </c>
      <c r="V28" s="22">
        <f>[7]Oct!$Y$1</f>
        <v>0</v>
      </c>
      <c r="W28" s="22"/>
      <c r="X28" s="22"/>
      <c r="Y28" s="13"/>
      <c r="Z28" s="22">
        <f t="shared" si="2"/>
        <v>0</v>
      </c>
      <c r="AA28" s="21"/>
      <c r="AB28" s="22"/>
      <c r="AC28" s="22">
        <f>-[2]Nov!$F$1+[2]Nov!$AK$1</f>
        <v>0</v>
      </c>
      <c r="AD28" s="22">
        <f>[4]Nov!$AB$1</f>
        <v>0</v>
      </c>
      <c r="AE28" s="22">
        <f>[5]Nov!$AB$1</f>
        <v>0</v>
      </c>
      <c r="AF28" s="22">
        <f>[6]Nov!$AB$1</f>
        <v>0</v>
      </c>
      <c r="AG28" s="22">
        <f>[7]Nov!$Y$1</f>
        <v>0</v>
      </c>
      <c r="AH28" s="22"/>
      <c r="AI28" s="22"/>
      <c r="AJ28" s="13"/>
      <c r="AK28" s="22">
        <f t="shared" si="3"/>
        <v>0</v>
      </c>
      <c r="AL28" s="21"/>
      <c r="AM28" s="22"/>
      <c r="AN28" s="22">
        <f>-[2]Dec!$F$1+[2]Dec!$AK$1</f>
        <v>0</v>
      </c>
      <c r="AO28" s="22">
        <f>[4]Dec!$AB$1</f>
        <v>0</v>
      </c>
      <c r="AP28" s="22">
        <f>[5]Dec!$AB$1</f>
        <v>0</v>
      </c>
      <c r="AQ28" s="22">
        <f>[6]Dec!$AB$1</f>
        <v>0</v>
      </c>
      <c r="AR28" s="22">
        <f>[7]Dec!$Y$1</f>
        <v>0</v>
      </c>
      <c r="AS28" s="22"/>
      <c r="AT28" s="22"/>
      <c r="AU28" s="13"/>
      <c r="AV28" s="22">
        <f t="shared" si="4"/>
        <v>0</v>
      </c>
      <c r="AW28" s="21"/>
      <c r="AX28" s="22"/>
      <c r="AY28" s="22">
        <f>-[2]Jan!$F$1+[2]Jan!$AK$1</f>
        <v>0</v>
      </c>
      <c r="AZ28" s="22">
        <f>[4]Jan!$AB$1</f>
        <v>0</v>
      </c>
      <c r="BA28" s="22">
        <f>[5]Jan!$AB$1</f>
        <v>0</v>
      </c>
      <c r="BB28" s="22">
        <f>[6]Jan!$AB$1</f>
        <v>0</v>
      </c>
      <c r="BC28" s="22">
        <f>[7]Jan!$Y$1</f>
        <v>0</v>
      </c>
      <c r="BD28" s="22"/>
      <c r="BE28" s="22"/>
      <c r="BF28" s="13"/>
      <c r="BG28" s="22">
        <f t="shared" si="5"/>
        <v>0</v>
      </c>
      <c r="BH28" s="21"/>
      <c r="BI28" s="22"/>
      <c r="BJ28" s="22">
        <f>-[2]Feb!$F$1+[2]Feb!$AK$1</f>
        <v>0</v>
      </c>
      <c r="BK28" s="22">
        <f>[4]Feb!$AB$1</f>
        <v>0</v>
      </c>
      <c r="BL28" s="22">
        <f>[5]Feb!$AB$1</f>
        <v>0</v>
      </c>
      <c r="BM28" s="22">
        <f>[6]Feb!$AB$1</f>
        <v>0</v>
      </c>
      <c r="BN28" s="22">
        <f>[7]Feb!$Y$1</f>
        <v>0</v>
      </c>
      <c r="BO28" s="22"/>
      <c r="BP28" s="22"/>
      <c r="BQ28" s="13"/>
      <c r="BR28" s="22">
        <f t="shared" si="6"/>
        <v>0</v>
      </c>
      <c r="BS28" s="21"/>
      <c r="BT28" s="22"/>
      <c r="BU28" s="22">
        <f>-[2]Mar!$F$1+[2]Mar!$AK$1</f>
        <v>0</v>
      </c>
      <c r="BV28" s="22">
        <f>[4]Mar!$AB$1</f>
        <v>0</v>
      </c>
      <c r="BW28" s="22">
        <f>[5]Mar!$AB$1</f>
        <v>0</v>
      </c>
      <c r="BX28" s="22">
        <f>[6]Mar!$AB$1</f>
        <v>0</v>
      </c>
      <c r="BY28" s="22">
        <f>[7]Mar!$Y$1</f>
        <v>0</v>
      </c>
      <c r="BZ28" s="22"/>
      <c r="CA28" s="22"/>
      <c r="CB28" s="13"/>
      <c r="CC28" s="22">
        <f t="shared" si="7"/>
        <v>0</v>
      </c>
      <c r="CD28" s="21"/>
      <c r="CE28" s="22"/>
      <c r="CF28" s="22">
        <f>-[2]Apr!$F$1+[2]Apr!$AK$1</f>
        <v>0</v>
      </c>
      <c r="CG28" s="22">
        <f>[4]Apr!$AB$1</f>
        <v>0</v>
      </c>
      <c r="CH28" s="22">
        <f>[5]Apr!$AB$1</f>
        <v>0</v>
      </c>
      <c r="CI28" s="22">
        <f>[6]Apr!$AB$1</f>
        <v>0</v>
      </c>
      <c r="CJ28" s="22">
        <f>[7]Apr!$Y$1</f>
        <v>0</v>
      </c>
      <c r="CK28" s="22"/>
      <c r="CL28" s="22"/>
      <c r="CM28" s="13"/>
      <c r="CN28" s="22">
        <f t="shared" si="8"/>
        <v>0</v>
      </c>
      <c r="CO28" s="21"/>
      <c r="CP28" s="22"/>
      <c r="CQ28" s="22">
        <f>-[2]May!$F$1+[2]May!$AK$1</f>
        <v>0</v>
      </c>
      <c r="CR28" s="22">
        <f>[4]May!$AB$1</f>
        <v>0</v>
      </c>
      <c r="CS28" s="22">
        <f>[5]May!$AB$1</f>
        <v>0</v>
      </c>
      <c r="CT28" s="22">
        <f>[6]May!$AB$1</f>
        <v>0</v>
      </c>
      <c r="CU28" s="22">
        <f>[7]May!$Y$1</f>
        <v>0</v>
      </c>
      <c r="CV28" s="22"/>
      <c r="CW28" s="22"/>
      <c r="CX28" s="13"/>
      <c r="CY28" s="22">
        <f t="shared" si="9"/>
        <v>0</v>
      </c>
      <c r="CZ28" s="21"/>
      <c r="DA28" s="22"/>
      <c r="DB28" s="22">
        <f>-[2]Jun!$F$1+[2]Jun!$AK$1</f>
        <v>0</v>
      </c>
      <c r="DC28" s="22">
        <f>[4]Jun!$AB$1</f>
        <v>0</v>
      </c>
      <c r="DD28" s="22">
        <f>[5]Jun!$AB$1</f>
        <v>0</v>
      </c>
      <c r="DE28" s="22">
        <f>[6]Jun!$AB$1</f>
        <v>0</v>
      </c>
      <c r="DF28" s="22">
        <f>[7]Jun!$Y$1</f>
        <v>0</v>
      </c>
      <c r="DG28" s="22"/>
      <c r="DH28" s="22"/>
      <c r="DI28" s="13"/>
      <c r="DJ28" s="22">
        <f t="shared" si="10"/>
        <v>0</v>
      </c>
      <c r="DK28" s="21"/>
      <c r="DL28" s="22"/>
      <c r="DM28" s="22">
        <f>-[2]Jul!$F$1+[2]Jul!$AK$1</f>
        <v>0</v>
      </c>
      <c r="DN28" s="22">
        <f>[4]Jul!$AB$1</f>
        <v>0</v>
      </c>
      <c r="DO28" s="22">
        <f>[5]Jul!$AB$1</f>
        <v>0</v>
      </c>
      <c r="DP28" s="22">
        <f>[6]Jul!$AB$1</f>
        <v>0</v>
      </c>
      <c r="DQ28" s="22">
        <f>[7]Jul!$Y$1</f>
        <v>0</v>
      </c>
      <c r="DR28" s="22"/>
      <c r="DS28" s="22"/>
      <c r="DT28" s="13"/>
      <c r="DU28" s="22">
        <f t="shared" si="11"/>
        <v>0</v>
      </c>
      <c r="DV28" s="21"/>
      <c r="DW28" s="22"/>
      <c r="DX28" s="22">
        <f>-[2]Aug!$F$1+[2]Aug!$AK$1</f>
        <v>0</v>
      </c>
      <c r="DY28" s="22">
        <f>[4]Aug!$AB$1</f>
        <v>0</v>
      </c>
      <c r="DZ28" s="22">
        <f>[5]Aug!$AB$1</f>
        <v>0</v>
      </c>
      <c r="EA28" s="22">
        <f>[6]Aug!$AB$1</f>
        <v>0</v>
      </c>
      <c r="EB28" s="22">
        <f>[7]Aug!$Y$1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[4]Sep!$AC$1</f>
        <v>0</v>
      </c>
      <c r="I29" s="22">
        <f>[5]Sep!$AC$1</f>
        <v>0</v>
      </c>
      <c r="J29" s="22">
        <f>[6]Sep!$AC$1</f>
        <v>0</v>
      </c>
      <c r="K29" s="22">
        <f>[7]Sep!$Z$1</f>
        <v>0</v>
      </c>
      <c r="L29" s="22">
        <f>-WagesInterface!G4-WagesInterface!G17</f>
        <v>0</v>
      </c>
      <c r="N29" s="21"/>
      <c r="O29" s="22">
        <f t="shared" si="1"/>
        <v>0</v>
      </c>
      <c r="P29" s="21"/>
      <c r="Q29" s="22"/>
      <c r="R29" s="22"/>
      <c r="S29" s="22">
        <f>[4]Oct!$AC$1</f>
        <v>0</v>
      </c>
      <c r="T29" s="22">
        <f>[5]Oct!$AC$1</f>
        <v>0</v>
      </c>
      <c r="U29" s="22">
        <f>[6]Oct!$AC$1</f>
        <v>0</v>
      </c>
      <c r="V29" s="22">
        <f>[7]Oct!$Z$1</f>
        <v>0</v>
      </c>
      <c r="W29" s="22">
        <f>-WagesInterface!G5-WagesInterface!G18</f>
        <v>0</v>
      </c>
      <c r="X29" s="22"/>
      <c r="Y29" s="13"/>
      <c r="Z29" s="22">
        <f t="shared" si="2"/>
        <v>0</v>
      </c>
      <c r="AA29" s="21"/>
      <c r="AB29" s="22"/>
      <c r="AC29" s="22"/>
      <c r="AD29" s="22">
        <f>[4]Nov!$AC$1</f>
        <v>0</v>
      </c>
      <c r="AE29" s="22">
        <f>[5]Nov!$AC$1</f>
        <v>0</v>
      </c>
      <c r="AF29" s="22">
        <f>[6]Nov!$AC$1</f>
        <v>0</v>
      </c>
      <c r="AG29" s="22">
        <f>[7]Nov!$Z$1</f>
        <v>0</v>
      </c>
      <c r="AH29" s="22">
        <f>-WagesInterface!G6-WagesInterface!G19</f>
        <v>0</v>
      </c>
      <c r="AI29" s="22"/>
      <c r="AJ29" s="13"/>
      <c r="AK29" s="22">
        <f t="shared" si="3"/>
        <v>0</v>
      </c>
      <c r="AL29" s="21"/>
      <c r="AM29" s="22"/>
      <c r="AN29" s="22"/>
      <c r="AO29" s="22">
        <f>[4]Dec!$AC$1</f>
        <v>0</v>
      </c>
      <c r="AP29" s="22">
        <f>[5]Dec!$AC$1</f>
        <v>0</v>
      </c>
      <c r="AQ29" s="22">
        <f>[6]Dec!$AC$1</f>
        <v>0</v>
      </c>
      <c r="AR29" s="22">
        <f>[7]Dec!$Z$1</f>
        <v>0</v>
      </c>
      <c r="AS29" s="22">
        <f>-WagesInterface!G7-WagesInterface!G20</f>
        <v>0</v>
      </c>
      <c r="AT29" s="22"/>
      <c r="AU29" s="13"/>
      <c r="AV29" s="22">
        <f t="shared" si="4"/>
        <v>0</v>
      </c>
      <c r="AW29" s="21"/>
      <c r="AX29" s="22"/>
      <c r="AY29" s="22"/>
      <c r="AZ29" s="22">
        <f>[4]Jan!$AC$1</f>
        <v>0</v>
      </c>
      <c r="BA29" s="22">
        <f>[5]Jan!$AC$1</f>
        <v>0</v>
      </c>
      <c r="BB29" s="22">
        <f>[6]Jan!$AC$1</f>
        <v>0</v>
      </c>
      <c r="BC29" s="22">
        <f>[7]Jan!$Z$1</f>
        <v>0</v>
      </c>
      <c r="BD29" s="22">
        <f>-WagesInterface!G8-WagesInterface!G21</f>
        <v>0</v>
      </c>
      <c r="BE29" s="22"/>
      <c r="BF29" s="13"/>
      <c r="BG29" s="22">
        <f t="shared" si="5"/>
        <v>0</v>
      </c>
      <c r="BH29" s="21"/>
      <c r="BI29" s="22"/>
      <c r="BJ29" s="22"/>
      <c r="BK29" s="22">
        <f>[4]Feb!$AC$1</f>
        <v>0</v>
      </c>
      <c r="BL29" s="22">
        <f>[5]Feb!$AC$1</f>
        <v>0</v>
      </c>
      <c r="BM29" s="22">
        <f>[6]Feb!$AC$1</f>
        <v>0</v>
      </c>
      <c r="BN29" s="22">
        <f>[7]Feb!$Z$1</f>
        <v>0</v>
      </c>
      <c r="BO29" s="22">
        <f>-WagesInterface!G9-WagesInterface!G22</f>
        <v>0</v>
      </c>
      <c r="BP29" s="22"/>
      <c r="BQ29" s="13"/>
      <c r="BR29" s="22">
        <f t="shared" si="6"/>
        <v>0</v>
      </c>
      <c r="BS29" s="21"/>
      <c r="BT29" s="22"/>
      <c r="BU29" s="22"/>
      <c r="BV29" s="22">
        <f>[4]Mar!$AC$1</f>
        <v>0</v>
      </c>
      <c r="BW29" s="22">
        <f>[5]Mar!$AC$1</f>
        <v>0</v>
      </c>
      <c r="BX29" s="22">
        <f>[6]Mar!$AC$1</f>
        <v>0</v>
      </c>
      <c r="BY29" s="22">
        <f>[7]Mar!$Z$1</f>
        <v>0</v>
      </c>
      <c r="BZ29" s="22">
        <f>-WagesInterface!G10-WagesInterface!G23</f>
        <v>0</v>
      </c>
      <c r="CA29" s="22"/>
      <c r="CB29" s="13"/>
      <c r="CC29" s="22">
        <f t="shared" si="7"/>
        <v>0</v>
      </c>
      <c r="CD29" s="21"/>
      <c r="CE29" s="22"/>
      <c r="CF29" s="22"/>
      <c r="CG29" s="22">
        <f>[4]Apr!$AC$1</f>
        <v>0</v>
      </c>
      <c r="CH29" s="22">
        <f>[5]Apr!$AC$1</f>
        <v>0</v>
      </c>
      <c r="CI29" s="22">
        <f>[6]Apr!$AC$1</f>
        <v>0</v>
      </c>
      <c r="CJ29" s="22">
        <f>[7]Apr!$Z$1</f>
        <v>0</v>
      </c>
      <c r="CK29" s="22">
        <f>-WagesInterface!G11-WagesInterface!G24</f>
        <v>0</v>
      </c>
      <c r="CL29" s="22"/>
      <c r="CM29" s="13"/>
      <c r="CN29" s="22">
        <f t="shared" si="8"/>
        <v>0</v>
      </c>
      <c r="CO29" s="21"/>
      <c r="CP29" s="22"/>
      <c r="CQ29" s="22"/>
      <c r="CR29" s="22">
        <f>[4]May!$AC$1</f>
        <v>0</v>
      </c>
      <c r="CS29" s="22">
        <f>[5]May!$AC$1</f>
        <v>0</v>
      </c>
      <c r="CT29" s="22">
        <f>[6]May!$AC$1</f>
        <v>0</v>
      </c>
      <c r="CU29" s="22">
        <f>[7]May!$Z$1</f>
        <v>0</v>
      </c>
      <c r="CV29" s="22">
        <f>-WagesInterface!G12-WagesInterface!G25</f>
        <v>0</v>
      </c>
      <c r="CW29" s="22"/>
      <c r="CX29" s="13"/>
      <c r="CY29" s="22">
        <f t="shared" si="9"/>
        <v>0</v>
      </c>
      <c r="CZ29" s="21"/>
      <c r="DA29" s="22"/>
      <c r="DB29" s="22"/>
      <c r="DC29" s="22">
        <f>[4]Jun!$AC$1</f>
        <v>0</v>
      </c>
      <c r="DD29" s="22">
        <f>[5]Jun!$AC$1</f>
        <v>0</v>
      </c>
      <c r="DE29" s="22">
        <f>[6]Jun!$AC$1</f>
        <v>0</v>
      </c>
      <c r="DF29" s="22">
        <f>[7]Jun!$Z$1</f>
        <v>0</v>
      </c>
      <c r="DG29" s="22">
        <f>-WagesInterface!G13-WagesInterface!G26</f>
        <v>0</v>
      </c>
      <c r="DH29" s="22"/>
      <c r="DI29" s="13"/>
      <c r="DJ29" s="22">
        <f t="shared" si="10"/>
        <v>0</v>
      </c>
      <c r="DK29" s="21"/>
      <c r="DL29" s="22"/>
      <c r="DM29" s="22"/>
      <c r="DN29" s="22">
        <f>[4]Jul!$AC$1</f>
        <v>0</v>
      </c>
      <c r="DO29" s="22">
        <f>[5]Jul!$AC$1</f>
        <v>0</v>
      </c>
      <c r="DP29" s="22">
        <f>[6]Jul!$AC$1</f>
        <v>0</v>
      </c>
      <c r="DQ29" s="22">
        <f>[7]Jul!$Z$1</f>
        <v>0</v>
      </c>
      <c r="DR29" s="22">
        <f>-WagesInterface!G14-WagesInterface!G27</f>
        <v>0</v>
      </c>
      <c r="DS29" s="22"/>
      <c r="DT29" s="13"/>
      <c r="DU29" s="22">
        <f t="shared" si="11"/>
        <v>0</v>
      </c>
      <c r="DV29" s="21"/>
      <c r="DW29" s="22"/>
      <c r="DX29" s="22"/>
      <c r="DY29" s="22">
        <f>[4]Aug!$AC$1</f>
        <v>0</v>
      </c>
      <c r="DZ29" s="22">
        <f>[5]Aug!$AC$1</f>
        <v>0</v>
      </c>
      <c r="EA29" s="22">
        <f>[6]Aug!$AC$1</f>
        <v>0</v>
      </c>
      <c r="EB29" s="22">
        <f>[7]Aug!$Z$1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[4]Sep!$AL$1</f>
        <v>0</v>
      </c>
      <c r="I31" s="22">
        <f>[5]Sep!$AL$1</f>
        <v>0</v>
      </c>
      <c r="J31" s="22">
        <f>[6]Sep!$AL$1</f>
        <v>0</v>
      </c>
      <c r="K31" s="22">
        <f>[7]Sep!$AI$1</f>
        <v>0</v>
      </c>
      <c r="L31" s="22"/>
      <c r="N31" s="21"/>
      <c r="O31" s="22">
        <f t="shared" si="1"/>
        <v>0</v>
      </c>
      <c r="P31" s="21"/>
      <c r="Q31" s="22"/>
      <c r="R31" s="22"/>
      <c r="S31" s="22">
        <f>[4]Oct!$AL$1</f>
        <v>0</v>
      </c>
      <c r="T31" s="22">
        <f>[5]Oct!$AL$1</f>
        <v>0</v>
      </c>
      <c r="U31" s="22">
        <f>[6]Oct!$AL$1</f>
        <v>0</v>
      </c>
      <c r="V31" s="22">
        <f>[7]Oct!$AI$1</f>
        <v>0</v>
      </c>
      <c r="W31" s="22"/>
      <c r="X31" s="22"/>
      <c r="Y31" s="13"/>
      <c r="Z31" s="22">
        <f t="shared" si="2"/>
        <v>0</v>
      </c>
      <c r="AA31" s="21"/>
      <c r="AB31" s="22"/>
      <c r="AC31" s="22"/>
      <c r="AD31" s="22">
        <f>[4]Nov!$AL$1</f>
        <v>0</v>
      </c>
      <c r="AE31" s="22">
        <f>[5]Nov!$AL$1</f>
        <v>0</v>
      </c>
      <c r="AF31" s="22">
        <f>[6]Nov!$AL$1</f>
        <v>0</v>
      </c>
      <c r="AG31" s="22">
        <f>[7]Nov!$AI$1</f>
        <v>0</v>
      </c>
      <c r="AH31" s="22"/>
      <c r="AI31" s="22"/>
      <c r="AJ31" s="13"/>
      <c r="AK31" s="22">
        <f t="shared" si="3"/>
        <v>0</v>
      </c>
      <c r="AL31" s="21"/>
      <c r="AM31" s="22"/>
      <c r="AN31" s="22"/>
      <c r="AO31" s="22">
        <f>[4]Dec!$AL$1</f>
        <v>0</v>
      </c>
      <c r="AP31" s="22">
        <f>[5]Dec!$AL$1</f>
        <v>0</v>
      </c>
      <c r="AQ31" s="22">
        <f>[6]Dec!$AL$1</f>
        <v>0</v>
      </c>
      <c r="AR31" s="22">
        <f>[7]Dec!$AI$1</f>
        <v>0</v>
      </c>
      <c r="AS31" s="22"/>
      <c r="AT31" s="22"/>
      <c r="AU31" s="13"/>
      <c r="AV31" s="22">
        <f t="shared" si="4"/>
        <v>0</v>
      </c>
      <c r="AW31" s="21"/>
      <c r="AX31" s="22"/>
      <c r="AY31" s="22"/>
      <c r="AZ31" s="22">
        <f>[4]Jan!$AL$1</f>
        <v>0</v>
      </c>
      <c r="BA31" s="22">
        <f>[5]Jan!$AL$1</f>
        <v>0</v>
      </c>
      <c r="BB31" s="22">
        <f>[6]Jan!$AL$1</f>
        <v>0</v>
      </c>
      <c r="BC31" s="22">
        <f>[7]Jan!$AI$1</f>
        <v>0</v>
      </c>
      <c r="BD31" s="22"/>
      <c r="BE31" s="22"/>
      <c r="BF31" s="13"/>
      <c r="BG31" s="22">
        <f t="shared" si="5"/>
        <v>0</v>
      </c>
      <c r="BH31" s="21"/>
      <c r="BI31" s="22"/>
      <c r="BJ31" s="22"/>
      <c r="BK31" s="22">
        <f>[4]Feb!$AL$1</f>
        <v>0</v>
      </c>
      <c r="BL31" s="22">
        <f>[5]Feb!$AL$1</f>
        <v>0</v>
      </c>
      <c r="BM31" s="22">
        <f>[6]Feb!$AL$1</f>
        <v>0</v>
      </c>
      <c r="BN31" s="22">
        <f>[7]Feb!$AI$1</f>
        <v>0</v>
      </c>
      <c r="BO31" s="22"/>
      <c r="BP31" s="22"/>
      <c r="BQ31" s="13"/>
      <c r="BR31" s="22">
        <f t="shared" si="6"/>
        <v>0</v>
      </c>
      <c r="BS31" s="21"/>
      <c r="BT31" s="22"/>
      <c r="BU31" s="22"/>
      <c r="BV31" s="22">
        <f>[4]Mar!$AL$1</f>
        <v>0</v>
      </c>
      <c r="BW31" s="22">
        <f>[5]Mar!$AL$1</f>
        <v>0</v>
      </c>
      <c r="BX31" s="22">
        <f>[6]Mar!$AL$1</f>
        <v>0</v>
      </c>
      <c r="BY31" s="22">
        <f>[7]Mar!$AI$1</f>
        <v>0</v>
      </c>
      <c r="BZ31" s="22"/>
      <c r="CA31" s="22"/>
      <c r="CB31" s="13"/>
      <c r="CC31" s="22">
        <f t="shared" si="7"/>
        <v>0</v>
      </c>
      <c r="CD31" s="21"/>
      <c r="CE31" s="22"/>
      <c r="CF31" s="22"/>
      <c r="CG31" s="22">
        <f>[4]Apr!$AL$1</f>
        <v>0</v>
      </c>
      <c r="CH31" s="22">
        <f>[5]Apr!$AL$1</f>
        <v>0</v>
      </c>
      <c r="CI31" s="22">
        <f>[6]Apr!$AL$1</f>
        <v>0</v>
      </c>
      <c r="CJ31" s="22">
        <f>[7]Apr!$AI$1</f>
        <v>0</v>
      </c>
      <c r="CK31" s="22"/>
      <c r="CL31" s="22"/>
      <c r="CM31" s="13"/>
      <c r="CN31" s="22">
        <f t="shared" si="8"/>
        <v>0</v>
      </c>
      <c r="CO31" s="21"/>
      <c r="CP31" s="22"/>
      <c r="CQ31" s="22"/>
      <c r="CR31" s="22">
        <f>[4]May!$AL$1</f>
        <v>0</v>
      </c>
      <c r="CS31" s="22">
        <f>[5]May!$AL$1</f>
        <v>0</v>
      </c>
      <c r="CT31" s="22">
        <f>[6]May!$AL$1</f>
        <v>0</v>
      </c>
      <c r="CU31" s="22">
        <f>[7]May!$AI$1</f>
        <v>0</v>
      </c>
      <c r="CV31" s="22"/>
      <c r="CW31" s="22"/>
      <c r="CX31" s="13"/>
      <c r="CY31" s="22">
        <f t="shared" si="9"/>
        <v>0</v>
      </c>
      <c r="CZ31" s="21"/>
      <c r="DA31" s="22"/>
      <c r="DB31" s="22"/>
      <c r="DC31" s="22">
        <f>[4]Jun!$AL$1</f>
        <v>0</v>
      </c>
      <c r="DD31" s="22">
        <f>[5]Jun!$AL$1</f>
        <v>0</v>
      </c>
      <c r="DE31" s="22">
        <f>[6]Jun!$AL$1</f>
        <v>0</v>
      </c>
      <c r="DF31" s="22">
        <f>[7]Jun!$AI$1</f>
        <v>0</v>
      </c>
      <c r="DG31" s="22"/>
      <c r="DH31" s="22"/>
      <c r="DI31" s="13"/>
      <c r="DJ31" s="22">
        <f t="shared" si="10"/>
        <v>0</v>
      </c>
      <c r="DK31" s="21"/>
      <c r="DL31" s="22"/>
      <c r="DM31" s="22"/>
      <c r="DN31" s="22">
        <f>[4]Jul!$AL$1</f>
        <v>0</v>
      </c>
      <c r="DO31" s="22">
        <f>[5]Jul!$AL$1</f>
        <v>0</v>
      </c>
      <c r="DP31" s="22">
        <f>[6]Jul!$AL$1</f>
        <v>0</v>
      </c>
      <c r="DQ31" s="22">
        <f>[7]Jul!$AI$1</f>
        <v>0</v>
      </c>
      <c r="DR31" s="22"/>
      <c r="DS31" s="22"/>
      <c r="DT31" s="13"/>
      <c r="DU31" s="22">
        <f t="shared" si="11"/>
        <v>0</v>
      </c>
      <c r="DV31" s="21"/>
      <c r="DW31" s="22"/>
      <c r="DX31" s="22"/>
      <c r="DY31" s="22">
        <f>[4]Aug!$AL$1</f>
        <v>0</v>
      </c>
      <c r="DZ31" s="22">
        <f>[5]Aug!$AL$1</f>
        <v>0</v>
      </c>
      <c r="EA31" s="22">
        <f>[6]Aug!$AL$1</f>
        <v>0</v>
      </c>
      <c r="EB31" s="22">
        <f>[7]Aug!$AI$1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[3]Sep!$V$1</f>
        <v>0</v>
      </c>
      <c r="G32" s="22">
        <f>-[2]Sep!$AK$1</f>
        <v>0</v>
      </c>
      <c r="H32" s="22">
        <f>-[4]Sep!$O$1+[4]Sep!$AJ$1</f>
        <v>0</v>
      </c>
      <c r="I32" s="22">
        <f>-[5]Sep!$O$1+[5]Sep!$AJ$1</f>
        <v>0</v>
      </c>
      <c r="J32" s="22">
        <f>-[6]Sep!$O$1+[6]Sep!$AJ$1</f>
        <v>0</v>
      </c>
      <c r="K32" s="22">
        <f>[7]Sep!$AG$1</f>
        <v>0</v>
      </c>
      <c r="L32" s="22"/>
      <c r="N32" s="21"/>
      <c r="O32" s="22">
        <f t="shared" si="1"/>
        <v>0</v>
      </c>
      <c r="P32" s="21"/>
      <c r="Q32" s="22">
        <f>[3]Oct!$V$1</f>
        <v>0</v>
      </c>
      <c r="R32" s="22">
        <f>-[2]Oct!$AK$1</f>
        <v>0</v>
      </c>
      <c r="S32" s="22">
        <f>-[4]Oct!$O$1+[4]Oct!$AJ$1</f>
        <v>0</v>
      </c>
      <c r="T32" s="22">
        <f>-[5]Oct!$O$1+[5]Oct!$AJ$1</f>
        <v>0</v>
      </c>
      <c r="U32" s="22">
        <f>-[6]Oct!$O$1+[6]Oct!$AJ$1</f>
        <v>0</v>
      </c>
      <c r="V32" s="22">
        <f>[7]Oct!$AG$1</f>
        <v>0</v>
      </c>
      <c r="W32" s="22"/>
      <c r="X32" s="22"/>
      <c r="Y32" s="13"/>
      <c r="Z32" s="22">
        <f t="shared" si="2"/>
        <v>0</v>
      </c>
      <c r="AA32" s="21"/>
      <c r="AB32" s="22">
        <f>[3]Nov!$V$1</f>
        <v>0</v>
      </c>
      <c r="AC32" s="22">
        <f>-[2]Nov!$AK$1</f>
        <v>0</v>
      </c>
      <c r="AD32" s="22">
        <f>-[4]Nov!$O$1+[4]Nov!$AJ$1</f>
        <v>0</v>
      </c>
      <c r="AE32" s="22">
        <f>-[5]Nov!$O$1+[5]Nov!$AJ$1</f>
        <v>0</v>
      </c>
      <c r="AF32" s="22">
        <f>-[6]Nov!$O$1+[6]Nov!$AJ$1</f>
        <v>0</v>
      </c>
      <c r="AG32" s="22">
        <f>[7]Nov!$AG$1</f>
        <v>0</v>
      </c>
      <c r="AH32" s="22"/>
      <c r="AI32" s="22"/>
      <c r="AJ32" s="13"/>
      <c r="AK32" s="22">
        <f t="shared" si="3"/>
        <v>0</v>
      </c>
      <c r="AL32" s="21"/>
      <c r="AM32" s="22">
        <f>[3]Dec!$V$1</f>
        <v>0</v>
      </c>
      <c r="AN32" s="22">
        <f>-[2]Dec!$AK$1</f>
        <v>0</v>
      </c>
      <c r="AO32" s="22">
        <f>-[4]Dec!$O$1+[4]Dec!$AJ$1</f>
        <v>0</v>
      </c>
      <c r="AP32" s="22">
        <f>-[5]Dec!$O$1+[5]Dec!$AJ$1</f>
        <v>0</v>
      </c>
      <c r="AQ32" s="22">
        <f>-[6]Dec!$O$1+[6]Dec!$AJ$1</f>
        <v>0</v>
      </c>
      <c r="AR32" s="22">
        <f>[7]Dec!$AG$1</f>
        <v>0</v>
      </c>
      <c r="AS32" s="22"/>
      <c r="AT32" s="22"/>
      <c r="AU32" s="13"/>
      <c r="AV32" s="22">
        <f t="shared" si="4"/>
        <v>0</v>
      </c>
      <c r="AW32" s="21"/>
      <c r="AX32" s="22">
        <f>[3]Jan!$V$1</f>
        <v>0</v>
      </c>
      <c r="AY32" s="22">
        <f>-[2]Jan!$AK$1</f>
        <v>0</v>
      </c>
      <c r="AZ32" s="22">
        <f>-[4]Jan!$O$1+[4]Jan!$AJ$1</f>
        <v>0</v>
      </c>
      <c r="BA32" s="22">
        <f>-[5]Jan!$O$1+[5]Jan!$AJ$1</f>
        <v>0</v>
      </c>
      <c r="BB32" s="22">
        <f>-[6]Jan!$O$1+[6]Jan!$AJ$1</f>
        <v>0</v>
      </c>
      <c r="BC32" s="22">
        <f>[7]Jan!$AG$1</f>
        <v>0</v>
      </c>
      <c r="BD32" s="22"/>
      <c r="BE32" s="22"/>
      <c r="BF32" s="13"/>
      <c r="BG32" s="22">
        <f t="shared" si="5"/>
        <v>0</v>
      </c>
      <c r="BH32" s="21"/>
      <c r="BI32" s="22">
        <f>[3]Feb!$V$1</f>
        <v>0</v>
      </c>
      <c r="BJ32" s="22">
        <f>-[2]Feb!$AK$1</f>
        <v>0</v>
      </c>
      <c r="BK32" s="22">
        <f>-[4]Feb!$O$1+[4]Feb!$AJ$1</f>
        <v>0</v>
      </c>
      <c r="BL32" s="22">
        <f>-[5]Feb!$O$1+[5]Feb!$AJ$1</f>
        <v>0</v>
      </c>
      <c r="BM32" s="22">
        <f>-[6]Feb!$O$1+[6]Feb!$AJ$1</f>
        <v>0</v>
      </c>
      <c r="BN32" s="22">
        <f>[7]Feb!$AG$1</f>
        <v>0</v>
      </c>
      <c r="BO32" s="22"/>
      <c r="BP32" s="22"/>
      <c r="BQ32" s="13"/>
      <c r="BR32" s="22">
        <f t="shared" si="6"/>
        <v>0</v>
      </c>
      <c r="BS32" s="21"/>
      <c r="BT32" s="22">
        <f>[3]Mar!$V$1</f>
        <v>0</v>
      </c>
      <c r="BU32" s="22">
        <f>-[2]Mar!$AK$1</f>
        <v>0</v>
      </c>
      <c r="BV32" s="22">
        <f>-[4]Mar!$O$1+[4]Mar!$AJ$1</f>
        <v>0</v>
      </c>
      <c r="BW32" s="22">
        <f>-[5]Mar!$O$1+[5]Mar!$AJ$1</f>
        <v>0</v>
      </c>
      <c r="BX32" s="22">
        <f>-[6]Mar!$O$1+[6]Mar!$AJ$1</f>
        <v>0</v>
      </c>
      <c r="BY32" s="22">
        <f>[7]Mar!$AG$1</f>
        <v>0</v>
      </c>
      <c r="BZ32" s="22"/>
      <c r="CA32" s="22"/>
      <c r="CB32" s="13"/>
      <c r="CC32" s="22">
        <f t="shared" si="7"/>
        <v>0</v>
      </c>
      <c r="CD32" s="21"/>
      <c r="CE32" s="22">
        <f>[3]Apr!$V$1</f>
        <v>0</v>
      </c>
      <c r="CF32" s="22">
        <f>-[2]Apr!$AK$1</f>
        <v>0</v>
      </c>
      <c r="CG32" s="22">
        <f>-[4]Apr!$O$1+[4]Apr!$AJ$1</f>
        <v>0</v>
      </c>
      <c r="CH32" s="22">
        <f>-[5]Apr!$O$1+[5]Apr!$AJ$1</f>
        <v>0</v>
      </c>
      <c r="CI32" s="22">
        <f>-[6]Apr!$O$1+[6]Apr!$AJ$1</f>
        <v>0</v>
      </c>
      <c r="CJ32" s="22">
        <f>[7]Apr!$AG$1</f>
        <v>0</v>
      </c>
      <c r="CK32" s="22"/>
      <c r="CL32" s="22"/>
      <c r="CM32" s="13"/>
      <c r="CN32" s="22">
        <f t="shared" si="8"/>
        <v>0</v>
      </c>
      <c r="CO32" s="21"/>
      <c r="CP32" s="22">
        <f>[3]May!$V$1</f>
        <v>0</v>
      </c>
      <c r="CQ32" s="22">
        <f>-[2]May!$AK$1</f>
        <v>0</v>
      </c>
      <c r="CR32" s="22">
        <f>-[4]May!$O$1+[4]May!$AJ$1</f>
        <v>0</v>
      </c>
      <c r="CS32" s="22">
        <f>-[5]May!$O$1+[5]May!$AJ$1</f>
        <v>0</v>
      </c>
      <c r="CT32" s="22">
        <f>-[6]May!$O$1+[6]May!$AJ$1</f>
        <v>0</v>
      </c>
      <c r="CU32" s="22">
        <f>[7]May!$AG$1</f>
        <v>0</v>
      </c>
      <c r="CV32" s="22"/>
      <c r="CW32" s="22"/>
      <c r="CX32" s="13"/>
      <c r="CY32" s="22">
        <f t="shared" si="9"/>
        <v>0</v>
      </c>
      <c r="CZ32" s="21"/>
      <c r="DA32" s="22">
        <f>[3]Jun!$V$1</f>
        <v>0</v>
      </c>
      <c r="DB32" s="22">
        <f>-[2]Jun!$AK$1</f>
        <v>0</v>
      </c>
      <c r="DC32" s="22">
        <f>-[4]Jun!$O$1+[4]Jun!$AJ$1</f>
        <v>0</v>
      </c>
      <c r="DD32" s="22">
        <f>-[5]Jun!$O$1+[5]Jun!$AJ$1</f>
        <v>0</v>
      </c>
      <c r="DE32" s="22">
        <f>-[6]Jun!$O$1+[6]Jun!$AJ$1</f>
        <v>0</v>
      </c>
      <c r="DF32" s="22">
        <f>[7]Jun!$AG$1</f>
        <v>0</v>
      </c>
      <c r="DG32" s="22"/>
      <c r="DH32" s="22"/>
      <c r="DI32" s="13"/>
      <c r="DJ32" s="22">
        <f t="shared" si="10"/>
        <v>0</v>
      </c>
      <c r="DK32" s="21"/>
      <c r="DL32" s="22">
        <f>[3]Jul!$V$1</f>
        <v>0</v>
      </c>
      <c r="DM32" s="22">
        <f>-[2]Jul!$AK$1</f>
        <v>0</v>
      </c>
      <c r="DN32" s="22">
        <f>-[4]Jul!$O$1+[4]Jul!$AJ$1</f>
        <v>0</v>
      </c>
      <c r="DO32" s="22">
        <f>-[5]Jul!$O$1+[5]Jul!$AJ$1</f>
        <v>0</v>
      </c>
      <c r="DP32" s="22">
        <f>-[6]Jul!$O$1+[6]Jul!$AJ$1</f>
        <v>0</v>
      </c>
      <c r="DQ32" s="22">
        <f>[7]Jul!$AG$1</f>
        <v>0</v>
      </c>
      <c r="DR32" s="22"/>
      <c r="DS32" s="22"/>
      <c r="DT32" s="13"/>
      <c r="DU32" s="22">
        <f t="shared" si="11"/>
        <v>0</v>
      </c>
      <c r="DV32" s="21"/>
      <c r="DW32" s="22">
        <f>[3]Aug!$V$1</f>
        <v>0</v>
      </c>
      <c r="DX32" s="22">
        <f>-[2]Aug!$AK$1</f>
        <v>0</v>
      </c>
      <c r="DY32" s="22">
        <f>-[4]Aug!$O$1+[4]Aug!$AJ$1</f>
        <v>0</v>
      </c>
      <c r="DZ32" s="22">
        <f>-[5]Aug!$O$1+[5]Aug!$AJ$1</f>
        <v>0</v>
      </c>
      <c r="EA32" s="22">
        <f>-[6]Aug!$O$1+[6]Aug!$AJ$1</f>
        <v>0</v>
      </c>
      <c r="EB32" s="22">
        <f>[7]Aug!$AG$1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-[3]Sep!$G$1</f>
        <v>0</v>
      </c>
      <c r="G33" s="22">
        <f>[2]Sep!$G$1</f>
        <v>0</v>
      </c>
      <c r="H33" s="22">
        <f>-[4]Sep!$N$1+[4]Sep!$AI$1</f>
        <v>0</v>
      </c>
      <c r="I33" s="22">
        <f>-[5]Sep!$N$1+[5]Sep!$AI$1</f>
        <v>0</v>
      </c>
      <c r="J33" s="22">
        <f>-[6]Sep!$N$1+[6]Sep!$AI$1</f>
        <v>0</v>
      </c>
      <c r="K33" s="22">
        <f>[7]Sep!$AF$1</f>
        <v>0</v>
      </c>
      <c r="L33" s="22"/>
      <c r="N33" s="21"/>
      <c r="O33" s="22">
        <f t="shared" si="1"/>
        <v>0</v>
      </c>
      <c r="P33" s="21"/>
      <c r="Q33" s="22">
        <f>-[3]Oct!$G$1</f>
        <v>0</v>
      </c>
      <c r="R33" s="22">
        <f>[2]Oct!$G$1</f>
        <v>0</v>
      </c>
      <c r="S33" s="22">
        <f>-[4]Oct!$N$1+[4]Oct!$AI$1</f>
        <v>0</v>
      </c>
      <c r="T33" s="22">
        <f>-[5]Oct!$N$1+[5]Oct!$AI$1</f>
        <v>0</v>
      </c>
      <c r="U33" s="22">
        <f>-[6]Oct!$N$1+[6]Oct!$AI$1</f>
        <v>0</v>
      </c>
      <c r="V33" s="22">
        <f>[7]Oct!$AF$1</f>
        <v>0</v>
      </c>
      <c r="W33" s="22"/>
      <c r="X33" s="22"/>
      <c r="Y33" s="13"/>
      <c r="Z33" s="22">
        <f t="shared" si="2"/>
        <v>0</v>
      </c>
      <c r="AA33" s="21"/>
      <c r="AB33" s="22">
        <f>-[3]Nov!$G$1</f>
        <v>0</v>
      </c>
      <c r="AC33" s="22">
        <f>[2]Nov!$G$1</f>
        <v>0</v>
      </c>
      <c r="AD33" s="22">
        <f>-[4]Nov!$N$1+[4]Nov!$AI$1</f>
        <v>0</v>
      </c>
      <c r="AE33" s="22">
        <f>-[5]Nov!$N$1+[5]Nov!$AI$1</f>
        <v>0</v>
      </c>
      <c r="AF33" s="22">
        <f>-[6]Nov!$N$1+[6]Nov!$AI$1</f>
        <v>0</v>
      </c>
      <c r="AG33" s="22">
        <f>[7]Nov!$AF$1</f>
        <v>0</v>
      </c>
      <c r="AH33" s="22"/>
      <c r="AI33" s="22"/>
      <c r="AJ33" s="13"/>
      <c r="AK33" s="22">
        <f t="shared" si="3"/>
        <v>0</v>
      </c>
      <c r="AL33" s="21"/>
      <c r="AM33" s="22">
        <f>-[3]Dec!$G$1</f>
        <v>0</v>
      </c>
      <c r="AN33" s="22">
        <f>[2]Dec!$G$1</f>
        <v>0</v>
      </c>
      <c r="AO33" s="22">
        <f>-[4]Dec!$N$1+[4]Dec!$AI$1</f>
        <v>0</v>
      </c>
      <c r="AP33" s="22">
        <f>-[5]Dec!$N$1+[5]Dec!$AI$1</f>
        <v>0</v>
      </c>
      <c r="AQ33" s="22">
        <f>-[6]Dec!$N$1+[6]Dec!$AI$1</f>
        <v>0</v>
      </c>
      <c r="AR33" s="22">
        <f>[7]Dec!$AF$1</f>
        <v>0</v>
      </c>
      <c r="AS33" s="22"/>
      <c r="AT33" s="22"/>
      <c r="AU33" s="13"/>
      <c r="AV33" s="22">
        <f t="shared" si="4"/>
        <v>0</v>
      </c>
      <c r="AW33" s="21"/>
      <c r="AX33" s="22">
        <f>-[3]Jan!$G$1</f>
        <v>0</v>
      </c>
      <c r="AY33" s="22">
        <f>[2]Jan!$G$1</f>
        <v>0</v>
      </c>
      <c r="AZ33" s="22">
        <f>-[4]Jan!$N$1+[4]Jan!$AI$1</f>
        <v>0</v>
      </c>
      <c r="BA33" s="22">
        <f>-[5]Jan!$N$1+[5]Jan!$AI$1</f>
        <v>0</v>
      </c>
      <c r="BB33" s="22">
        <f>-[6]Jan!$N$1+[6]Jan!$AI$1</f>
        <v>0</v>
      </c>
      <c r="BC33" s="22">
        <f>[7]Jan!$AF$1</f>
        <v>0</v>
      </c>
      <c r="BD33" s="22"/>
      <c r="BE33" s="22"/>
      <c r="BF33" s="13"/>
      <c r="BG33" s="22">
        <f t="shared" si="5"/>
        <v>0</v>
      </c>
      <c r="BH33" s="21"/>
      <c r="BI33" s="22">
        <f>-[3]Feb!$G$1</f>
        <v>0</v>
      </c>
      <c r="BJ33" s="22">
        <f>[2]Feb!$G$1</f>
        <v>0</v>
      </c>
      <c r="BK33" s="22">
        <f>-[4]Feb!$N$1+[4]Feb!$AI$1</f>
        <v>0</v>
      </c>
      <c r="BL33" s="22">
        <f>-[5]Feb!$N$1+[5]Feb!$AI$1</f>
        <v>0</v>
      </c>
      <c r="BM33" s="22">
        <f>-[6]Feb!$N$1+[6]Feb!$AI$1</f>
        <v>0</v>
      </c>
      <c r="BN33" s="22">
        <f>[7]Feb!$AF$1</f>
        <v>0</v>
      </c>
      <c r="BO33" s="22"/>
      <c r="BP33" s="22"/>
      <c r="BQ33" s="13"/>
      <c r="BR33" s="22">
        <f t="shared" si="6"/>
        <v>0</v>
      </c>
      <c r="BS33" s="21"/>
      <c r="BT33" s="22">
        <f>-[3]Mar!$G$1</f>
        <v>0</v>
      </c>
      <c r="BU33" s="22">
        <f>[2]Mar!$G$1</f>
        <v>0</v>
      </c>
      <c r="BV33" s="22">
        <f>-[4]Mar!$N$1+[4]Mar!$AI$1</f>
        <v>0</v>
      </c>
      <c r="BW33" s="22">
        <f>-[5]Mar!$N$1+[5]Mar!$AI$1</f>
        <v>0</v>
      </c>
      <c r="BX33" s="22">
        <f>-[6]Mar!$N$1+[6]Mar!$AI$1</f>
        <v>0</v>
      </c>
      <c r="BY33" s="22">
        <f>[7]Mar!$AF$1</f>
        <v>0</v>
      </c>
      <c r="BZ33" s="22"/>
      <c r="CA33" s="22"/>
      <c r="CB33" s="13"/>
      <c r="CC33" s="22">
        <f t="shared" si="7"/>
        <v>0</v>
      </c>
      <c r="CD33" s="21"/>
      <c r="CE33" s="22">
        <f>-[3]Apr!$G$1</f>
        <v>0</v>
      </c>
      <c r="CF33" s="22">
        <f>[2]Apr!$G$1</f>
        <v>0</v>
      </c>
      <c r="CG33" s="22">
        <f>-[4]Apr!$N$1+[4]Apr!$AI$1</f>
        <v>0</v>
      </c>
      <c r="CH33" s="22">
        <f>-[5]Apr!$N$1+[5]Apr!$AI$1</f>
        <v>0</v>
      </c>
      <c r="CI33" s="22">
        <f>-[6]Apr!$N$1+[6]Apr!$AI$1</f>
        <v>0</v>
      </c>
      <c r="CJ33" s="22">
        <f>[7]Apr!$AF$1</f>
        <v>0</v>
      </c>
      <c r="CK33" s="22"/>
      <c r="CL33" s="22"/>
      <c r="CM33" s="13"/>
      <c r="CN33" s="22">
        <f t="shared" si="8"/>
        <v>0</v>
      </c>
      <c r="CO33" s="21"/>
      <c r="CP33" s="22">
        <f>-[3]May!$G$1</f>
        <v>0</v>
      </c>
      <c r="CQ33" s="22">
        <f>[2]May!$G$1</f>
        <v>0</v>
      </c>
      <c r="CR33" s="22">
        <f>-[4]May!$N$1+[4]May!$AI$1</f>
        <v>0</v>
      </c>
      <c r="CS33" s="22">
        <f>-[5]May!$N$1+[5]May!$AI$1</f>
        <v>0</v>
      </c>
      <c r="CT33" s="22">
        <f>-[6]May!$N$1+[6]May!$AI$1</f>
        <v>0</v>
      </c>
      <c r="CU33" s="22">
        <f>[7]May!$AF$1</f>
        <v>0</v>
      </c>
      <c r="CV33" s="22"/>
      <c r="CW33" s="22"/>
      <c r="CX33" s="13"/>
      <c r="CY33" s="22">
        <f t="shared" si="9"/>
        <v>0</v>
      </c>
      <c r="CZ33" s="21"/>
      <c r="DA33" s="22">
        <f>-[3]Jun!$G$1</f>
        <v>0</v>
      </c>
      <c r="DB33" s="22">
        <f>[2]Jun!$G$1</f>
        <v>0</v>
      </c>
      <c r="DC33" s="22">
        <f>-[4]Jun!$N$1+[4]Jun!$AI$1</f>
        <v>0</v>
      </c>
      <c r="DD33" s="22">
        <f>-[5]Jun!$N$1+[5]Jun!$AI$1</f>
        <v>0</v>
      </c>
      <c r="DE33" s="22">
        <f>-[6]Jun!$N$1+[6]Jun!$AI$1</f>
        <v>0</v>
      </c>
      <c r="DF33" s="22">
        <f>[7]Jun!$AF$1</f>
        <v>0</v>
      </c>
      <c r="DG33" s="22"/>
      <c r="DH33" s="22"/>
      <c r="DI33" s="13"/>
      <c r="DJ33" s="22">
        <f t="shared" si="10"/>
        <v>0</v>
      </c>
      <c r="DK33" s="21"/>
      <c r="DL33" s="22">
        <f>-[3]Jul!$G$1</f>
        <v>0</v>
      </c>
      <c r="DM33" s="22">
        <f>[2]Jul!$G$1</f>
        <v>0</v>
      </c>
      <c r="DN33" s="22">
        <f>-[4]Jul!$N$1+[4]Jul!$AI$1</f>
        <v>0</v>
      </c>
      <c r="DO33" s="22">
        <f>-[5]Jul!$N$1+[5]Jul!$AI$1</f>
        <v>0</v>
      </c>
      <c r="DP33" s="22">
        <f>-[6]Jul!$N$1+[6]Jul!$AI$1</f>
        <v>0</v>
      </c>
      <c r="DQ33" s="22">
        <f>[7]Jul!$AF$1</f>
        <v>0</v>
      </c>
      <c r="DR33" s="22"/>
      <c r="DS33" s="22"/>
      <c r="DT33" s="13"/>
      <c r="DU33" s="22">
        <f t="shared" si="11"/>
        <v>0</v>
      </c>
      <c r="DV33" s="21"/>
      <c r="DW33" s="22">
        <f>-[3]Aug!$G$1</f>
        <v>0</v>
      </c>
      <c r="DX33" s="22">
        <f>[2]Aug!$G$1</f>
        <v>0</v>
      </c>
      <c r="DY33" s="22">
        <f>-[4]Aug!$N$1+[4]Aug!$AI$1</f>
        <v>0</v>
      </c>
      <c r="DZ33" s="22">
        <f>-[5]Aug!$N$1+[5]Aug!$AI$1</f>
        <v>0</v>
      </c>
      <c r="EA33" s="22">
        <f>-[6]Aug!$N$1+[6]Aug!$AI$1</f>
        <v>0</v>
      </c>
      <c r="EB33" s="22">
        <f>[7]Aug!$AF$1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[4]Sep!$AH$1</f>
        <v>0</v>
      </c>
      <c r="I34" s="22">
        <f>[5]Sep!$AH$1</f>
        <v>0</v>
      </c>
      <c r="J34" s="22">
        <f>[6]Sep!$AH$1</f>
        <v>0</v>
      </c>
      <c r="K34" s="22">
        <f>[7]Sep!$AE$1</f>
        <v>0</v>
      </c>
      <c r="L34" s="22">
        <f>-(WagesInterface!D4+WagesInterface!E4+WagesInterface!H4)-(WagesInterface!D17+WagesInterface!E17+WagesInterface!H17)+(WagesInterface!I4+WagesInterface!I17)</f>
        <v>0</v>
      </c>
      <c r="N34" s="21"/>
      <c r="O34" s="22">
        <f t="shared" si="1"/>
        <v>0</v>
      </c>
      <c r="P34" s="21"/>
      <c r="Q34" s="22"/>
      <c r="R34" s="22"/>
      <c r="S34" s="22">
        <f>[4]Oct!$AH$1</f>
        <v>0</v>
      </c>
      <c r="T34" s="22">
        <f>[5]Oct!$AH$1</f>
        <v>0</v>
      </c>
      <c r="U34" s="22">
        <f>[6]Oct!$AH$1</f>
        <v>0</v>
      </c>
      <c r="V34" s="22">
        <f>[7]Oct!$AE$1</f>
        <v>0</v>
      </c>
      <c r="W34" s="22">
        <f>-(WagesInterface!D5+WagesInterface!E5+WagesInterface!H5)-(WagesInterface!D18+WagesInterface!E18+WagesInterface!H18)+(WagesInterface!I5+WagesInterface!I18)</f>
        <v>0</v>
      </c>
      <c r="X34" s="22"/>
      <c r="Y34" s="13"/>
      <c r="Z34" s="22">
        <f t="shared" si="2"/>
        <v>0</v>
      </c>
      <c r="AA34" s="21"/>
      <c r="AB34" s="22"/>
      <c r="AC34" s="22"/>
      <c r="AD34" s="22">
        <f>[4]Nov!$AH$1</f>
        <v>0</v>
      </c>
      <c r="AE34" s="22">
        <f>[5]Nov!$AH$1</f>
        <v>0</v>
      </c>
      <c r="AF34" s="22">
        <f>[6]Nov!$AH$1</f>
        <v>0</v>
      </c>
      <c r="AG34" s="22">
        <f>[7]Nov!$AE$1</f>
        <v>0</v>
      </c>
      <c r="AH34" s="22">
        <f>-(WagesInterface!D6+WagesInterface!E6+WagesInterface!H6)-(WagesInterface!D19+WagesInterface!E19+WagesInterface!H19)+(WagesInterface!I6+WagesInterface!I19)</f>
        <v>0</v>
      </c>
      <c r="AI34" s="22"/>
      <c r="AJ34" s="13"/>
      <c r="AK34" s="22">
        <f t="shared" si="3"/>
        <v>0</v>
      </c>
      <c r="AL34" s="21"/>
      <c r="AM34" s="22"/>
      <c r="AN34" s="22"/>
      <c r="AO34" s="22">
        <f>[4]Dec!$AH$1</f>
        <v>0</v>
      </c>
      <c r="AP34" s="22">
        <f>[5]Dec!$AH$1</f>
        <v>0</v>
      </c>
      <c r="AQ34" s="22">
        <f>[6]Dec!$AH$1</f>
        <v>0</v>
      </c>
      <c r="AR34" s="22">
        <f>[7]Dec!$AE$1</f>
        <v>0</v>
      </c>
      <c r="AS34" s="22">
        <f>-(WagesInterface!D7+WagesInterface!E7+WagesInterface!H7)-(WagesInterface!D20+WagesInterface!E20+WagesInterface!H20)+(WagesInterface!I7+WagesInterface!I20)</f>
        <v>0</v>
      </c>
      <c r="AT34" s="22"/>
      <c r="AU34" s="13"/>
      <c r="AV34" s="22">
        <f t="shared" si="4"/>
        <v>0</v>
      </c>
      <c r="AW34" s="21"/>
      <c r="AX34" s="22"/>
      <c r="AY34" s="22"/>
      <c r="AZ34" s="22">
        <f>[4]Jan!$AH$1</f>
        <v>0</v>
      </c>
      <c r="BA34" s="22">
        <f>[5]Jan!$AH$1</f>
        <v>0</v>
      </c>
      <c r="BB34" s="22">
        <f>[6]Jan!$AH$1</f>
        <v>0</v>
      </c>
      <c r="BC34" s="22">
        <f>[7]Jan!$AE$1</f>
        <v>0</v>
      </c>
      <c r="BD34" s="22">
        <f>-(WagesInterface!D8+WagesInterface!E8+WagesInterface!H8)-(WagesInterface!D21+WagesInterface!E21+WagesInterface!H21)+(WagesInterface!I8+WagesInterface!I21)</f>
        <v>0</v>
      </c>
      <c r="BE34" s="22"/>
      <c r="BF34" s="13"/>
      <c r="BG34" s="22">
        <f t="shared" si="5"/>
        <v>0</v>
      </c>
      <c r="BH34" s="21"/>
      <c r="BI34" s="22"/>
      <c r="BJ34" s="22"/>
      <c r="BK34" s="22">
        <f>[4]Feb!$AH$1</f>
        <v>0</v>
      </c>
      <c r="BL34" s="22">
        <f>[5]Feb!$AH$1</f>
        <v>0</v>
      </c>
      <c r="BM34" s="22">
        <f>[6]Feb!$AH$1</f>
        <v>0</v>
      </c>
      <c r="BN34" s="22">
        <f>[7]Feb!$AE$1</f>
        <v>0</v>
      </c>
      <c r="BO34" s="22">
        <f>-(WagesInterface!D9+WagesInterface!E9+WagesInterface!H9)-(WagesInterface!D22+WagesInterface!E22+WagesInterface!H22)+(WagesInterface!I9+WagesInterface!I22)</f>
        <v>0</v>
      </c>
      <c r="BP34" s="22"/>
      <c r="BQ34" s="13"/>
      <c r="BR34" s="22">
        <f t="shared" si="6"/>
        <v>0</v>
      </c>
      <c r="BS34" s="21"/>
      <c r="BT34" s="22"/>
      <c r="BU34" s="22"/>
      <c r="BV34" s="22">
        <f>[4]Mar!$AH$1</f>
        <v>0</v>
      </c>
      <c r="BW34" s="22">
        <f>[5]Mar!$AH$1</f>
        <v>0</v>
      </c>
      <c r="BX34" s="22">
        <f>[6]Mar!$AH$1</f>
        <v>0</v>
      </c>
      <c r="BY34" s="22">
        <f>[7]Mar!$AE$1</f>
        <v>0</v>
      </c>
      <c r="BZ34" s="22">
        <f>-(WagesInterface!D10+WagesInterface!E10+WagesInterface!H10)-(WagesInterface!D23+WagesInterface!E23+WagesInterface!H23)+(WagesInterface!I10+WagesInterface!I23)</f>
        <v>0</v>
      </c>
      <c r="CA34" s="22"/>
      <c r="CB34" s="13"/>
      <c r="CC34" s="22">
        <f t="shared" si="7"/>
        <v>0</v>
      </c>
      <c r="CD34" s="21"/>
      <c r="CE34" s="22"/>
      <c r="CF34" s="22"/>
      <c r="CG34" s="22">
        <f>[4]Apr!$AH$1</f>
        <v>0</v>
      </c>
      <c r="CH34" s="22">
        <f>[5]Apr!$AH$1</f>
        <v>0</v>
      </c>
      <c r="CI34" s="22">
        <f>[6]Apr!$AH$1</f>
        <v>0</v>
      </c>
      <c r="CJ34" s="22">
        <f>[7]Apr!$AE$1</f>
        <v>0</v>
      </c>
      <c r="CK34" s="22">
        <f>-(WagesInterface!D11+WagesInterface!E11+WagesInterface!H11)-(WagesInterface!D24+WagesInterface!E24+WagesInterface!H24)+(WagesInterface!I11+WagesInterface!I24)</f>
        <v>0</v>
      </c>
      <c r="CL34" s="22"/>
      <c r="CM34" s="13"/>
      <c r="CN34" s="22">
        <f t="shared" si="8"/>
        <v>0</v>
      </c>
      <c r="CO34" s="21"/>
      <c r="CP34" s="22"/>
      <c r="CQ34" s="22"/>
      <c r="CR34" s="22">
        <f>[4]May!$AH$1</f>
        <v>0</v>
      </c>
      <c r="CS34" s="22">
        <f>[5]May!$AH$1</f>
        <v>0</v>
      </c>
      <c r="CT34" s="22">
        <f>[6]May!$AH$1</f>
        <v>0</v>
      </c>
      <c r="CU34" s="22">
        <f>[7]May!$AE$1</f>
        <v>0</v>
      </c>
      <c r="CV34" s="22">
        <f>-(WagesInterface!D12+WagesInterface!E12+WagesInterface!H12)-(WagesInterface!D25+WagesInterface!E25+WagesInterface!H25)+(WagesInterface!I12+WagesInterface!I25)</f>
        <v>0</v>
      </c>
      <c r="CW34" s="22"/>
      <c r="CX34" s="13"/>
      <c r="CY34" s="22">
        <f t="shared" si="9"/>
        <v>0</v>
      </c>
      <c r="CZ34" s="21"/>
      <c r="DA34" s="22"/>
      <c r="DB34" s="22"/>
      <c r="DC34" s="22">
        <f>[4]Jun!$AH$1</f>
        <v>0</v>
      </c>
      <c r="DD34" s="22">
        <f>[5]Jun!$AH$1</f>
        <v>0</v>
      </c>
      <c r="DE34" s="22">
        <f>[6]Jun!$AH$1</f>
        <v>0</v>
      </c>
      <c r="DF34" s="22">
        <f>[7]Jun!$AE$1</f>
        <v>0</v>
      </c>
      <c r="DG34" s="22">
        <f>-(WagesInterface!D13+WagesInterface!E13+WagesInterface!H13)-(WagesInterface!D26+WagesInterface!E26+WagesInterface!H26)+(WagesInterface!I13+WagesInterface!I26)</f>
        <v>0</v>
      </c>
      <c r="DH34" s="22"/>
      <c r="DI34" s="13"/>
      <c r="DJ34" s="22">
        <f t="shared" si="10"/>
        <v>0</v>
      </c>
      <c r="DK34" s="21"/>
      <c r="DL34" s="22"/>
      <c r="DM34" s="22"/>
      <c r="DN34" s="22">
        <f>[4]Jul!$AH$1</f>
        <v>0</v>
      </c>
      <c r="DO34" s="22">
        <f>[5]Jul!$AH$1</f>
        <v>0</v>
      </c>
      <c r="DP34" s="22">
        <f>[6]Jul!$AH$1</f>
        <v>0</v>
      </c>
      <c r="DQ34" s="22">
        <f>[7]Jul!$AE$1</f>
        <v>0</v>
      </c>
      <c r="DR34" s="22">
        <f>-(WagesInterface!D14+WagesInterface!E14+WagesInterface!H14)-(WagesInterface!D27+WagesInterface!E27+WagesInterface!H27)+(WagesInterface!I14+WagesInterface!I27)</f>
        <v>0</v>
      </c>
      <c r="DS34" s="22"/>
      <c r="DT34" s="13"/>
      <c r="DU34" s="22">
        <f t="shared" si="11"/>
        <v>0</v>
      </c>
      <c r="DV34" s="21"/>
      <c r="DW34" s="22"/>
      <c r="DX34" s="22"/>
      <c r="DY34" s="22">
        <f>[4]Aug!$AH$1</f>
        <v>0</v>
      </c>
      <c r="DZ34" s="22">
        <f>[5]Aug!$AH$1</f>
        <v>0</v>
      </c>
      <c r="EA34" s="22">
        <f>[6]Aug!$AH$1</f>
        <v>0</v>
      </c>
      <c r="EB34" s="22">
        <f>[7]Aug!$AE$1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[4]Sep!$AK$1</f>
        <v>0</v>
      </c>
      <c r="I35" s="22">
        <f>[5]Sep!$AK$1</f>
        <v>0</v>
      </c>
      <c r="J35" s="22">
        <f>[6]Sep!$AK$1</f>
        <v>0</v>
      </c>
      <c r="K35" s="22">
        <f>[7]Sep!$AH$1</f>
        <v>0</v>
      </c>
      <c r="L35" s="22"/>
      <c r="N35" s="21"/>
      <c r="O35" s="22">
        <f t="shared" si="1"/>
        <v>0</v>
      </c>
      <c r="P35" s="21"/>
      <c r="Q35" s="22"/>
      <c r="R35" s="22"/>
      <c r="S35" s="22">
        <f>[4]Oct!$AK$1</f>
        <v>0</v>
      </c>
      <c r="T35" s="22">
        <f>[5]Oct!$AK$1</f>
        <v>0</v>
      </c>
      <c r="U35" s="22">
        <f>[6]Oct!$AK$1</f>
        <v>0</v>
      </c>
      <c r="V35" s="22">
        <f>[7]Oct!$AH$1</f>
        <v>0</v>
      </c>
      <c r="W35" s="22"/>
      <c r="X35" s="22"/>
      <c r="Y35" s="13"/>
      <c r="Z35" s="22">
        <f t="shared" si="2"/>
        <v>0</v>
      </c>
      <c r="AA35" s="21"/>
      <c r="AB35" s="22"/>
      <c r="AC35" s="22"/>
      <c r="AD35" s="22">
        <f>[4]Nov!$AK$1</f>
        <v>0</v>
      </c>
      <c r="AE35" s="22">
        <f>[5]Nov!$AK$1</f>
        <v>0</v>
      </c>
      <c r="AF35" s="22">
        <f>[6]Nov!$AK$1</f>
        <v>0</v>
      </c>
      <c r="AG35" s="22">
        <f>[7]Nov!$AH$1</f>
        <v>0</v>
      </c>
      <c r="AH35" s="22"/>
      <c r="AI35" s="22"/>
      <c r="AJ35" s="13"/>
      <c r="AK35" s="22">
        <f t="shared" si="3"/>
        <v>0</v>
      </c>
      <c r="AL35" s="21"/>
      <c r="AM35" s="22"/>
      <c r="AN35" s="22"/>
      <c r="AO35" s="22">
        <f>[4]Dec!$AK$1</f>
        <v>0</v>
      </c>
      <c r="AP35" s="22">
        <f>[5]Dec!$AK$1</f>
        <v>0</v>
      </c>
      <c r="AQ35" s="22">
        <f>[6]Dec!$AK$1</f>
        <v>0</v>
      </c>
      <c r="AR35" s="22">
        <f>[7]Dec!$AH$1</f>
        <v>0</v>
      </c>
      <c r="AS35" s="22"/>
      <c r="AT35" s="22"/>
      <c r="AU35" s="13"/>
      <c r="AV35" s="22">
        <f t="shared" si="4"/>
        <v>0</v>
      </c>
      <c r="AW35" s="21"/>
      <c r="AX35" s="22"/>
      <c r="AY35" s="22"/>
      <c r="AZ35" s="22">
        <f>[4]Jan!$AK$1</f>
        <v>0</v>
      </c>
      <c r="BA35" s="22">
        <f>[5]Jan!$AK$1</f>
        <v>0</v>
      </c>
      <c r="BB35" s="22">
        <f>[6]Jan!$AK$1</f>
        <v>0</v>
      </c>
      <c r="BC35" s="22">
        <f>[7]Jan!$AH$1</f>
        <v>0</v>
      </c>
      <c r="BD35" s="22"/>
      <c r="BE35" s="22"/>
      <c r="BF35" s="13"/>
      <c r="BG35" s="22">
        <f t="shared" si="5"/>
        <v>0</v>
      </c>
      <c r="BH35" s="21"/>
      <c r="BI35" s="22"/>
      <c r="BJ35" s="22"/>
      <c r="BK35" s="22">
        <f>[4]Feb!$AK$1</f>
        <v>0</v>
      </c>
      <c r="BL35" s="22">
        <f>[5]Feb!$AK$1</f>
        <v>0</v>
      </c>
      <c r="BM35" s="22">
        <f>[6]Feb!$AK$1</f>
        <v>0</v>
      </c>
      <c r="BN35" s="22">
        <f>[7]Feb!$AH$1</f>
        <v>0</v>
      </c>
      <c r="BO35" s="22"/>
      <c r="BP35" s="22"/>
      <c r="BQ35" s="13"/>
      <c r="BR35" s="22">
        <f t="shared" si="6"/>
        <v>0</v>
      </c>
      <c r="BS35" s="21"/>
      <c r="BT35" s="22"/>
      <c r="BU35" s="22"/>
      <c r="BV35" s="22">
        <f>[4]Mar!$AK$1</f>
        <v>0</v>
      </c>
      <c r="BW35" s="22">
        <f>[5]Mar!$AK$1</f>
        <v>0</v>
      </c>
      <c r="BX35" s="22">
        <f>[6]Mar!$AK$1</f>
        <v>0</v>
      </c>
      <c r="BY35" s="22">
        <f>[7]Mar!$AH$1</f>
        <v>0</v>
      </c>
      <c r="BZ35" s="22"/>
      <c r="CA35" s="22"/>
      <c r="CB35" s="13"/>
      <c r="CC35" s="22">
        <f t="shared" si="7"/>
        <v>0</v>
      </c>
      <c r="CD35" s="21"/>
      <c r="CE35" s="22"/>
      <c r="CF35" s="22"/>
      <c r="CG35" s="22">
        <f>[4]Apr!$AK$1</f>
        <v>0</v>
      </c>
      <c r="CH35" s="22">
        <f>[5]Apr!$AK$1</f>
        <v>0</v>
      </c>
      <c r="CI35" s="22">
        <f>[6]Apr!$AK$1</f>
        <v>0</v>
      </c>
      <c r="CJ35" s="22">
        <f>[7]Apr!$AH$1</f>
        <v>0</v>
      </c>
      <c r="CK35" s="22"/>
      <c r="CL35" s="22"/>
      <c r="CM35" s="13"/>
      <c r="CN35" s="22">
        <f t="shared" si="8"/>
        <v>0</v>
      </c>
      <c r="CO35" s="21"/>
      <c r="CP35" s="22"/>
      <c r="CQ35" s="22"/>
      <c r="CR35" s="22">
        <f>[4]May!$AK$1</f>
        <v>0</v>
      </c>
      <c r="CS35" s="22">
        <f>[5]May!$AK$1</f>
        <v>0</v>
      </c>
      <c r="CT35" s="22">
        <f>[6]May!$AK$1</f>
        <v>0</v>
      </c>
      <c r="CU35" s="22">
        <f>[7]May!$AH$1</f>
        <v>0</v>
      </c>
      <c r="CV35" s="22"/>
      <c r="CW35" s="22"/>
      <c r="CX35" s="13"/>
      <c r="CY35" s="22">
        <f t="shared" si="9"/>
        <v>0</v>
      </c>
      <c r="CZ35" s="21"/>
      <c r="DA35" s="22"/>
      <c r="DB35" s="22"/>
      <c r="DC35" s="22">
        <f>[4]Jun!$AK$1</f>
        <v>0</v>
      </c>
      <c r="DD35" s="22">
        <f>[5]Jun!$AK$1</f>
        <v>0</v>
      </c>
      <c r="DE35" s="22">
        <f>[6]Jun!$AK$1</f>
        <v>0</v>
      </c>
      <c r="DF35" s="22">
        <f>[7]Jun!$AH$1</f>
        <v>0</v>
      </c>
      <c r="DG35" s="22"/>
      <c r="DH35" s="22"/>
      <c r="DI35" s="13"/>
      <c r="DJ35" s="22">
        <f t="shared" si="10"/>
        <v>0</v>
      </c>
      <c r="DK35" s="21"/>
      <c r="DL35" s="22"/>
      <c r="DM35" s="22"/>
      <c r="DN35" s="22">
        <f>[4]Jul!$AK$1</f>
        <v>0</v>
      </c>
      <c r="DO35" s="22">
        <f>[5]Jul!$AK$1</f>
        <v>0</v>
      </c>
      <c r="DP35" s="22">
        <f>[6]Jul!$AK$1</f>
        <v>0</v>
      </c>
      <c r="DQ35" s="22">
        <f>[7]Jul!$AH$1</f>
        <v>0</v>
      </c>
      <c r="DR35" s="22"/>
      <c r="DS35" s="22"/>
      <c r="DT35" s="13"/>
      <c r="DU35" s="22">
        <f t="shared" si="11"/>
        <v>0</v>
      </c>
      <c r="DV35" s="21"/>
      <c r="DW35" s="22"/>
      <c r="DX35" s="22"/>
      <c r="DY35" s="22">
        <f>[4]Aug!$AK$1</f>
        <v>0</v>
      </c>
      <c r="DZ35" s="22">
        <f>[5]Aug!$AK$1</f>
        <v>0</v>
      </c>
      <c r="EA35" s="22">
        <f>[6]Aug!$AK$1</f>
        <v>0</v>
      </c>
      <c r="EB35" s="22">
        <f>[7]Aug!$AH$1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-[4]Sep!$L$1+[4]Sep!$AF$1</f>
        <v>0</v>
      </c>
      <c r="I37" s="22">
        <f>-[5]Sep!$L$1+[5]Sep!$AF$1</f>
        <v>0</v>
      </c>
      <c r="J37" s="22">
        <f>-[6]Sep!$L$1+[6]Sep!$AF$1</f>
        <v>0</v>
      </c>
      <c r="K37" s="22">
        <f>-[7]Sep!$L$1+[7]Sep!$AC$1</f>
        <v>0</v>
      </c>
      <c r="L37" s="22"/>
      <c r="N37" s="21"/>
      <c r="O37" s="22">
        <f t="shared" si="1"/>
        <v>0</v>
      </c>
      <c r="P37" s="21"/>
      <c r="Q37" s="22"/>
      <c r="R37" s="22"/>
      <c r="S37" s="22">
        <f>-[4]Oct!$L$1+[4]Oct!$AF$1</f>
        <v>0</v>
      </c>
      <c r="T37" s="22">
        <f>-[5]Oct!$L$1+[5]Oct!$AF$1</f>
        <v>0</v>
      </c>
      <c r="U37" s="22">
        <f>-[6]Oct!$L$1+[6]Oct!$AF$1</f>
        <v>0</v>
      </c>
      <c r="V37" s="22">
        <f>-[7]Oct!$L$1+[7]Oct!$AC$1</f>
        <v>0</v>
      </c>
      <c r="W37" s="22"/>
      <c r="X37" s="22"/>
      <c r="Y37" s="13"/>
      <c r="Z37" s="22">
        <f t="shared" si="2"/>
        <v>0</v>
      </c>
      <c r="AA37" s="21"/>
      <c r="AB37" s="22"/>
      <c r="AC37" s="22"/>
      <c r="AD37" s="22">
        <f>-[4]Nov!$L$1+[4]Nov!$AF$1</f>
        <v>0</v>
      </c>
      <c r="AE37" s="22">
        <f>-[5]Nov!$L$1+[5]Nov!$AF$1</f>
        <v>0</v>
      </c>
      <c r="AF37" s="22">
        <f>-[6]Nov!$L$1+[6]Nov!$AF$1</f>
        <v>0</v>
      </c>
      <c r="AG37" s="22">
        <f>-[7]Nov!$L$1+[7]Nov!$AC$1</f>
        <v>0</v>
      </c>
      <c r="AH37" s="22"/>
      <c r="AI37" s="22"/>
      <c r="AJ37" s="13"/>
      <c r="AK37" s="22">
        <f t="shared" si="3"/>
        <v>0</v>
      </c>
      <c r="AL37" s="21"/>
      <c r="AM37" s="22"/>
      <c r="AN37" s="22"/>
      <c r="AO37" s="22">
        <f>-[4]Dec!$L$1+[4]Dec!$AF$1</f>
        <v>0</v>
      </c>
      <c r="AP37" s="22">
        <f>-[5]Dec!$L$1+[5]Dec!$AF$1</f>
        <v>0</v>
      </c>
      <c r="AQ37" s="22">
        <f>-[6]Dec!$L$1+[6]Dec!$AF$1</f>
        <v>0</v>
      </c>
      <c r="AR37" s="22">
        <f>-[7]Dec!$L$1+[7]Dec!$AC$1</f>
        <v>0</v>
      </c>
      <c r="AS37" s="22"/>
      <c r="AT37" s="22"/>
      <c r="AU37" s="13"/>
      <c r="AV37" s="22">
        <f t="shared" si="4"/>
        <v>0</v>
      </c>
      <c r="AW37" s="21"/>
      <c r="AX37" s="22"/>
      <c r="AY37" s="22"/>
      <c r="AZ37" s="22">
        <f>-[4]Jan!$L$1+[4]Jan!$AF$1</f>
        <v>0</v>
      </c>
      <c r="BA37" s="22">
        <f>-[5]Jan!$L$1+[5]Jan!$AF$1</f>
        <v>0</v>
      </c>
      <c r="BB37" s="22">
        <f>-[6]Jan!$L$1+[6]Jan!$AF$1</f>
        <v>0</v>
      </c>
      <c r="BC37" s="22">
        <f>-[7]Jan!$L$1+[7]Jan!$AC$1</f>
        <v>0</v>
      </c>
      <c r="BD37" s="22"/>
      <c r="BE37" s="22"/>
      <c r="BF37" s="13"/>
      <c r="BG37" s="22">
        <f t="shared" si="5"/>
        <v>0</v>
      </c>
      <c r="BH37" s="21"/>
      <c r="BI37" s="22"/>
      <c r="BJ37" s="22"/>
      <c r="BK37" s="22">
        <f>-[4]Feb!$L$1+[4]Feb!$AF$1</f>
        <v>0</v>
      </c>
      <c r="BL37" s="22">
        <f>-[5]Feb!$L$1+[5]Feb!$AF$1</f>
        <v>0</v>
      </c>
      <c r="BM37" s="22">
        <f>-[6]Feb!$L$1+[6]Feb!$AF$1</f>
        <v>0</v>
      </c>
      <c r="BN37" s="22">
        <f>-[7]Feb!$L$1+[7]Feb!$AC$1</f>
        <v>0</v>
      </c>
      <c r="BO37" s="22"/>
      <c r="BP37" s="22"/>
      <c r="BQ37" s="13"/>
      <c r="BR37" s="22">
        <f t="shared" si="6"/>
        <v>0</v>
      </c>
      <c r="BS37" s="21"/>
      <c r="BT37" s="22"/>
      <c r="BU37" s="22"/>
      <c r="BV37" s="22">
        <f>-[4]Mar!$L$1+[4]Mar!$AF$1</f>
        <v>0</v>
      </c>
      <c r="BW37" s="22">
        <f>-[5]Mar!$L$1+[5]Mar!$AF$1</f>
        <v>0</v>
      </c>
      <c r="BX37" s="22">
        <f>-[6]Mar!$L$1+[6]Mar!$AF$1</f>
        <v>0</v>
      </c>
      <c r="BY37" s="22">
        <f>-[7]Mar!$L$1+[7]Mar!$AC$1</f>
        <v>0</v>
      </c>
      <c r="BZ37" s="22"/>
      <c r="CA37" s="22"/>
      <c r="CB37" s="13"/>
      <c r="CC37" s="22">
        <f t="shared" si="7"/>
        <v>0</v>
      </c>
      <c r="CD37" s="21"/>
      <c r="CE37" s="22"/>
      <c r="CF37" s="22"/>
      <c r="CG37" s="22">
        <f>-[4]Apr!$L$1+[4]Apr!$AF$1</f>
        <v>0</v>
      </c>
      <c r="CH37" s="22">
        <f>-[5]Apr!$L$1+[5]Apr!$AF$1</f>
        <v>0</v>
      </c>
      <c r="CI37" s="22">
        <f>-[6]Apr!$L$1+[6]Apr!$AF$1</f>
        <v>0</v>
      </c>
      <c r="CJ37" s="22">
        <f>-[7]Apr!$L$1+[7]Apr!$AC$1</f>
        <v>0</v>
      </c>
      <c r="CK37" s="22"/>
      <c r="CL37" s="22"/>
      <c r="CM37" s="13"/>
      <c r="CN37" s="22">
        <f t="shared" si="8"/>
        <v>0</v>
      </c>
      <c r="CO37" s="21"/>
      <c r="CP37" s="22"/>
      <c r="CQ37" s="22"/>
      <c r="CR37" s="22">
        <f>-[4]May!$L$1+[4]May!$AF$1</f>
        <v>0</v>
      </c>
      <c r="CS37" s="22">
        <f>-[5]May!$L$1+[5]May!$AF$1</f>
        <v>0</v>
      </c>
      <c r="CT37" s="22">
        <f>-[6]May!$L$1+[6]May!$AF$1</f>
        <v>0</v>
      </c>
      <c r="CU37" s="22">
        <f>-[7]May!$L$1+[7]May!$AC$1</f>
        <v>0</v>
      </c>
      <c r="CV37" s="22"/>
      <c r="CW37" s="22"/>
      <c r="CX37" s="13"/>
      <c r="CY37" s="22">
        <f t="shared" si="9"/>
        <v>0</v>
      </c>
      <c r="CZ37" s="21"/>
      <c r="DA37" s="22"/>
      <c r="DB37" s="22"/>
      <c r="DC37" s="22">
        <f>-[4]Jun!$L$1+[4]Jun!$AF$1</f>
        <v>0</v>
      </c>
      <c r="DD37" s="22">
        <f>-[5]Jun!$L$1+[5]Jun!$AF$1</f>
        <v>0</v>
      </c>
      <c r="DE37" s="22">
        <f>-[6]Jun!$L$1+[6]Jun!$AF$1</f>
        <v>0</v>
      </c>
      <c r="DF37" s="22">
        <f>-[7]Jun!$L$1+[7]Jun!$AC$1</f>
        <v>0</v>
      </c>
      <c r="DG37" s="22"/>
      <c r="DH37" s="22"/>
      <c r="DI37" s="13"/>
      <c r="DJ37" s="22">
        <f t="shared" si="10"/>
        <v>0</v>
      </c>
      <c r="DK37" s="21"/>
      <c r="DL37" s="22"/>
      <c r="DM37" s="22"/>
      <c r="DN37" s="22">
        <f>-[4]Jul!$L$1+[4]Jul!$AF$1</f>
        <v>0</v>
      </c>
      <c r="DO37" s="22">
        <f>-[5]Jul!$L$1+[5]Jul!$AF$1</f>
        <v>0</v>
      </c>
      <c r="DP37" s="22">
        <f>-[6]Jul!$L$1+[6]Jul!$AF$1</f>
        <v>0</v>
      </c>
      <c r="DQ37" s="22">
        <f>-[7]Jul!$L$1+[7]Jul!$AC$1</f>
        <v>0</v>
      </c>
      <c r="DR37" s="22"/>
      <c r="DS37" s="22"/>
      <c r="DT37" s="13"/>
      <c r="DU37" s="22">
        <f t="shared" si="11"/>
        <v>0</v>
      </c>
      <c r="DV37" s="21"/>
      <c r="DW37" s="22"/>
      <c r="DX37" s="22"/>
      <c r="DY37" s="22">
        <f>-[4]Aug!$L$1+[4]Aug!$AF$1</f>
        <v>0</v>
      </c>
      <c r="DZ37" s="22">
        <f>-[5]Aug!$L$1+[5]Aug!$AF$1</f>
        <v>0</v>
      </c>
      <c r="EA37" s="22">
        <f>-[6]Aug!$L$1+[6]Aug!$AF$1</f>
        <v>0</v>
      </c>
      <c r="EB37" s="22">
        <f>-[7]Aug!$L$1+[7]Aug!$AC$1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-[4]Sep!$P$1+[4]Sep!$AM$1</f>
        <v>0</v>
      </c>
      <c r="I39" s="22">
        <f>-[5]Sep!$P$1+[5]Sep!$AM$1</f>
        <v>0</v>
      </c>
      <c r="J39" s="22">
        <f>-[6]Sep!$P$1+[6]Sep!$AM$1</f>
        <v>0</v>
      </c>
      <c r="K39" s="22">
        <f>-[7]Sep!$N$1+[7]Sep!$AJ$1</f>
        <v>0</v>
      </c>
      <c r="L39" s="22"/>
      <c r="N39" s="21"/>
      <c r="O39" s="22">
        <f t="shared" si="1"/>
        <v>0</v>
      </c>
      <c r="P39" s="21"/>
      <c r="Q39" s="22"/>
      <c r="R39" s="22"/>
      <c r="S39" s="22">
        <f>-[4]Oct!$P$1+[4]Oct!$AM$1</f>
        <v>0</v>
      </c>
      <c r="T39" s="22">
        <f>-[5]Oct!$P$1+[5]Oct!$AM$1</f>
        <v>0</v>
      </c>
      <c r="U39" s="22">
        <f>-[6]Oct!$P$1+[6]Oct!$AM$1</f>
        <v>0</v>
      </c>
      <c r="V39" s="22">
        <f>-[7]Oct!$N$1+[7]Oct!$AJ$1</f>
        <v>0</v>
      </c>
      <c r="W39" s="22"/>
      <c r="X39" s="22"/>
      <c r="Y39" s="13"/>
      <c r="Z39" s="22">
        <f t="shared" si="2"/>
        <v>0</v>
      </c>
      <c r="AA39" s="21"/>
      <c r="AB39" s="22"/>
      <c r="AC39" s="22"/>
      <c r="AD39" s="22">
        <f>-[4]Nov!$P$1+[4]Nov!$AM$1</f>
        <v>0</v>
      </c>
      <c r="AE39" s="22">
        <f>-[5]Nov!$P$1+[5]Nov!$AM$1</f>
        <v>0</v>
      </c>
      <c r="AF39" s="22">
        <f>-[6]Nov!$P$1+[6]Nov!$AM$1</f>
        <v>0</v>
      </c>
      <c r="AG39" s="22">
        <f>-[7]Nov!$N$1+[7]Nov!$AJ$1</f>
        <v>0</v>
      </c>
      <c r="AH39" s="22"/>
      <c r="AI39" s="22"/>
      <c r="AJ39" s="13"/>
      <c r="AK39" s="22">
        <f t="shared" si="3"/>
        <v>0</v>
      </c>
      <c r="AL39" s="21"/>
      <c r="AM39" s="22"/>
      <c r="AN39" s="22"/>
      <c r="AO39" s="22">
        <f>-[4]Dec!$P$1+[4]Dec!$AM$1</f>
        <v>0</v>
      </c>
      <c r="AP39" s="22">
        <f>-[5]Dec!$P$1+[5]Dec!$AM$1</f>
        <v>0</v>
      </c>
      <c r="AQ39" s="22">
        <f>-[6]Dec!$P$1+[6]Dec!$AM$1</f>
        <v>0</v>
      </c>
      <c r="AR39" s="22">
        <f>-[7]Dec!$N$1+[7]Dec!$AJ$1</f>
        <v>0</v>
      </c>
      <c r="AS39" s="22"/>
      <c r="AT39" s="22"/>
      <c r="AU39" s="13"/>
      <c r="AV39" s="22">
        <f t="shared" si="4"/>
        <v>0</v>
      </c>
      <c r="AW39" s="21"/>
      <c r="AX39" s="22"/>
      <c r="AY39" s="22"/>
      <c r="AZ39" s="22">
        <f>-[4]Jan!$P$1+[4]Jan!$AM$1</f>
        <v>0</v>
      </c>
      <c r="BA39" s="22">
        <f>-[5]Jan!$P$1+[5]Jan!$AM$1</f>
        <v>0</v>
      </c>
      <c r="BB39" s="22">
        <f>-[6]Jan!$P$1+[6]Jan!$AM$1</f>
        <v>0</v>
      </c>
      <c r="BC39" s="22">
        <f>-[7]Jan!$N$1+[7]Jan!$AJ$1</f>
        <v>0</v>
      </c>
      <c r="BD39" s="22"/>
      <c r="BE39" s="22"/>
      <c r="BF39" s="13"/>
      <c r="BG39" s="22">
        <f t="shared" si="5"/>
        <v>0</v>
      </c>
      <c r="BH39" s="21"/>
      <c r="BI39" s="22"/>
      <c r="BJ39" s="22"/>
      <c r="BK39" s="22">
        <f>-[4]Feb!$P$1+[4]Feb!$AM$1</f>
        <v>0</v>
      </c>
      <c r="BL39" s="22">
        <f>-[5]Feb!$P$1+[5]Feb!$AM$1</f>
        <v>0</v>
      </c>
      <c r="BM39" s="22">
        <f>-[6]Feb!$P$1+[6]Feb!$AM$1</f>
        <v>0</v>
      </c>
      <c r="BN39" s="22">
        <f>-[7]Feb!$N$1+[7]Feb!$AJ$1</f>
        <v>0</v>
      </c>
      <c r="BO39" s="22"/>
      <c r="BP39" s="22"/>
      <c r="BQ39" s="13"/>
      <c r="BR39" s="22">
        <f t="shared" si="6"/>
        <v>0</v>
      </c>
      <c r="BS39" s="21"/>
      <c r="BT39" s="22"/>
      <c r="BU39" s="22"/>
      <c r="BV39" s="22">
        <f>-[4]Mar!$P$1+[4]Mar!$AM$1</f>
        <v>0</v>
      </c>
      <c r="BW39" s="22">
        <f>-[5]Mar!$P$1+[5]Mar!$AM$1</f>
        <v>0</v>
      </c>
      <c r="BX39" s="22">
        <f>-[6]Mar!$P$1+[6]Mar!$AM$1</f>
        <v>0</v>
      </c>
      <c r="BY39" s="22">
        <f>-[7]Mar!$N$1+[7]Mar!$AJ$1</f>
        <v>0</v>
      </c>
      <c r="BZ39" s="22"/>
      <c r="CA39" s="22"/>
      <c r="CB39" s="13"/>
      <c r="CC39" s="22">
        <f t="shared" si="7"/>
        <v>0</v>
      </c>
      <c r="CD39" s="21"/>
      <c r="CE39" s="22"/>
      <c r="CF39" s="22"/>
      <c r="CG39" s="22">
        <f>-[4]Apr!$P$1+[4]Apr!$AM$1</f>
        <v>0</v>
      </c>
      <c r="CH39" s="22">
        <f>-[5]Apr!$P$1+[5]Apr!$AM$1</f>
        <v>0</v>
      </c>
      <c r="CI39" s="22">
        <f>-[6]Apr!$P$1+[6]Apr!$AM$1</f>
        <v>0</v>
      </c>
      <c r="CJ39" s="22">
        <f>-[7]Apr!$N$1+[7]Apr!$AJ$1</f>
        <v>0</v>
      </c>
      <c r="CK39" s="22"/>
      <c r="CL39" s="22"/>
      <c r="CM39" s="13"/>
      <c r="CN39" s="22">
        <f t="shared" si="8"/>
        <v>0</v>
      </c>
      <c r="CO39" s="21"/>
      <c r="CP39" s="22"/>
      <c r="CQ39" s="22"/>
      <c r="CR39" s="22">
        <f>-[4]May!$P$1+[4]May!$AM$1</f>
        <v>0</v>
      </c>
      <c r="CS39" s="22">
        <f>-[5]May!$P$1+[5]May!$AM$1</f>
        <v>0</v>
      </c>
      <c r="CT39" s="22">
        <f>-[6]May!$P$1+[6]May!$AM$1</f>
        <v>0</v>
      </c>
      <c r="CU39" s="22">
        <f>-[7]May!$N$1+[7]May!$AJ$1</f>
        <v>0</v>
      </c>
      <c r="CV39" s="22"/>
      <c r="CW39" s="22"/>
      <c r="CX39" s="13"/>
      <c r="CY39" s="22">
        <f t="shared" si="9"/>
        <v>0</v>
      </c>
      <c r="CZ39" s="21"/>
      <c r="DA39" s="22"/>
      <c r="DB39" s="22"/>
      <c r="DC39" s="22">
        <f>-[4]Jun!$P$1+[4]Jun!$AM$1</f>
        <v>0</v>
      </c>
      <c r="DD39" s="22">
        <f>-[5]Jun!$P$1+[5]Jun!$AM$1</f>
        <v>0</v>
      </c>
      <c r="DE39" s="22">
        <f>-[6]Jun!$P$1+[6]Jun!$AM$1</f>
        <v>0</v>
      </c>
      <c r="DF39" s="22">
        <f>-[7]Jun!$N$1+[7]Jun!$AJ$1</f>
        <v>0</v>
      </c>
      <c r="DG39" s="22"/>
      <c r="DH39" s="22"/>
      <c r="DI39" s="13"/>
      <c r="DJ39" s="22">
        <f t="shared" si="10"/>
        <v>0</v>
      </c>
      <c r="DK39" s="21"/>
      <c r="DL39" s="22"/>
      <c r="DM39" s="22"/>
      <c r="DN39" s="22">
        <f>-[4]Jul!$P$1+[4]Jul!$AM$1</f>
        <v>0</v>
      </c>
      <c r="DO39" s="22">
        <f>-[5]Jul!$P$1+[5]Jul!$AM$1</f>
        <v>0</v>
      </c>
      <c r="DP39" s="22">
        <f>-[6]Jul!$P$1+[6]Jul!$AM$1</f>
        <v>0</v>
      </c>
      <c r="DQ39" s="22">
        <f>-[7]Jul!$N$1+[7]Jul!$AJ$1</f>
        <v>0</v>
      </c>
      <c r="DR39" s="22"/>
      <c r="DS39" s="22"/>
      <c r="DT39" s="13"/>
      <c r="DU39" s="22">
        <f t="shared" si="11"/>
        <v>0</v>
      </c>
      <c r="DV39" s="21"/>
      <c r="DW39" s="22"/>
      <c r="DX39" s="22"/>
      <c r="DY39" s="22">
        <f>-[4]Aug!$P$1+[4]Aug!$AM$1</f>
        <v>0</v>
      </c>
      <c r="DZ39" s="22">
        <f>-[5]Aug!$P$1+[5]Aug!$AM$1</f>
        <v>0</v>
      </c>
      <c r="EA39" s="22">
        <f>-[6]Aug!$P$1+[6]Aug!$AM$1</f>
        <v>0</v>
      </c>
      <c r="EB39" s="22">
        <f>-[7]Aug!$N$1+[7]Aug!$AJ$1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-[4]Sep!$M$1+[4]Sep!$AG$1</f>
        <v>0</v>
      </c>
      <c r="I40" s="22">
        <f>-[5]Sep!$M$1+[5]Sep!$AG$1</f>
        <v>0</v>
      </c>
      <c r="J40" s="22">
        <f>-[6]Sep!$M$1+[6]Sep!$AG$1</f>
        <v>0</v>
      </c>
      <c r="K40" s="22">
        <f>-[7]Sep!$M$1+[7]Sep!$AD$1</f>
        <v>0</v>
      </c>
      <c r="L40" s="22"/>
      <c r="N40" s="21"/>
      <c r="O40" s="22">
        <f t="shared" si="1"/>
        <v>0</v>
      </c>
      <c r="P40" s="21"/>
      <c r="Q40" s="22"/>
      <c r="R40" s="22"/>
      <c r="S40" s="22">
        <f>-[4]Oct!$M$1+[4]Oct!$AG$1</f>
        <v>0</v>
      </c>
      <c r="T40" s="22">
        <f>-[5]Oct!$M$1+[5]Oct!$AG$1</f>
        <v>0</v>
      </c>
      <c r="U40" s="22">
        <f>-[6]Oct!$M$1+[6]Oct!$AG$1</f>
        <v>0</v>
      </c>
      <c r="V40" s="22">
        <f>-[7]Oct!$M$1+[7]Oct!$AD$1</f>
        <v>0</v>
      </c>
      <c r="W40" s="22"/>
      <c r="X40" s="22"/>
      <c r="Y40" s="13"/>
      <c r="Z40" s="22">
        <f t="shared" si="2"/>
        <v>0</v>
      </c>
      <c r="AA40" s="21"/>
      <c r="AB40" s="22"/>
      <c r="AC40" s="22"/>
      <c r="AD40" s="22">
        <f>-[4]Nov!$M$1+[4]Nov!$AG$1</f>
        <v>0</v>
      </c>
      <c r="AE40" s="22">
        <f>-[5]Nov!$M$1+[5]Nov!$AG$1</f>
        <v>0</v>
      </c>
      <c r="AF40" s="22">
        <f>-[6]Nov!$M$1+[6]Nov!$AG$1</f>
        <v>0</v>
      </c>
      <c r="AG40" s="22">
        <f>-[7]Nov!$M$1+[7]Nov!$AD$1</f>
        <v>0</v>
      </c>
      <c r="AH40" s="22"/>
      <c r="AI40" s="22"/>
      <c r="AJ40" s="13"/>
      <c r="AK40" s="22">
        <f t="shared" si="3"/>
        <v>0</v>
      </c>
      <c r="AL40" s="21"/>
      <c r="AM40" s="22"/>
      <c r="AN40" s="22"/>
      <c r="AO40" s="22">
        <f>-[4]Dec!$M$1+[4]Dec!$AG$1</f>
        <v>0</v>
      </c>
      <c r="AP40" s="22">
        <f>-[5]Dec!$M$1+[5]Dec!$AG$1</f>
        <v>0</v>
      </c>
      <c r="AQ40" s="22">
        <f>-[6]Dec!$M$1+[6]Dec!$AG$1</f>
        <v>0</v>
      </c>
      <c r="AR40" s="22">
        <f>-[7]Dec!$M$1+[7]Dec!$AD$1</f>
        <v>0</v>
      </c>
      <c r="AS40" s="22"/>
      <c r="AT40" s="22"/>
      <c r="AU40" s="13"/>
      <c r="AV40" s="22">
        <f t="shared" si="4"/>
        <v>0</v>
      </c>
      <c r="AW40" s="21"/>
      <c r="AX40" s="22"/>
      <c r="AY40" s="22"/>
      <c r="AZ40" s="22">
        <f>-[4]Jan!$M$1+[4]Jan!$AG$1</f>
        <v>0</v>
      </c>
      <c r="BA40" s="22">
        <f>-[5]Jan!$M$1+[5]Jan!$AG$1</f>
        <v>0</v>
      </c>
      <c r="BB40" s="22">
        <f>-[6]Jan!$M$1+[6]Jan!$AG$1</f>
        <v>0</v>
      </c>
      <c r="BC40" s="22">
        <f>-[7]Jan!$M$1+[7]Jan!$AD$1</f>
        <v>0</v>
      </c>
      <c r="BD40" s="22"/>
      <c r="BE40" s="22"/>
      <c r="BF40" s="13"/>
      <c r="BG40" s="22">
        <f t="shared" si="5"/>
        <v>0</v>
      </c>
      <c r="BH40" s="21"/>
      <c r="BI40" s="22"/>
      <c r="BJ40" s="22"/>
      <c r="BK40" s="22">
        <f>-[4]Feb!$M$1+[4]Feb!$AG$1</f>
        <v>0</v>
      </c>
      <c r="BL40" s="22">
        <f>-[5]Feb!$M$1+[5]Feb!$AG$1</f>
        <v>0</v>
      </c>
      <c r="BM40" s="22">
        <f>-[6]Feb!$M$1+[6]Feb!$AG$1</f>
        <v>0</v>
      </c>
      <c r="BN40" s="22">
        <f>-[7]Feb!$M$1+[7]Feb!$AD$1</f>
        <v>0</v>
      </c>
      <c r="BO40" s="22"/>
      <c r="BP40" s="22"/>
      <c r="BQ40" s="13"/>
      <c r="BR40" s="22">
        <f t="shared" si="6"/>
        <v>0</v>
      </c>
      <c r="BS40" s="21"/>
      <c r="BT40" s="22"/>
      <c r="BU40" s="22"/>
      <c r="BV40" s="22">
        <f>-[4]Mar!$M$1+[4]Mar!$AG$1</f>
        <v>0</v>
      </c>
      <c r="BW40" s="22">
        <f>-[5]Mar!$M$1+[5]Mar!$AG$1</f>
        <v>0</v>
      </c>
      <c r="BX40" s="22">
        <f>-[6]Mar!$M$1+[6]Mar!$AG$1</f>
        <v>0</v>
      </c>
      <c r="BY40" s="22">
        <f>-[7]Mar!$M$1+[7]Mar!$AD$1</f>
        <v>0</v>
      </c>
      <c r="BZ40" s="22"/>
      <c r="CA40" s="22"/>
      <c r="CB40" s="13"/>
      <c r="CC40" s="22">
        <f t="shared" si="7"/>
        <v>0</v>
      </c>
      <c r="CD40" s="21"/>
      <c r="CE40" s="22"/>
      <c r="CF40" s="22"/>
      <c r="CG40" s="22">
        <f>-[4]Apr!$M$1+[4]Apr!$AG$1</f>
        <v>0</v>
      </c>
      <c r="CH40" s="22">
        <f>-[5]Apr!$M$1+[5]Apr!$AG$1</f>
        <v>0</v>
      </c>
      <c r="CI40" s="22">
        <f>-[6]Apr!$M$1+[6]Apr!$AG$1</f>
        <v>0</v>
      </c>
      <c r="CJ40" s="22">
        <f>-[7]Apr!$M$1+[7]Apr!$AD$1</f>
        <v>0</v>
      </c>
      <c r="CK40" s="22"/>
      <c r="CL40" s="22"/>
      <c r="CM40" s="13"/>
      <c r="CN40" s="22">
        <f t="shared" si="8"/>
        <v>0</v>
      </c>
      <c r="CO40" s="21"/>
      <c r="CP40" s="22"/>
      <c r="CQ40" s="22"/>
      <c r="CR40" s="22">
        <f>-[4]May!$M$1+[4]May!$AG$1</f>
        <v>0</v>
      </c>
      <c r="CS40" s="22">
        <f>-[5]May!$M$1+[5]May!$AG$1</f>
        <v>0</v>
      </c>
      <c r="CT40" s="22">
        <f>-[6]May!$M$1+[6]May!$AG$1</f>
        <v>0</v>
      </c>
      <c r="CU40" s="22">
        <f>-[7]May!$M$1+[7]May!$AD$1</f>
        <v>0</v>
      </c>
      <c r="CV40" s="22"/>
      <c r="CW40" s="22"/>
      <c r="CX40" s="13"/>
      <c r="CY40" s="22">
        <f t="shared" si="9"/>
        <v>0</v>
      </c>
      <c r="CZ40" s="21"/>
      <c r="DA40" s="22"/>
      <c r="DB40" s="22"/>
      <c r="DC40" s="22">
        <f>-[4]Jun!$M$1+[4]Jun!$AG$1</f>
        <v>0</v>
      </c>
      <c r="DD40" s="22">
        <f>-[5]Jun!$M$1+[5]Jun!$AG$1</f>
        <v>0</v>
      </c>
      <c r="DE40" s="22">
        <f>-[6]Jun!$M$1+[6]Jun!$AG$1</f>
        <v>0</v>
      </c>
      <c r="DF40" s="22">
        <f>-[7]Jun!$M$1+[7]Jun!$AD$1</f>
        <v>0</v>
      </c>
      <c r="DG40" s="22"/>
      <c r="DH40" s="22"/>
      <c r="DI40" s="13"/>
      <c r="DJ40" s="22">
        <f t="shared" si="10"/>
        <v>0</v>
      </c>
      <c r="DK40" s="21"/>
      <c r="DL40" s="22"/>
      <c r="DM40" s="22"/>
      <c r="DN40" s="22">
        <f>-[4]Jul!$M$1+[4]Jul!$AG$1</f>
        <v>0</v>
      </c>
      <c r="DO40" s="22">
        <f>-[5]Jul!$M$1+[5]Jul!$AG$1</f>
        <v>0</v>
      </c>
      <c r="DP40" s="22">
        <f>-[6]Jul!$M$1+[6]Jul!$AG$1</f>
        <v>0</v>
      </c>
      <c r="DQ40" s="22">
        <f>-[7]Jul!$M$1+[7]Jul!$AD$1</f>
        <v>0</v>
      </c>
      <c r="DR40" s="22"/>
      <c r="DS40" s="22"/>
      <c r="DT40" s="13"/>
      <c r="DU40" s="22">
        <f t="shared" si="11"/>
        <v>0</v>
      </c>
      <c r="DV40" s="21"/>
      <c r="DW40" s="22"/>
      <c r="DX40" s="22"/>
      <c r="DY40" s="22">
        <f>-[4]Aug!$M$1+[4]Aug!$AG$1</f>
        <v>0</v>
      </c>
      <c r="DZ40" s="22">
        <f>-[5]Aug!$M$1+[5]Aug!$AG$1</f>
        <v>0</v>
      </c>
      <c r="EA40" s="22">
        <f>-[6]Aug!$M$1+[6]Aug!$AG$1</f>
        <v>0</v>
      </c>
      <c r="EB40" s="22">
        <f>-[7]Aug!$M$1+[7]Aug!$AD$1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-[3]Sep!$O$1</f>
        <v>0</v>
      </c>
      <c r="G53" s="22"/>
      <c r="H53" s="22"/>
      <c r="I53" s="22"/>
      <c r="J53" s="22"/>
      <c r="K53" s="22"/>
      <c r="L53" s="22"/>
      <c r="N53" s="21"/>
      <c r="O53" s="22">
        <f t="shared" ref="O53:O58" si="14">SUM(D53:N53)</f>
        <v>0</v>
      </c>
      <c r="P53" s="21"/>
      <c r="Q53" s="22">
        <f>-[3]Oct!$O$1</f>
        <v>0</v>
      </c>
      <c r="R53" s="22"/>
      <c r="S53" s="22"/>
      <c r="T53" s="22"/>
      <c r="U53" s="22"/>
      <c r="V53" s="22"/>
      <c r="W53" s="22"/>
      <c r="X53" s="22"/>
      <c r="Y53" s="13"/>
      <c r="Z53" s="22">
        <f t="shared" ref="Z53:Z58" si="15">SUM(O53:Y53)</f>
        <v>0</v>
      </c>
      <c r="AA53" s="21"/>
      <c r="AB53" s="22">
        <f>-[3]Nov!$O$1</f>
        <v>0</v>
      </c>
      <c r="AC53" s="22"/>
      <c r="AD53" s="22"/>
      <c r="AE53" s="22"/>
      <c r="AF53" s="22"/>
      <c r="AG53" s="22"/>
      <c r="AH53" s="22"/>
      <c r="AI53" s="22"/>
      <c r="AJ53" s="13"/>
      <c r="AK53" s="22">
        <f t="shared" ref="AK53:AK58" si="16">SUM(Z53:AJ53)</f>
        <v>0</v>
      </c>
      <c r="AL53" s="21"/>
      <c r="AM53" s="22">
        <f>-[3]Dec!$O$1</f>
        <v>0</v>
      </c>
      <c r="AN53" s="22"/>
      <c r="AO53" s="22"/>
      <c r="AP53" s="22"/>
      <c r="AQ53" s="22"/>
      <c r="AR53" s="22"/>
      <c r="AS53" s="22"/>
      <c r="AT53" s="22"/>
      <c r="AU53" s="13"/>
      <c r="AV53" s="22">
        <f t="shared" ref="AV53:AV58" si="17">SUM(AK53:AU53)</f>
        <v>0</v>
      </c>
      <c r="AW53" s="21"/>
      <c r="AX53" s="22">
        <f>-[3]Jan!$O$1</f>
        <v>0</v>
      </c>
      <c r="AY53" s="22"/>
      <c r="AZ53" s="22"/>
      <c r="BA53" s="22"/>
      <c r="BB53" s="22"/>
      <c r="BC53" s="22"/>
      <c r="BD53" s="22"/>
      <c r="BE53" s="22"/>
      <c r="BF53" s="13"/>
      <c r="BG53" s="22">
        <f t="shared" ref="BG53:BG58" si="18">SUM(AV53:BF53)</f>
        <v>0</v>
      </c>
      <c r="BH53" s="21"/>
      <c r="BI53" s="22">
        <f>-[3]Feb!$O$1</f>
        <v>0</v>
      </c>
      <c r="BJ53" s="22"/>
      <c r="BK53" s="22"/>
      <c r="BL53" s="22"/>
      <c r="BM53" s="22"/>
      <c r="BN53" s="22"/>
      <c r="BO53" s="22"/>
      <c r="BP53" s="22"/>
      <c r="BQ53" s="13"/>
      <c r="BR53" s="22">
        <f t="shared" ref="BR53:BR58" si="19">SUM(BG53:BQ53)</f>
        <v>0</v>
      </c>
      <c r="BS53" s="21"/>
      <c r="BT53" s="22">
        <f>-[3]Mar!$O$1</f>
        <v>0</v>
      </c>
      <c r="BU53" s="22"/>
      <c r="BV53" s="22"/>
      <c r="BW53" s="22"/>
      <c r="BX53" s="22"/>
      <c r="BY53" s="22"/>
      <c r="BZ53" s="22"/>
      <c r="CA53" s="22"/>
      <c r="CB53" s="13"/>
      <c r="CC53" s="22">
        <f t="shared" ref="CC53:CC58" si="20">SUM(BR53:CB53)</f>
        <v>0</v>
      </c>
      <c r="CD53" s="21"/>
      <c r="CE53" s="22">
        <f>-[3]Apr!$O$1</f>
        <v>0</v>
      </c>
      <c r="CF53" s="22"/>
      <c r="CG53" s="22"/>
      <c r="CH53" s="22"/>
      <c r="CI53" s="22"/>
      <c r="CJ53" s="22"/>
      <c r="CK53" s="22"/>
      <c r="CL53" s="22"/>
      <c r="CM53" s="13"/>
      <c r="CN53" s="22">
        <f t="shared" ref="CN53:CN58" si="21">SUM(CC53:CM53)</f>
        <v>0</v>
      </c>
      <c r="CO53" s="21"/>
      <c r="CP53" s="22">
        <f>-[3]May!$O$1</f>
        <v>0</v>
      </c>
      <c r="CQ53" s="22"/>
      <c r="CR53" s="22"/>
      <c r="CS53" s="22"/>
      <c r="CT53" s="22"/>
      <c r="CU53" s="22"/>
      <c r="CV53" s="22"/>
      <c r="CW53" s="22"/>
      <c r="CX53" s="13"/>
      <c r="CY53" s="22">
        <f t="shared" ref="CY53:CY58" si="22">SUM(CN53:CX53)</f>
        <v>0</v>
      </c>
      <c r="CZ53" s="21"/>
      <c r="DA53" s="22">
        <f>-[3]Jun!$O$1</f>
        <v>0</v>
      </c>
      <c r="DB53" s="22"/>
      <c r="DC53" s="22"/>
      <c r="DD53" s="22"/>
      <c r="DE53" s="22"/>
      <c r="DF53" s="22"/>
      <c r="DG53" s="22"/>
      <c r="DH53" s="22"/>
      <c r="DI53" s="13"/>
      <c r="DJ53" s="22">
        <f t="shared" ref="DJ53:DJ58" si="23">SUM(CY53:DI53)</f>
        <v>0</v>
      </c>
      <c r="DK53" s="21"/>
      <c r="DL53" s="22">
        <f>-[3]Jul!$O$1</f>
        <v>0</v>
      </c>
      <c r="DM53" s="22"/>
      <c r="DN53" s="22"/>
      <c r="DO53" s="22"/>
      <c r="DP53" s="22"/>
      <c r="DQ53" s="22"/>
      <c r="DR53" s="22"/>
      <c r="DS53" s="22"/>
      <c r="DT53" s="13"/>
      <c r="DU53" s="22">
        <f t="shared" ref="DU53:DU58" si="24">SUM(DJ53:DT53)</f>
        <v>0</v>
      </c>
      <c r="DV53" s="21"/>
      <c r="DW53" s="22">
        <f>-[3]Aug!$O$1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-[3]Sep!$P$1</f>
        <v>0</v>
      </c>
      <c r="G54" s="22"/>
      <c r="H54" s="22"/>
      <c r="I54" s="22"/>
      <c r="J54" s="22"/>
      <c r="K54" s="22"/>
      <c r="L54" s="22"/>
      <c r="N54" s="21"/>
      <c r="O54" s="22">
        <f t="shared" si="14"/>
        <v>0</v>
      </c>
      <c r="P54" s="21"/>
      <c r="Q54" s="22">
        <f>-[3]Oct!$P$1</f>
        <v>0</v>
      </c>
      <c r="R54" s="22"/>
      <c r="S54" s="22"/>
      <c r="T54" s="22"/>
      <c r="U54" s="22"/>
      <c r="V54" s="22"/>
      <c r="W54" s="22"/>
      <c r="X54" s="22"/>
      <c r="Y54" s="13"/>
      <c r="Z54" s="22">
        <f t="shared" si="15"/>
        <v>0</v>
      </c>
      <c r="AA54" s="21"/>
      <c r="AB54" s="22">
        <f>-[3]Nov!$P$1</f>
        <v>0</v>
      </c>
      <c r="AC54" s="22"/>
      <c r="AD54" s="22"/>
      <c r="AE54" s="22"/>
      <c r="AF54" s="22"/>
      <c r="AG54" s="22"/>
      <c r="AH54" s="22"/>
      <c r="AI54" s="22"/>
      <c r="AJ54" s="13"/>
      <c r="AK54" s="22">
        <f t="shared" si="16"/>
        <v>0</v>
      </c>
      <c r="AL54" s="21"/>
      <c r="AM54" s="22">
        <f>-[3]Dec!$P$1</f>
        <v>0</v>
      </c>
      <c r="AN54" s="22"/>
      <c r="AO54" s="22"/>
      <c r="AP54" s="22"/>
      <c r="AQ54" s="22"/>
      <c r="AR54" s="22"/>
      <c r="AS54" s="22"/>
      <c r="AT54" s="22"/>
      <c r="AU54" s="13"/>
      <c r="AV54" s="22">
        <f t="shared" si="17"/>
        <v>0</v>
      </c>
      <c r="AW54" s="21"/>
      <c r="AX54" s="22">
        <f>-[3]Jan!$P$1</f>
        <v>0</v>
      </c>
      <c r="AY54" s="22"/>
      <c r="AZ54" s="22"/>
      <c r="BA54" s="22"/>
      <c r="BB54" s="22"/>
      <c r="BC54" s="22"/>
      <c r="BD54" s="22"/>
      <c r="BE54" s="22"/>
      <c r="BF54" s="13"/>
      <c r="BG54" s="22">
        <f t="shared" si="18"/>
        <v>0</v>
      </c>
      <c r="BH54" s="21"/>
      <c r="BI54" s="22">
        <f>-[3]Feb!$P$1</f>
        <v>0</v>
      </c>
      <c r="BJ54" s="22"/>
      <c r="BK54" s="22"/>
      <c r="BL54" s="22"/>
      <c r="BM54" s="22"/>
      <c r="BN54" s="22"/>
      <c r="BO54" s="22"/>
      <c r="BP54" s="22"/>
      <c r="BQ54" s="13"/>
      <c r="BR54" s="22">
        <f t="shared" si="19"/>
        <v>0</v>
      </c>
      <c r="BS54" s="21"/>
      <c r="BT54" s="22">
        <f>-[3]Mar!$P$1</f>
        <v>0</v>
      </c>
      <c r="BU54" s="22"/>
      <c r="BV54" s="22"/>
      <c r="BW54" s="22"/>
      <c r="BX54" s="22"/>
      <c r="BY54" s="22"/>
      <c r="BZ54" s="22"/>
      <c r="CA54" s="22"/>
      <c r="CB54" s="13"/>
      <c r="CC54" s="22">
        <f t="shared" si="20"/>
        <v>0</v>
      </c>
      <c r="CD54" s="21"/>
      <c r="CE54" s="22">
        <f>-[3]Apr!$P$1</f>
        <v>0</v>
      </c>
      <c r="CF54" s="22"/>
      <c r="CG54" s="22"/>
      <c r="CH54" s="22"/>
      <c r="CI54" s="22"/>
      <c r="CJ54" s="22"/>
      <c r="CK54" s="22"/>
      <c r="CL54" s="22"/>
      <c r="CM54" s="13"/>
      <c r="CN54" s="22">
        <f t="shared" si="21"/>
        <v>0</v>
      </c>
      <c r="CO54" s="21"/>
      <c r="CP54" s="22">
        <f>-[3]May!$P$1</f>
        <v>0</v>
      </c>
      <c r="CQ54" s="22"/>
      <c r="CR54" s="22"/>
      <c r="CS54" s="22"/>
      <c r="CT54" s="22"/>
      <c r="CU54" s="22"/>
      <c r="CV54" s="22"/>
      <c r="CW54" s="22"/>
      <c r="CX54" s="13"/>
      <c r="CY54" s="22">
        <f t="shared" si="22"/>
        <v>0</v>
      </c>
      <c r="CZ54" s="21"/>
      <c r="DA54" s="22">
        <f>-[3]Jun!$P$1</f>
        <v>0</v>
      </c>
      <c r="DB54" s="22"/>
      <c r="DC54" s="22"/>
      <c r="DD54" s="22"/>
      <c r="DE54" s="22"/>
      <c r="DF54" s="22"/>
      <c r="DG54" s="22"/>
      <c r="DH54" s="22"/>
      <c r="DI54" s="13"/>
      <c r="DJ54" s="22">
        <f t="shared" si="23"/>
        <v>0</v>
      </c>
      <c r="DK54" s="21"/>
      <c r="DL54" s="22">
        <f>-[3]Jul!$P$1</f>
        <v>0</v>
      </c>
      <c r="DM54" s="22"/>
      <c r="DN54" s="22"/>
      <c r="DO54" s="22"/>
      <c r="DP54" s="22"/>
      <c r="DQ54" s="22"/>
      <c r="DR54" s="22"/>
      <c r="DS54" s="22"/>
      <c r="DT54" s="13"/>
      <c r="DU54" s="22">
        <f t="shared" si="24"/>
        <v>0</v>
      </c>
      <c r="DV54" s="21"/>
      <c r="DW54" s="22">
        <f>-[3]Aug!$P$1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-[3]Sep!$Q$1</f>
        <v>0</v>
      </c>
      <c r="G55" s="22"/>
      <c r="H55" s="22"/>
      <c r="I55" s="22"/>
      <c r="J55" s="22"/>
      <c r="K55" s="22"/>
      <c r="L55" s="22"/>
      <c r="N55" s="21"/>
      <c r="O55" s="22">
        <f t="shared" si="14"/>
        <v>0</v>
      </c>
      <c r="P55" s="21"/>
      <c r="Q55" s="22">
        <f>-[3]Oct!$Q$1</f>
        <v>0</v>
      </c>
      <c r="R55" s="22"/>
      <c r="S55" s="22"/>
      <c r="T55" s="22"/>
      <c r="U55" s="22"/>
      <c r="V55" s="22"/>
      <c r="W55" s="22"/>
      <c r="X55" s="22"/>
      <c r="Y55" s="13"/>
      <c r="Z55" s="22">
        <f t="shared" si="15"/>
        <v>0</v>
      </c>
      <c r="AA55" s="21"/>
      <c r="AB55" s="22">
        <f>-[3]Nov!$Q$1</f>
        <v>0</v>
      </c>
      <c r="AC55" s="22"/>
      <c r="AD55" s="22"/>
      <c r="AE55" s="22"/>
      <c r="AF55" s="22"/>
      <c r="AG55" s="22"/>
      <c r="AH55" s="22"/>
      <c r="AI55" s="22"/>
      <c r="AJ55" s="13"/>
      <c r="AK55" s="22">
        <f t="shared" si="16"/>
        <v>0</v>
      </c>
      <c r="AL55" s="21"/>
      <c r="AM55" s="22">
        <f>-[3]Dec!$Q$1</f>
        <v>0</v>
      </c>
      <c r="AN55" s="22"/>
      <c r="AO55" s="22"/>
      <c r="AP55" s="22"/>
      <c r="AQ55" s="22"/>
      <c r="AR55" s="22"/>
      <c r="AS55" s="22"/>
      <c r="AT55" s="22"/>
      <c r="AU55" s="13"/>
      <c r="AV55" s="22">
        <f t="shared" si="17"/>
        <v>0</v>
      </c>
      <c r="AW55" s="21"/>
      <c r="AX55" s="22">
        <f>-[3]Jan!$Q$1</f>
        <v>0</v>
      </c>
      <c r="AY55" s="22"/>
      <c r="AZ55" s="22"/>
      <c r="BA55" s="22"/>
      <c r="BB55" s="22"/>
      <c r="BC55" s="22"/>
      <c r="BD55" s="22"/>
      <c r="BE55" s="22"/>
      <c r="BF55" s="13"/>
      <c r="BG55" s="22">
        <f t="shared" si="18"/>
        <v>0</v>
      </c>
      <c r="BH55" s="21"/>
      <c r="BI55" s="22">
        <f>-[3]Feb!$Q$1</f>
        <v>0</v>
      </c>
      <c r="BJ55" s="22"/>
      <c r="BK55" s="22"/>
      <c r="BL55" s="22"/>
      <c r="BM55" s="22"/>
      <c r="BN55" s="22"/>
      <c r="BO55" s="22"/>
      <c r="BP55" s="22"/>
      <c r="BQ55" s="13"/>
      <c r="BR55" s="22">
        <f t="shared" si="19"/>
        <v>0</v>
      </c>
      <c r="BS55" s="21"/>
      <c r="BT55" s="22">
        <f>-[3]Mar!$Q$1</f>
        <v>0</v>
      </c>
      <c r="BU55" s="22"/>
      <c r="BV55" s="22"/>
      <c r="BW55" s="22"/>
      <c r="BX55" s="22"/>
      <c r="BY55" s="22"/>
      <c r="BZ55" s="22"/>
      <c r="CA55" s="22"/>
      <c r="CB55" s="13"/>
      <c r="CC55" s="22">
        <f t="shared" si="20"/>
        <v>0</v>
      </c>
      <c r="CD55" s="21"/>
      <c r="CE55" s="22">
        <f>-[3]Apr!$Q$1</f>
        <v>0</v>
      </c>
      <c r="CF55" s="22"/>
      <c r="CG55" s="22"/>
      <c r="CH55" s="22"/>
      <c r="CI55" s="22"/>
      <c r="CJ55" s="22"/>
      <c r="CK55" s="22"/>
      <c r="CL55" s="22"/>
      <c r="CM55" s="13"/>
      <c r="CN55" s="22">
        <f t="shared" si="21"/>
        <v>0</v>
      </c>
      <c r="CO55" s="21"/>
      <c r="CP55" s="22">
        <f>-[3]May!$Q$1</f>
        <v>0</v>
      </c>
      <c r="CQ55" s="22"/>
      <c r="CR55" s="22"/>
      <c r="CS55" s="22"/>
      <c r="CT55" s="22"/>
      <c r="CU55" s="22"/>
      <c r="CV55" s="22"/>
      <c r="CW55" s="22"/>
      <c r="CX55" s="13"/>
      <c r="CY55" s="22">
        <f t="shared" si="22"/>
        <v>0</v>
      </c>
      <c r="CZ55" s="21"/>
      <c r="DA55" s="22">
        <f>-[3]Jun!$Q$1</f>
        <v>0</v>
      </c>
      <c r="DB55" s="22"/>
      <c r="DC55" s="22"/>
      <c r="DD55" s="22"/>
      <c r="DE55" s="22"/>
      <c r="DF55" s="22"/>
      <c r="DG55" s="22"/>
      <c r="DH55" s="22"/>
      <c r="DI55" s="13"/>
      <c r="DJ55" s="22">
        <f t="shared" si="23"/>
        <v>0</v>
      </c>
      <c r="DK55" s="21"/>
      <c r="DL55" s="22">
        <f>-[3]Jul!$Q$1</f>
        <v>0</v>
      </c>
      <c r="DM55" s="22"/>
      <c r="DN55" s="22"/>
      <c r="DO55" s="22"/>
      <c r="DP55" s="22"/>
      <c r="DQ55" s="22"/>
      <c r="DR55" s="22"/>
      <c r="DS55" s="22"/>
      <c r="DT55" s="13"/>
      <c r="DU55" s="22">
        <f t="shared" si="24"/>
        <v>0</v>
      </c>
      <c r="DV55" s="21"/>
      <c r="DW55" s="22">
        <f>-[3]Aug!$Q$1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-[3]Sep!$R$1</f>
        <v>0</v>
      </c>
      <c r="G56" s="22"/>
      <c r="H56" s="22"/>
      <c r="I56" s="22"/>
      <c r="J56" s="22"/>
      <c r="K56" s="22"/>
      <c r="L56" s="22"/>
      <c r="N56" s="21"/>
      <c r="O56" s="22">
        <f t="shared" si="14"/>
        <v>0</v>
      </c>
      <c r="P56" s="21"/>
      <c r="Q56" s="22">
        <f>-[3]Oct!$R$1</f>
        <v>0</v>
      </c>
      <c r="R56" s="22"/>
      <c r="S56" s="22"/>
      <c r="T56" s="22"/>
      <c r="U56" s="22"/>
      <c r="V56" s="22"/>
      <c r="W56" s="22"/>
      <c r="X56" s="22"/>
      <c r="Y56" s="13"/>
      <c r="Z56" s="22">
        <f t="shared" si="15"/>
        <v>0</v>
      </c>
      <c r="AA56" s="21"/>
      <c r="AB56" s="22">
        <f>-[3]Nov!$R$1</f>
        <v>0</v>
      </c>
      <c r="AC56" s="22"/>
      <c r="AD56" s="22"/>
      <c r="AE56" s="22"/>
      <c r="AF56" s="22"/>
      <c r="AG56" s="22"/>
      <c r="AH56" s="22"/>
      <c r="AI56" s="22"/>
      <c r="AJ56" s="13"/>
      <c r="AK56" s="22">
        <f t="shared" si="16"/>
        <v>0</v>
      </c>
      <c r="AL56" s="21"/>
      <c r="AM56" s="22">
        <f>-[3]Dec!$R$1</f>
        <v>0</v>
      </c>
      <c r="AN56" s="22"/>
      <c r="AO56" s="22"/>
      <c r="AP56" s="22"/>
      <c r="AQ56" s="22"/>
      <c r="AR56" s="22"/>
      <c r="AS56" s="22"/>
      <c r="AT56" s="22"/>
      <c r="AU56" s="13"/>
      <c r="AV56" s="22">
        <f t="shared" si="17"/>
        <v>0</v>
      </c>
      <c r="AW56" s="21"/>
      <c r="AX56" s="22">
        <f>-[3]Jan!$R$1</f>
        <v>0</v>
      </c>
      <c r="AY56" s="22"/>
      <c r="AZ56" s="22"/>
      <c r="BA56" s="22"/>
      <c r="BB56" s="22"/>
      <c r="BC56" s="22"/>
      <c r="BD56" s="22"/>
      <c r="BE56" s="22"/>
      <c r="BF56" s="13"/>
      <c r="BG56" s="22">
        <f t="shared" si="18"/>
        <v>0</v>
      </c>
      <c r="BH56" s="21"/>
      <c r="BI56" s="22">
        <f>-[3]Feb!$R$1</f>
        <v>0</v>
      </c>
      <c r="BJ56" s="22"/>
      <c r="BK56" s="22"/>
      <c r="BL56" s="22"/>
      <c r="BM56" s="22"/>
      <c r="BN56" s="22"/>
      <c r="BO56" s="22"/>
      <c r="BP56" s="22"/>
      <c r="BQ56" s="13"/>
      <c r="BR56" s="22">
        <f t="shared" si="19"/>
        <v>0</v>
      </c>
      <c r="BS56" s="21"/>
      <c r="BT56" s="22">
        <f>-[3]Mar!$R$1</f>
        <v>0</v>
      </c>
      <c r="BU56" s="22"/>
      <c r="BV56" s="22"/>
      <c r="BW56" s="22"/>
      <c r="BX56" s="22"/>
      <c r="BY56" s="22"/>
      <c r="BZ56" s="22"/>
      <c r="CA56" s="22"/>
      <c r="CB56" s="13"/>
      <c r="CC56" s="22">
        <f t="shared" si="20"/>
        <v>0</v>
      </c>
      <c r="CD56" s="21"/>
      <c r="CE56" s="22">
        <f>-[3]Apr!$R$1</f>
        <v>0</v>
      </c>
      <c r="CF56" s="22"/>
      <c r="CG56" s="22"/>
      <c r="CH56" s="22"/>
      <c r="CI56" s="22"/>
      <c r="CJ56" s="22"/>
      <c r="CK56" s="22"/>
      <c r="CL56" s="22"/>
      <c r="CM56" s="13"/>
      <c r="CN56" s="22">
        <f t="shared" si="21"/>
        <v>0</v>
      </c>
      <c r="CO56" s="21"/>
      <c r="CP56" s="22">
        <f>-[3]May!$R$1</f>
        <v>0</v>
      </c>
      <c r="CQ56" s="22"/>
      <c r="CR56" s="22"/>
      <c r="CS56" s="22"/>
      <c r="CT56" s="22"/>
      <c r="CU56" s="22"/>
      <c r="CV56" s="22"/>
      <c r="CW56" s="22"/>
      <c r="CX56" s="13"/>
      <c r="CY56" s="22">
        <f t="shared" si="22"/>
        <v>0</v>
      </c>
      <c r="CZ56" s="21"/>
      <c r="DA56" s="22">
        <f>-[3]Jun!$R$1</f>
        <v>0</v>
      </c>
      <c r="DB56" s="22"/>
      <c r="DC56" s="22"/>
      <c r="DD56" s="22"/>
      <c r="DE56" s="22"/>
      <c r="DF56" s="22"/>
      <c r="DG56" s="22"/>
      <c r="DH56" s="22"/>
      <c r="DI56" s="13"/>
      <c r="DJ56" s="22">
        <f t="shared" si="23"/>
        <v>0</v>
      </c>
      <c r="DK56" s="21"/>
      <c r="DL56" s="22">
        <f>-[3]Jul!$R$1</f>
        <v>0</v>
      </c>
      <c r="DM56" s="22"/>
      <c r="DN56" s="22"/>
      <c r="DO56" s="22"/>
      <c r="DP56" s="22"/>
      <c r="DQ56" s="22"/>
      <c r="DR56" s="22"/>
      <c r="DS56" s="22"/>
      <c r="DT56" s="13"/>
      <c r="DU56" s="22">
        <f t="shared" si="24"/>
        <v>0</v>
      </c>
      <c r="DV56" s="21"/>
      <c r="DW56" s="22">
        <f>-[3]Aug!$R$1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-[3]Sep!$S$1</f>
        <v>0</v>
      </c>
      <c r="G57" s="22"/>
      <c r="H57" s="22"/>
      <c r="I57" s="22"/>
      <c r="J57" s="22"/>
      <c r="K57" s="22"/>
      <c r="L57" s="22"/>
      <c r="N57" s="21"/>
      <c r="O57" s="22">
        <f t="shared" si="14"/>
        <v>0</v>
      </c>
      <c r="P57" s="21"/>
      <c r="Q57" s="22">
        <f>-[3]Oct!$S$1</f>
        <v>0</v>
      </c>
      <c r="R57" s="22"/>
      <c r="S57" s="22"/>
      <c r="T57" s="22"/>
      <c r="U57" s="22"/>
      <c r="V57" s="22"/>
      <c r="W57" s="22"/>
      <c r="X57" s="22"/>
      <c r="Y57" s="13"/>
      <c r="Z57" s="22">
        <f t="shared" si="15"/>
        <v>0</v>
      </c>
      <c r="AA57" s="21"/>
      <c r="AB57" s="22">
        <f>-[3]Nov!$S$1</f>
        <v>0</v>
      </c>
      <c r="AC57" s="22"/>
      <c r="AD57" s="22"/>
      <c r="AE57" s="22"/>
      <c r="AF57" s="22"/>
      <c r="AG57" s="22"/>
      <c r="AH57" s="22"/>
      <c r="AI57" s="22"/>
      <c r="AJ57" s="13"/>
      <c r="AK57" s="22">
        <f t="shared" si="16"/>
        <v>0</v>
      </c>
      <c r="AL57" s="21"/>
      <c r="AM57" s="22">
        <f>-[3]Dec!$S$1</f>
        <v>0</v>
      </c>
      <c r="AN57" s="22"/>
      <c r="AO57" s="22"/>
      <c r="AP57" s="22"/>
      <c r="AQ57" s="22"/>
      <c r="AR57" s="22"/>
      <c r="AS57" s="22"/>
      <c r="AT57" s="22"/>
      <c r="AU57" s="13"/>
      <c r="AV57" s="22">
        <f t="shared" si="17"/>
        <v>0</v>
      </c>
      <c r="AW57" s="21"/>
      <c r="AX57" s="22">
        <f>-[3]Jan!$S$1</f>
        <v>0</v>
      </c>
      <c r="AY57" s="22"/>
      <c r="AZ57" s="22"/>
      <c r="BA57" s="22"/>
      <c r="BB57" s="22"/>
      <c r="BC57" s="22"/>
      <c r="BD57" s="22"/>
      <c r="BE57" s="22"/>
      <c r="BF57" s="13"/>
      <c r="BG57" s="22">
        <f t="shared" si="18"/>
        <v>0</v>
      </c>
      <c r="BH57" s="21"/>
      <c r="BI57" s="22">
        <f>-[3]Feb!$S$1</f>
        <v>0</v>
      </c>
      <c r="BJ57" s="22"/>
      <c r="BK57" s="22"/>
      <c r="BL57" s="22"/>
      <c r="BM57" s="22"/>
      <c r="BN57" s="22"/>
      <c r="BO57" s="22"/>
      <c r="BP57" s="22"/>
      <c r="BQ57" s="13"/>
      <c r="BR57" s="22">
        <f t="shared" si="19"/>
        <v>0</v>
      </c>
      <c r="BS57" s="21"/>
      <c r="BT57" s="22">
        <f>-[3]Mar!$S$1</f>
        <v>0</v>
      </c>
      <c r="BU57" s="22"/>
      <c r="BV57" s="22"/>
      <c r="BW57" s="22"/>
      <c r="BX57" s="22"/>
      <c r="BY57" s="22"/>
      <c r="BZ57" s="22"/>
      <c r="CA57" s="22"/>
      <c r="CB57" s="13"/>
      <c r="CC57" s="22">
        <f t="shared" si="20"/>
        <v>0</v>
      </c>
      <c r="CD57" s="21"/>
      <c r="CE57" s="22">
        <f>-[3]Apr!$S$1</f>
        <v>0</v>
      </c>
      <c r="CF57" s="22"/>
      <c r="CG57" s="22"/>
      <c r="CH57" s="22"/>
      <c r="CI57" s="22"/>
      <c r="CJ57" s="22"/>
      <c r="CK57" s="22"/>
      <c r="CL57" s="22"/>
      <c r="CM57" s="13"/>
      <c r="CN57" s="22">
        <f t="shared" si="21"/>
        <v>0</v>
      </c>
      <c r="CO57" s="21"/>
      <c r="CP57" s="22">
        <f>-[3]May!$S$1</f>
        <v>0</v>
      </c>
      <c r="CQ57" s="22"/>
      <c r="CR57" s="22"/>
      <c r="CS57" s="22"/>
      <c r="CT57" s="22"/>
      <c r="CU57" s="22"/>
      <c r="CV57" s="22"/>
      <c r="CW57" s="22"/>
      <c r="CX57" s="13"/>
      <c r="CY57" s="22">
        <f t="shared" si="22"/>
        <v>0</v>
      </c>
      <c r="CZ57" s="21"/>
      <c r="DA57" s="22">
        <f>-[3]Jun!$S$1</f>
        <v>0</v>
      </c>
      <c r="DB57" s="22"/>
      <c r="DC57" s="22"/>
      <c r="DD57" s="22"/>
      <c r="DE57" s="22"/>
      <c r="DF57" s="22"/>
      <c r="DG57" s="22"/>
      <c r="DH57" s="22"/>
      <c r="DI57" s="13"/>
      <c r="DJ57" s="22">
        <f t="shared" si="23"/>
        <v>0</v>
      </c>
      <c r="DK57" s="21"/>
      <c r="DL57" s="22">
        <f>-[3]Jul!$S$1</f>
        <v>0</v>
      </c>
      <c r="DM57" s="22"/>
      <c r="DN57" s="22"/>
      <c r="DO57" s="22"/>
      <c r="DP57" s="22"/>
      <c r="DQ57" s="22"/>
      <c r="DR57" s="22"/>
      <c r="DS57" s="22"/>
      <c r="DT57" s="13"/>
      <c r="DU57" s="22">
        <f t="shared" si="24"/>
        <v>0</v>
      </c>
      <c r="DV57" s="21"/>
      <c r="DW57" s="22">
        <f>-[3]Aug!$S$1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-[4]Sep!$K$1</f>
        <v>0</v>
      </c>
      <c r="I58" s="22">
        <f>-[5]Sep!$K$1</f>
        <v>0</v>
      </c>
      <c r="J58" s="22">
        <f>-[6]Sep!$K$1</f>
        <v>0</v>
      </c>
      <c r="K58" s="22">
        <f>-[7]Sep!$K$1</f>
        <v>0</v>
      </c>
      <c r="L58" s="22"/>
      <c r="N58" s="21"/>
      <c r="O58" s="22">
        <f t="shared" si="14"/>
        <v>0</v>
      </c>
      <c r="P58" s="21"/>
      <c r="Q58" s="22"/>
      <c r="R58" s="22"/>
      <c r="S58" s="22">
        <f>-[4]Oct!$K$1</f>
        <v>0</v>
      </c>
      <c r="T58" s="22">
        <f>-[5]Oct!$K$1</f>
        <v>0</v>
      </c>
      <c r="U58" s="22">
        <f>-[6]Oct!$K$1</f>
        <v>0</v>
      </c>
      <c r="V58" s="22">
        <f>-[7]Oct!$K$1</f>
        <v>0</v>
      </c>
      <c r="W58" s="22"/>
      <c r="X58" s="22"/>
      <c r="Y58" s="13"/>
      <c r="Z58" s="22">
        <f t="shared" si="15"/>
        <v>0</v>
      </c>
      <c r="AA58" s="21"/>
      <c r="AB58" s="22"/>
      <c r="AC58" s="22"/>
      <c r="AD58" s="22">
        <f>-[4]Nov!$K$1</f>
        <v>0</v>
      </c>
      <c r="AE58" s="22">
        <f>-[5]Nov!$K$1</f>
        <v>0</v>
      </c>
      <c r="AF58" s="22">
        <f>-[6]Nov!$K$1</f>
        <v>0</v>
      </c>
      <c r="AG58" s="22">
        <f>-[7]Nov!$K$1</f>
        <v>0</v>
      </c>
      <c r="AH58" s="22"/>
      <c r="AI58" s="22"/>
      <c r="AJ58" s="13"/>
      <c r="AK58" s="22">
        <f t="shared" si="16"/>
        <v>0</v>
      </c>
      <c r="AL58" s="21"/>
      <c r="AM58" s="22"/>
      <c r="AN58" s="22"/>
      <c r="AO58" s="22">
        <f>-[4]Dec!$K$1</f>
        <v>0</v>
      </c>
      <c r="AP58" s="22">
        <f>-[5]Dec!$K$1</f>
        <v>0</v>
      </c>
      <c r="AQ58" s="22">
        <f>-[6]Dec!$K$1</f>
        <v>0</v>
      </c>
      <c r="AR58" s="22">
        <f>-[7]Dec!$K$1</f>
        <v>0</v>
      </c>
      <c r="AS58" s="22"/>
      <c r="AT58" s="22"/>
      <c r="AU58" s="13"/>
      <c r="AV58" s="22">
        <f t="shared" si="17"/>
        <v>0</v>
      </c>
      <c r="AW58" s="21"/>
      <c r="AX58" s="22"/>
      <c r="AY58" s="22"/>
      <c r="AZ58" s="22">
        <f>-[4]Jan!$K$1</f>
        <v>0</v>
      </c>
      <c r="BA58" s="22">
        <f>-[5]Jan!$K$1</f>
        <v>0</v>
      </c>
      <c r="BB58" s="22">
        <f>-[6]Jan!$K$1</f>
        <v>0</v>
      </c>
      <c r="BC58" s="22">
        <f>-[7]Jan!$K$1</f>
        <v>0</v>
      </c>
      <c r="BD58" s="22"/>
      <c r="BE58" s="22"/>
      <c r="BF58" s="13"/>
      <c r="BG58" s="22">
        <f t="shared" si="18"/>
        <v>0</v>
      </c>
      <c r="BH58" s="21"/>
      <c r="BI58" s="22"/>
      <c r="BJ58" s="22"/>
      <c r="BK58" s="22">
        <f>-[4]Feb!$K$1</f>
        <v>0</v>
      </c>
      <c r="BL58" s="22">
        <f>-[5]Feb!$K$1</f>
        <v>0</v>
      </c>
      <c r="BM58" s="22">
        <f>-[6]Feb!$K$1</f>
        <v>0</v>
      </c>
      <c r="BN58" s="22">
        <f>-[7]Feb!$K$1</f>
        <v>0</v>
      </c>
      <c r="BO58" s="22"/>
      <c r="BP58" s="22"/>
      <c r="BQ58" s="13"/>
      <c r="BR58" s="22">
        <f t="shared" si="19"/>
        <v>0</v>
      </c>
      <c r="BS58" s="21"/>
      <c r="BT58" s="22"/>
      <c r="BU58" s="22"/>
      <c r="BV58" s="22">
        <f>-[4]Mar!$K$1</f>
        <v>0</v>
      </c>
      <c r="BW58" s="22">
        <f>-[5]Mar!$K$1</f>
        <v>0</v>
      </c>
      <c r="BX58" s="22">
        <f>-[6]Mar!$K$1</f>
        <v>0</v>
      </c>
      <c r="BY58" s="22">
        <f>-[7]Mar!$K$1</f>
        <v>0</v>
      </c>
      <c r="BZ58" s="22"/>
      <c r="CA58" s="22"/>
      <c r="CB58" s="13"/>
      <c r="CC58" s="22">
        <f t="shared" si="20"/>
        <v>0</v>
      </c>
      <c r="CD58" s="21"/>
      <c r="CE58" s="22"/>
      <c r="CF58" s="22"/>
      <c r="CG58" s="22">
        <f>-[4]Apr!$K$1</f>
        <v>0</v>
      </c>
      <c r="CH58" s="22">
        <f>-[5]Apr!$K$1</f>
        <v>0</v>
      </c>
      <c r="CI58" s="22">
        <f>-[6]Apr!$K$1</f>
        <v>0</v>
      </c>
      <c r="CJ58" s="22">
        <f>-[7]Apr!$K$1</f>
        <v>0</v>
      </c>
      <c r="CK58" s="22"/>
      <c r="CL58" s="22"/>
      <c r="CM58" s="13"/>
      <c r="CN58" s="22">
        <f t="shared" si="21"/>
        <v>0</v>
      </c>
      <c r="CO58" s="21"/>
      <c r="CP58" s="22"/>
      <c r="CQ58" s="22"/>
      <c r="CR58" s="22">
        <f>-[4]May!$K$1</f>
        <v>0</v>
      </c>
      <c r="CS58" s="22">
        <f>-[5]May!$K$1</f>
        <v>0</v>
      </c>
      <c r="CT58" s="22">
        <f>-[6]May!$K$1</f>
        <v>0</v>
      </c>
      <c r="CU58" s="22">
        <f>-[7]May!$K$1</f>
        <v>0</v>
      </c>
      <c r="CV58" s="22"/>
      <c r="CW58" s="22"/>
      <c r="CX58" s="13"/>
      <c r="CY58" s="22">
        <f t="shared" si="22"/>
        <v>0</v>
      </c>
      <c r="CZ58" s="21"/>
      <c r="DA58" s="22"/>
      <c r="DB58" s="22"/>
      <c r="DC58" s="22">
        <f>-[4]Jun!$K$1</f>
        <v>0</v>
      </c>
      <c r="DD58" s="22">
        <f>-[5]Jun!$K$1</f>
        <v>0</v>
      </c>
      <c r="DE58" s="22">
        <f>-[6]Jun!$K$1</f>
        <v>0</v>
      </c>
      <c r="DF58" s="22">
        <f>-[7]Jun!$K$1</f>
        <v>0</v>
      </c>
      <c r="DG58" s="22"/>
      <c r="DH58" s="22"/>
      <c r="DI58" s="13"/>
      <c r="DJ58" s="22">
        <f t="shared" si="23"/>
        <v>0</v>
      </c>
      <c r="DK58" s="21"/>
      <c r="DL58" s="22"/>
      <c r="DM58" s="22"/>
      <c r="DN58" s="22">
        <f>-[4]Jul!$K$1</f>
        <v>0</v>
      </c>
      <c r="DO58" s="22">
        <f>-[5]Jul!$K$1</f>
        <v>0</v>
      </c>
      <c r="DP58" s="22">
        <f>-[6]Jul!$K$1</f>
        <v>0</v>
      </c>
      <c r="DQ58" s="22">
        <f>-[7]Jul!$K$1</f>
        <v>0</v>
      </c>
      <c r="DR58" s="22"/>
      <c r="DS58" s="22"/>
      <c r="DT58" s="13"/>
      <c r="DU58" s="22">
        <f t="shared" si="24"/>
        <v>0</v>
      </c>
      <c r="DV58" s="21"/>
      <c r="DW58" s="22"/>
      <c r="DX58" s="22"/>
      <c r="DY58" s="22">
        <f>-[4]Aug!$K$1</f>
        <v>0</v>
      </c>
      <c r="DZ58" s="22">
        <f>-[5]Aug!$K$1</f>
        <v>0</v>
      </c>
      <c r="EA58" s="22">
        <f>-[6]Aug!$K$1</f>
        <v>0</v>
      </c>
      <c r="EB58" s="22">
        <f>-[7]Aug!$K$1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[2]Sep!$O$1</f>
        <v>0</v>
      </c>
      <c r="H60" s="22"/>
      <c r="I60" s="22"/>
      <c r="J60" s="22"/>
      <c r="K60" s="22"/>
      <c r="L60" s="22"/>
      <c r="M60" s="22">
        <f>-(Stock!$F$8-Stock!$L$8-Stock!$R$8-Stock!$X$8+Stock!$Z$8)</f>
        <v>0</v>
      </c>
      <c r="N60" s="21"/>
      <c r="O60" s="22">
        <f>SUM(D60:N60)</f>
        <v>0</v>
      </c>
      <c r="P60" s="21"/>
      <c r="Q60" s="22"/>
      <c r="R60" s="22">
        <f>[2]Oct!$O$1</f>
        <v>0</v>
      </c>
      <c r="S60" s="22"/>
      <c r="T60" s="22"/>
      <c r="U60" s="22"/>
      <c r="V60" s="22"/>
      <c r="W60" s="22"/>
      <c r="X60" s="22">
        <f>-(Stock!$F$10-Stock!$L$10-Stock!$R$10-Stock!$X$10+Stock!$Z$10)</f>
        <v>0</v>
      </c>
      <c r="Y60" s="13"/>
      <c r="Z60" s="22">
        <f>SUM(O60:Y60)</f>
        <v>0</v>
      </c>
      <c r="AA60" s="21"/>
      <c r="AB60" s="22"/>
      <c r="AC60" s="22">
        <f>[2]Nov!$O$1</f>
        <v>0</v>
      </c>
      <c r="AD60" s="22"/>
      <c r="AE60" s="22"/>
      <c r="AF60" s="22"/>
      <c r="AG60" s="22"/>
      <c r="AH60" s="22"/>
      <c r="AI60" s="22">
        <f>-(Stock!$F$12-Stock!$L$12-Stock!$R$12-Stock!$X$12+Stock!$Z$12)</f>
        <v>0</v>
      </c>
      <c r="AJ60" s="13"/>
      <c r="AK60" s="22">
        <f>SUM(Z60:AJ60)</f>
        <v>0</v>
      </c>
      <c r="AL60" s="21"/>
      <c r="AM60" s="22"/>
      <c r="AN60" s="22">
        <f>[2]Dec!$O$1</f>
        <v>0</v>
      </c>
      <c r="AO60" s="22"/>
      <c r="AP60" s="22"/>
      <c r="AQ60" s="22"/>
      <c r="AR60" s="22"/>
      <c r="AS60" s="22"/>
      <c r="AT60" s="22">
        <f>-(Stock!$F$14-Stock!$L$14-Stock!$R$14-Stock!$X$14+Stock!$Z$14)</f>
        <v>0</v>
      </c>
      <c r="AU60" s="13"/>
      <c r="AV60" s="22">
        <f>SUM(AK60:AU60)</f>
        <v>0</v>
      </c>
      <c r="AW60" s="21"/>
      <c r="AX60" s="22"/>
      <c r="AY60" s="22">
        <f>[2]Jan!$O$1</f>
        <v>0</v>
      </c>
      <c r="AZ60" s="22"/>
      <c r="BA60" s="22"/>
      <c r="BB60" s="22"/>
      <c r="BC60" s="22"/>
      <c r="BD60" s="22"/>
      <c r="BE60" s="22">
        <f>-(Stock!$F$16-Stock!$L$16-Stock!$R$16-Stock!$X$16+Stock!$Z$16)</f>
        <v>0</v>
      </c>
      <c r="BF60" s="13"/>
      <c r="BG60" s="22">
        <f>SUM(AV60:BF60)</f>
        <v>0</v>
      </c>
      <c r="BH60" s="21"/>
      <c r="BI60" s="22"/>
      <c r="BJ60" s="22">
        <f>[2]Feb!$O$1</f>
        <v>0</v>
      </c>
      <c r="BK60" s="22"/>
      <c r="BL60" s="22"/>
      <c r="BM60" s="22"/>
      <c r="BN60" s="22"/>
      <c r="BO60" s="22"/>
      <c r="BP60" s="22">
        <f>-(Stock!$F$18-Stock!$L$18-Stock!$R$18-Stock!$X$18+Stock!$Z$18)</f>
        <v>0</v>
      </c>
      <c r="BQ60" s="13"/>
      <c r="BR60" s="22">
        <f>SUM(BG60:BQ60)</f>
        <v>0</v>
      </c>
      <c r="BS60" s="21"/>
      <c r="BT60" s="22"/>
      <c r="BU60" s="22">
        <f>[2]Mar!$O$1</f>
        <v>0</v>
      </c>
      <c r="BV60" s="22"/>
      <c r="BW60" s="22"/>
      <c r="BX60" s="22"/>
      <c r="BY60" s="22"/>
      <c r="BZ60" s="22"/>
      <c r="CA60" s="22">
        <f>-(Stock!$F$20-Stock!$L$20-Stock!$R$20-Stock!$X$20+Stock!$Z$20)</f>
        <v>0</v>
      </c>
      <c r="CB60" s="13"/>
      <c r="CC60" s="22">
        <f>SUM(BR60:CB60)</f>
        <v>0</v>
      </c>
      <c r="CD60" s="21"/>
      <c r="CE60" s="22"/>
      <c r="CF60" s="22">
        <f>[2]Apr!$O$1</f>
        <v>0</v>
      </c>
      <c r="CG60" s="22"/>
      <c r="CH60" s="22"/>
      <c r="CI60" s="22"/>
      <c r="CJ60" s="22"/>
      <c r="CK60" s="22"/>
      <c r="CL60" s="22">
        <f>-(Stock!$F$22-Stock!$L$22-Stock!$R$22-Stock!$X$22+Stock!$Z$22)</f>
        <v>0</v>
      </c>
      <c r="CM60" s="13"/>
      <c r="CN60" s="22">
        <f>SUM(CC60:CM60)</f>
        <v>0</v>
      </c>
      <c r="CO60" s="21"/>
      <c r="CP60" s="22"/>
      <c r="CQ60" s="22">
        <f>[2]May!$O$1</f>
        <v>0</v>
      </c>
      <c r="CR60" s="22"/>
      <c r="CS60" s="22"/>
      <c r="CT60" s="22"/>
      <c r="CU60" s="22"/>
      <c r="CV60" s="22"/>
      <c r="CW60" s="22">
        <f>-(Stock!$F$24-Stock!$L$24-Stock!$R$24-Stock!$X$24+Stock!$Z$24)</f>
        <v>0</v>
      </c>
      <c r="CX60" s="13"/>
      <c r="CY60" s="22">
        <f>SUM(CN60:CX60)</f>
        <v>0</v>
      </c>
      <c r="CZ60" s="21"/>
      <c r="DA60" s="22"/>
      <c r="DB60" s="22">
        <f>[2]Jun!$O$1</f>
        <v>0</v>
      </c>
      <c r="DC60" s="22"/>
      <c r="DD60" s="22"/>
      <c r="DE60" s="22"/>
      <c r="DF60" s="22"/>
      <c r="DG60" s="22"/>
      <c r="DH60" s="22">
        <f>-(Stock!$F$26-Stock!$L$26-Stock!$R$26-Stock!$X$26+Stock!$Z$26)</f>
        <v>0</v>
      </c>
      <c r="DI60" s="13"/>
      <c r="DJ60" s="22">
        <f>SUM(CY60:DI60)</f>
        <v>0</v>
      </c>
      <c r="DK60" s="21"/>
      <c r="DL60" s="22"/>
      <c r="DM60" s="22">
        <f>[2]Jul!$O$1</f>
        <v>0</v>
      </c>
      <c r="DN60" s="22"/>
      <c r="DO60" s="22"/>
      <c r="DP60" s="22"/>
      <c r="DQ60" s="22"/>
      <c r="DR60" s="22"/>
      <c r="DS60" s="22">
        <f>-(Stock!$F$28-Stock!$L$28-Stock!$R$28-Stock!$X$28+Stock!$Z$28)</f>
        <v>0</v>
      </c>
      <c r="DT60" s="13"/>
      <c r="DU60" s="22">
        <f>SUM(DJ60:DT60)</f>
        <v>0</v>
      </c>
      <c r="DV60" s="21"/>
      <c r="DW60" s="22"/>
      <c r="DX60" s="22">
        <f>[2]Aug!$O$1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[2]Sep!$P$1</f>
        <v>0</v>
      </c>
      <c r="H61" s="22"/>
      <c r="I61" s="22"/>
      <c r="J61" s="22"/>
      <c r="K61" s="22"/>
      <c r="L61" s="22"/>
      <c r="N61" s="21"/>
      <c r="O61" s="22">
        <f>SUM(D61:N61)</f>
        <v>0</v>
      </c>
      <c r="P61" s="21"/>
      <c r="Q61" s="22"/>
      <c r="R61" s="22">
        <f>[2]Oct!$P$1</f>
        <v>0</v>
      </c>
      <c r="S61" s="22"/>
      <c r="T61" s="22"/>
      <c r="U61" s="22"/>
      <c r="V61" s="22"/>
      <c r="W61" s="22"/>
      <c r="X61" s="22"/>
      <c r="Y61" s="13"/>
      <c r="Z61" s="22">
        <f>SUM(O61:Y61)</f>
        <v>0</v>
      </c>
      <c r="AA61" s="21"/>
      <c r="AB61" s="22"/>
      <c r="AC61" s="22">
        <f>[2]Nov!$P$1</f>
        <v>0</v>
      </c>
      <c r="AD61" s="22"/>
      <c r="AE61" s="22"/>
      <c r="AF61" s="22"/>
      <c r="AG61" s="22"/>
      <c r="AH61" s="22"/>
      <c r="AI61" s="22"/>
      <c r="AJ61" s="13"/>
      <c r="AK61" s="22">
        <f>SUM(Z61:AJ61)</f>
        <v>0</v>
      </c>
      <c r="AL61" s="21"/>
      <c r="AM61" s="22"/>
      <c r="AN61" s="22">
        <f>[2]Dec!$P$1</f>
        <v>0</v>
      </c>
      <c r="AO61" s="22"/>
      <c r="AP61" s="22"/>
      <c r="AQ61" s="22"/>
      <c r="AR61" s="22"/>
      <c r="AS61" s="22"/>
      <c r="AT61" s="22"/>
      <c r="AU61" s="13"/>
      <c r="AV61" s="22">
        <f>SUM(AK61:AU61)</f>
        <v>0</v>
      </c>
      <c r="AW61" s="21"/>
      <c r="AX61" s="22"/>
      <c r="AY61" s="22">
        <f>[2]Jan!$P$1</f>
        <v>0</v>
      </c>
      <c r="AZ61" s="22"/>
      <c r="BA61" s="22"/>
      <c r="BB61" s="22"/>
      <c r="BC61" s="22"/>
      <c r="BD61" s="22"/>
      <c r="BE61" s="22"/>
      <c r="BF61" s="13"/>
      <c r="BG61" s="22">
        <f>SUM(AV61:BF61)</f>
        <v>0</v>
      </c>
      <c r="BH61" s="21"/>
      <c r="BI61" s="22"/>
      <c r="BJ61" s="22">
        <f>[2]Feb!$P$1</f>
        <v>0</v>
      </c>
      <c r="BK61" s="22"/>
      <c r="BL61" s="22"/>
      <c r="BM61" s="22"/>
      <c r="BN61" s="22"/>
      <c r="BO61" s="22"/>
      <c r="BP61" s="22"/>
      <c r="BQ61" s="13"/>
      <c r="BR61" s="22">
        <f>SUM(BG61:BQ61)</f>
        <v>0</v>
      </c>
      <c r="BS61" s="21"/>
      <c r="BT61" s="22"/>
      <c r="BU61" s="22">
        <f>[2]Mar!$P$1</f>
        <v>0</v>
      </c>
      <c r="BV61" s="22"/>
      <c r="BW61" s="22"/>
      <c r="BX61" s="22"/>
      <c r="BY61" s="22"/>
      <c r="BZ61" s="22"/>
      <c r="CA61" s="22"/>
      <c r="CB61" s="13"/>
      <c r="CC61" s="22">
        <f>SUM(BR61:CB61)</f>
        <v>0</v>
      </c>
      <c r="CD61" s="21"/>
      <c r="CE61" s="22"/>
      <c r="CF61" s="22">
        <f>[2]Apr!$P$1</f>
        <v>0</v>
      </c>
      <c r="CG61" s="22"/>
      <c r="CH61" s="22"/>
      <c r="CI61" s="22"/>
      <c r="CJ61" s="22"/>
      <c r="CK61" s="22"/>
      <c r="CL61" s="22"/>
      <c r="CM61" s="13"/>
      <c r="CN61" s="22">
        <f>SUM(CC61:CM61)</f>
        <v>0</v>
      </c>
      <c r="CO61" s="21"/>
      <c r="CP61" s="22"/>
      <c r="CQ61" s="22">
        <f>[2]May!$P$1</f>
        <v>0</v>
      </c>
      <c r="CR61" s="22"/>
      <c r="CS61" s="22"/>
      <c r="CT61" s="22"/>
      <c r="CU61" s="22"/>
      <c r="CV61" s="22"/>
      <c r="CW61" s="22"/>
      <c r="CX61" s="13"/>
      <c r="CY61" s="22">
        <f>SUM(CN61:CX61)</f>
        <v>0</v>
      </c>
      <c r="CZ61" s="21"/>
      <c r="DA61" s="22"/>
      <c r="DB61" s="22">
        <f>[2]Jun!$P$1</f>
        <v>0</v>
      </c>
      <c r="DC61" s="22"/>
      <c r="DD61" s="22"/>
      <c r="DE61" s="22"/>
      <c r="DF61" s="22"/>
      <c r="DG61" s="22"/>
      <c r="DH61" s="22"/>
      <c r="DI61" s="13"/>
      <c r="DJ61" s="22">
        <f>SUM(CY61:DI61)</f>
        <v>0</v>
      </c>
      <c r="DK61" s="21"/>
      <c r="DL61" s="22"/>
      <c r="DM61" s="22">
        <f>[2]Jul!$P$1</f>
        <v>0</v>
      </c>
      <c r="DN61" s="22"/>
      <c r="DO61" s="22"/>
      <c r="DP61" s="22"/>
      <c r="DQ61" s="22"/>
      <c r="DR61" s="22"/>
      <c r="DS61" s="22"/>
      <c r="DT61" s="13"/>
      <c r="DU61" s="22">
        <f>SUM(DJ61:DT61)</f>
        <v>0</v>
      </c>
      <c r="DV61" s="21"/>
      <c r="DW61" s="22"/>
      <c r="DX61" s="22">
        <f>[2]Aug!$P$1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[2]Sep!$Q$1</f>
        <v>0</v>
      </c>
      <c r="H62" s="22"/>
      <c r="I62" s="22"/>
      <c r="J62" s="22"/>
      <c r="K62" s="22"/>
      <c r="L62" s="22"/>
      <c r="N62" s="21"/>
      <c r="O62" s="22">
        <f>SUM(D62:N62)</f>
        <v>0</v>
      </c>
      <c r="P62" s="21"/>
      <c r="Q62" s="22"/>
      <c r="R62" s="22">
        <f>[2]Oct!$Q$1</f>
        <v>0</v>
      </c>
      <c r="S62" s="22"/>
      <c r="T62" s="22"/>
      <c r="U62" s="22"/>
      <c r="V62" s="22"/>
      <c r="W62" s="22"/>
      <c r="X62" s="22"/>
      <c r="Y62" s="13"/>
      <c r="Z62" s="22">
        <f>SUM(O62:Y62)</f>
        <v>0</v>
      </c>
      <c r="AA62" s="21"/>
      <c r="AB62" s="22"/>
      <c r="AC62" s="22">
        <f>[2]Nov!$Q$1</f>
        <v>0</v>
      </c>
      <c r="AD62" s="22"/>
      <c r="AE62" s="22"/>
      <c r="AF62" s="22"/>
      <c r="AG62" s="22"/>
      <c r="AH62" s="22"/>
      <c r="AI62" s="22"/>
      <c r="AJ62" s="13"/>
      <c r="AK62" s="22">
        <f>SUM(Z62:AJ62)</f>
        <v>0</v>
      </c>
      <c r="AL62" s="21"/>
      <c r="AM62" s="22"/>
      <c r="AN62" s="22">
        <f>[2]Dec!$Q$1</f>
        <v>0</v>
      </c>
      <c r="AO62" s="22"/>
      <c r="AP62" s="22"/>
      <c r="AQ62" s="22"/>
      <c r="AR62" s="22"/>
      <c r="AS62" s="22"/>
      <c r="AT62" s="22"/>
      <c r="AU62" s="13"/>
      <c r="AV62" s="22">
        <f>SUM(AK62:AU62)</f>
        <v>0</v>
      </c>
      <c r="AW62" s="21"/>
      <c r="AX62" s="22"/>
      <c r="AY62" s="22">
        <f>[2]Jan!$Q$1</f>
        <v>0</v>
      </c>
      <c r="AZ62" s="22"/>
      <c r="BA62" s="22"/>
      <c r="BB62" s="22"/>
      <c r="BC62" s="22"/>
      <c r="BD62" s="22"/>
      <c r="BE62" s="22"/>
      <c r="BF62" s="13"/>
      <c r="BG62" s="22">
        <f>SUM(AV62:BF62)</f>
        <v>0</v>
      </c>
      <c r="BH62" s="21"/>
      <c r="BI62" s="22"/>
      <c r="BJ62" s="22">
        <f>[2]Feb!$Q$1</f>
        <v>0</v>
      </c>
      <c r="BK62" s="22"/>
      <c r="BL62" s="22"/>
      <c r="BM62" s="22"/>
      <c r="BN62" s="22"/>
      <c r="BO62" s="22"/>
      <c r="BP62" s="22"/>
      <c r="BQ62" s="13"/>
      <c r="BR62" s="22">
        <f>SUM(BG62:BQ62)</f>
        <v>0</v>
      </c>
      <c r="BS62" s="21"/>
      <c r="BT62" s="22"/>
      <c r="BU62" s="22">
        <f>[2]Mar!$Q$1</f>
        <v>0</v>
      </c>
      <c r="BV62" s="22"/>
      <c r="BW62" s="22"/>
      <c r="BX62" s="22"/>
      <c r="BY62" s="22"/>
      <c r="BZ62" s="22"/>
      <c r="CA62" s="22"/>
      <c r="CB62" s="13"/>
      <c r="CC62" s="22">
        <f>SUM(BR62:CB62)</f>
        <v>0</v>
      </c>
      <c r="CD62" s="21"/>
      <c r="CE62" s="22"/>
      <c r="CF62" s="22">
        <f>[2]Apr!$Q$1</f>
        <v>0</v>
      </c>
      <c r="CG62" s="22"/>
      <c r="CH62" s="22"/>
      <c r="CI62" s="22"/>
      <c r="CJ62" s="22"/>
      <c r="CK62" s="22"/>
      <c r="CL62" s="22"/>
      <c r="CM62" s="13"/>
      <c r="CN62" s="22">
        <f>SUM(CC62:CM62)</f>
        <v>0</v>
      </c>
      <c r="CO62" s="21"/>
      <c r="CP62" s="22"/>
      <c r="CQ62" s="22">
        <f>[2]May!$Q$1</f>
        <v>0</v>
      </c>
      <c r="CR62" s="22"/>
      <c r="CS62" s="22"/>
      <c r="CT62" s="22"/>
      <c r="CU62" s="22"/>
      <c r="CV62" s="22"/>
      <c r="CW62" s="22"/>
      <c r="CX62" s="13"/>
      <c r="CY62" s="22">
        <f>SUM(CN62:CX62)</f>
        <v>0</v>
      </c>
      <c r="CZ62" s="21"/>
      <c r="DA62" s="22"/>
      <c r="DB62" s="22">
        <f>[2]Jun!$Q$1</f>
        <v>0</v>
      </c>
      <c r="DC62" s="22"/>
      <c r="DD62" s="22"/>
      <c r="DE62" s="22"/>
      <c r="DF62" s="22"/>
      <c r="DG62" s="22"/>
      <c r="DH62" s="22"/>
      <c r="DI62" s="13"/>
      <c r="DJ62" s="22">
        <f>SUM(CY62:DI62)</f>
        <v>0</v>
      </c>
      <c r="DK62" s="21"/>
      <c r="DL62" s="22"/>
      <c r="DM62" s="22">
        <f>[2]Jul!$Q$1</f>
        <v>0</v>
      </c>
      <c r="DN62" s="22"/>
      <c r="DO62" s="22"/>
      <c r="DP62" s="22"/>
      <c r="DQ62" s="22"/>
      <c r="DR62" s="22"/>
      <c r="DS62" s="22"/>
      <c r="DT62" s="13"/>
      <c r="DU62" s="22">
        <f>SUM(DJ62:DT62)</f>
        <v>0</v>
      </c>
      <c r="DV62" s="21"/>
      <c r="DW62" s="22"/>
      <c r="DX62" s="22">
        <f>[2]Aug!$Q$1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[2]Sep!$S$1</f>
        <v>0</v>
      </c>
      <c r="H65" s="22"/>
      <c r="I65" s="22"/>
      <c r="J65" s="22"/>
      <c r="K65" s="22"/>
      <c r="L65" s="22"/>
      <c r="N65" s="21"/>
      <c r="O65" s="22">
        <f t="shared" si="27"/>
        <v>0</v>
      </c>
      <c r="P65" s="21"/>
      <c r="Q65" s="22"/>
      <c r="R65" s="22">
        <f>[2]Oct!$S$1</f>
        <v>0</v>
      </c>
      <c r="S65" s="22"/>
      <c r="T65" s="22"/>
      <c r="U65" s="22"/>
      <c r="V65" s="22"/>
      <c r="W65" s="22"/>
      <c r="X65" s="22"/>
      <c r="Y65" s="13"/>
      <c r="Z65" s="22">
        <f t="shared" si="28"/>
        <v>0</v>
      </c>
      <c r="AA65" s="21"/>
      <c r="AB65" s="22"/>
      <c r="AC65" s="22">
        <f>[2]Nov!$S$1</f>
        <v>0</v>
      </c>
      <c r="AD65" s="22"/>
      <c r="AE65" s="22"/>
      <c r="AF65" s="22"/>
      <c r="AG65" s="22"/>
      <c r="AH65" s="22"/>
      <c r="AI65" s="22"/>
      <c r="AJ65" s="13"/>
      <c r="AK65" s="22">
        <f t="shared" si="29"/>
        <v>0</v>
      </c>
      <c r="AL65" s="21"/>
      <c r="AM65" s="22"/>
      <c r="AN65" s="22">
        <f>[2]Dec!$S$1</f>
        <v>0</v>
      </c>
      <c r="AO65" s="22"/>
      <c r="AP65" s="22"/>
      <c r="AQ65" s="22"/>
      <c r="AR65" s="22"/>
      <c r="AS65" s="22"/>
      <c r="AT65" s="22"/>
      <c r="AU65" s="13"/>
      <c r="AV65" s="22">
        <f t="shared" si="30"/>
        <v>0</v>
      </c>
      <c r="AW65" s="21"/>
      <c r="AX65" s="22"/>
      <c r="AY65" s="22">
        <f>[2]Jan!$S$1</f>
        <v>0</v>
      </c>
      <c r="AZ65" s="22"/>
      <c r="BA65" s="22"/>
      <c r="BB65" s="22"/>
      <c r="BC65" s="22"/>
      <c r="BD65" s="22"/>
      <c r="BE65" s="22"/>
      <c r="BF65" s="13"/>
      <c r="BG65" s="22">
        <f t="shared" si="31"/>
        <v>0</v>
      </c>
      <c r="BH65" s="21"/>
      <c r="BI65" s="22"/>
      <c r="BJ65" s="22">
        <f>[2]Feb!$S$1</f>
        <v>0</v>
      </c>
      <c r="BK65" s="22"/>
      <c r="BL65" s="22"/>
      <c r="BM65" s="22"/>
      <c r="BN65" s="22"/>
      <c r="BO65" s="22"/>
      <c r="BP65" s="22"/>
      <c r="BQ65" s="13"/>
      <c r="BR65" s="22">
        <f t="shared" si="32"/>
        <v>0</v>
      </c>
      <c r="BS65" s="21"/>
      <c r="BT65" s="22"/>
      <c r="BU65" s="22">
        <f>[2]Mar!$S$1</f>
        <v>0</v>
      </c>
      <c r="BV65" s="22"/>
      <c r="BW65" s="22"/>
      <c r="BX65" s="22"/>
      <c r="BY65" s="22"/>
      <c r="BZ65" s="22"/>
      <c r="CA65" s="22"/>
      <c r="CB65" s="13"/>
      <c r="CC65" s="22">
        <f t="shared" si="33"/>
        <v>0</v>
      </c>
      <c r="CD65" s="21"/>
      <c r="CE65" s="22"/>
      <c r="CF65" s="22">
        <f>[2]Apr!$S$1</f>
        <v>0</v>
      </c>
      <c r="CG65" s="22"/>
      <c r="CH65" s="22"/>
      <c r="CI65" s="22"/>
      <c r="CJ65" s="22"/>
      <c r="CK65" s="22"/>
      <c r="CL65" s="22"/>
      <c r="CM65" s="13"/>
      <c r="CN65" s="22">
        <f t="shared" si="34"/>
        <v>0</v>
      </c>
      <c r="CO65" s="21"/>
      <c r="CP65" s="22"/>
      <c r="CQ65" s="22">
        <f>[2]May!$S$1</f>
        <v>0</v>
      </c>
      <c r="CR65" s="22"/>
      <c r="CS65" s="22"/>
      <c r="CT65" s="22"/>
      <c r="CU65" s="22"/>
      <c r="CV65" s="22"/>
      <c r="CW65" s="22"/>
      <c r="CX65" s="13"/>
      <c r="CY65" s="22">
        <f t="shared" si="35"/>
        <v>0</v>
      </c>
      <c r="CZ65" s="21"/>
      <c r="DA65" s="22"/>
      <c r="DB65" s="22">
        <f>[2]Jun!$S$1</f>
        <v>0</v>
      </c>
      <c r="DC65" s="22"/>
      <c r="DD65" s="22"/>
      <c r="DE65" s="22"/>
      <c r="DF65" s="22"/>
      <c r="DG65" s="22"/>
      <c r="DH65" s="22"/>
      <c r="DI65" s="13"/>
      <c r="DJ65" s="22">
        <f t="shared" si="36"/>
        <v>0</v>
      </c>
      <c r="DK65" s="21"/>
      <c r="DL65" s="22"/>
      <c r="DM65" s="22">
        <f>[2]Jul!$S$1</f>
        <v>0</v>
      </c>
      <c r="DN65" s="22"/>
      <c r="DO65" s="22"/>
      <c r="DP65" s="22"/>
      <c r="DQ65" s="22"/>
      <c r="DR65" s="22"/>
      <c r="DS65" s="22"/>
      <c r="DT65" s="13"/>
      <c r="DU65" s="22">
        <f t="shared" si="37"/>
        <v>0</v>
      </c>
      <c r="DV65" s="21"/>
      <c r="DW65" s="22"/>
      <c r="DX65" s="22">
        <f>[2]Aug!$S$1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[2]Sep!$R$1</f>
        <v>0</v>
      </c>
      <c r="H66" s="22"/>
      <c r="I66" s="22"/>
      <c r="J66" s="22"/>
      <c r="K66" s="22"/>
      <c r="L66" s="22">
        <f>WagesInterface!C17-WagesInterface!I17</f>
        <v>0</v>
      </c>
      <c r="N66" s="21"/>
      <c r="O66" s="22">
        <f t="shared" si="27"/>
        <v>0</v>
      </c>
      <c r="P66" s="21"/>
      <c r="Q66" s="22"/>
      <c r="R66" s="22">
        <f>[2]Oct!$R$1</f>
        <v>0</v>
      </c>
      <c r="S66" s="22"/>
      <c r="T66" s="22"/>
      <c r="U66" s="22"/>
      <c r="V66" s="22"/>
      <c r="W66" s="22">
        <f>WagesInterface!C18-WagesInterface!I18</f>
        <v>0</v>
      </c>
      <c r="X66" s="22"/>
      <c r="Y66" s="13"/>
      <c r="Z66" s="22">
        <f t="shared" si="28"/>
        <v>0</v>
      </c>
      <c r="AA66" s="21"/>
      <c r="AB66" s="22"/>
      <c r="AC66" s="22">
        <f>[2]Nov!$R$1</f>
        <v>0</v>
      </c>
      <c r="AD66" s="22"/>
      <c r="AE66" s="22"/>
      <c r="AF66" s="22"/>
      <c r="AG66" s="22"/>
      <c r="AH66" s="22">
        <f>WagesInterface!C19-WagesInterface!I19</f>
        <v>0</v>
      </c>
      <c r="AI66" s="22"/>
      <c r="AJ66" s="13"/>
      <c r="AK66" s="22">
        <f t="shared" si="29"/>
        <v>0</v>
      </c>
      <c r="AL66" s="21"/>
      <c r="AM66" s="22"/>
      <c r="AN66" s="22">
        <f>[2]Dec!$R$1</f>
        <v>0</v>
      </c>
      <c r="AO66" s="22"/>
      <c r="AP66" s="22"/>
      <c r="AQ66" s="22"/>
      <c r="AR66" s="22"/>
      <c r="AS66" s="22">
        <f>WagesInterface!C20-WagesInterface!I20</f>
        <v>0</v>
      </c>
      <c r="AT66" s="22"/>
      <c r="AU66" s="13"/>
      <c r="AV66" s="22">
        <f t="shared" si="30"/>
        <v>0</v>
      </c>
      <c r="AW66" s="21"/>
      <c r="AX66" s="22"/>
      <c r="AY66" s="22">
        <f>[2]Jan!$R$1</f>
        <v>0</v>
      </c>
      <c r="AZ66" s="22"/>
      <c r="BA66" s="22"/>
      <c r="BB66" s="22"/>
      <c r="BC66" s="22"/>
      <c r="BD66" s="22">
        <f>WagesInterface!C21-WagesInterface!I21</f>
        <v>0</v>
      </c>
      <c r="BE66" s="22"/>
      <c r="BF66" s="13"/>
      <c r="BG66" s="22">
        <f t="shared" si="31"/>
        <v>0</v>
      </c>
      <c r="BH66" s="21"/>
      <c r="BI66" s="22"/>
      <c r="BJ66" s="22">
        <f>[2]Feb!$R$1</f>
        <v>0</v>
      </c>
      <c r="BK66" s="22"/>
      <c r="BL66" s="22"/>
      <c r="BM66" s="22"/>
      <c r="BN66" s="22"/>
      <c r="BO66" s="22">
        <f>WagesInterface!C22-WagesInterface!I22</f>
        <v>0</v>
      </c>
      <c r="BP66" s="22"/>
      <c r="BQ66" s="13"/>
      <c r="BR66" s="22">
        <f t="shared" si="32"/>
        <v>0</v>
      </c>
      <c r="BS66" s="21"/>
      <c r="BT66" s="22"/>
      <c r="BU66" s="22">
        <f>[2]Mar!$R$1</f>
        <v>0</v>
      </c>
      <c r="BV66" s="22"/>
      <c r="BW66" s="22"/>
      <c r="BX66" s="22"/>
      <c r="BY66" s="22"/>
      <c r="BZ66" s="22">
        <f>WagesInterface!C23-WagesInterface!I23</f>
        <v>0</v>
      </c>
      <c r="CA66" s="22"/>
      <c r="CB66" s="13"/>
      <c r="CC66" s="22">
        <f t="shared" si="33"/>
        <v>0</v>
      </c>
      <c r="CD66" s="21"/>
      <c r="CE66" s="22"/>
      <c r="CF66" s="22">
        <f>[2]Apr!$R$1</f>
        <v>0</v>
      </c>
      <c r="CG66" s="22"/>
      <c r="CH66" s="22"/>
      <c r="CI66" s="22"/>
      <c r="CJ66" s="22"/>
      <c r="CK66" s="22">
        <f>WagesInterface!C24-WagesInterface!I24</f>
        <v>0</v>
      </c>
      <c r="CL66" s="22"/>
      <c r="CM66" s="13"/>
      <c r="CN66" s="22">
        <f t="shared" si="34"/>
        <v>0</v>
      </c>
      <c r="CO66" s="21"/>
      <c r="CP66" s="22"/>
      <c r="CQ66" s="22">
        <f>[2]May!$R$1</f>
        <v>0</v>
      </c>
      <c r="CR66" s="22"/>
      <c r="CS66" s="22"/>
      <c r="CT66" s="22"/>
      <c r="CU66" s="22"/>
      <c r="CV66" s="22">
        <f>WagesInterface!C25-WagesInterface!I25</f>
        <v>0</v>
      </c>
      <c r="CW66" s="22"/>
      <c r="CX66" s="13"/>
      <c r="CY66" s="22">
        <f t="shared" si="35"/>
        <v>0</v>
      </c>
      <c r="CZ66" s="21"/>
      <c r="DA66" s="22"/>
      <c r="DB66" s="22">
        <f>[2]Jun!$R$1</f>
        <v>0</v>
      </c>
      <c r="DC66" s="22"/>
      <c r="DD66" s="22"/>
      <c r="DE66" s="22"/>
      <c r="DF66" s="22"/>
      <c r="DG66" s="22">
        <f>WagesInterface!C26-WagesInterface!I26</f>
        <v>0</v>
      </c>
      <c r="DH66" s="22"/>
      <c r="DI66" s="13"/>
      <c r="DJ66" s="22">
        <f t="shared" si="36"/>
        <v>0</v>
      </c>
      <c r="DK66" s="21"/>
      <c r="DL66" s="22"/>
      <c r="DM66" s="22">
        <f>[2]Jul!$R$1</f>
        <v>0</v>
      </c>
      <c r="DN66" s="22"/>
      <c r="DO66" s="22"/>
      <c r="DP66" s="22"/>
      <c r="DQ66" s="22"/>
      <c r="DR66" s="22">
        <f>WagesInterface!C27-WagesInterface!I27</f>
        <v>0</v>
      </c>
      <c r="DS66" s="22"/>
      <c r="DT66" s="13"/>
      <c r="DU66" s="22">
        <f t="shared" si="37"/>
        <v>0</v>
      </c>
      <c r="DV66" s="21"/>
      <c r="DW66" s="22"/>
      <c r="DX66" s="22">
        <f>[2]Aug!$R$1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[2]Sep!$T$1</f>
        <v>0</v>
      </c>
      <c r="H68" s="22"/>
      <c r="I68" s="22"/>
      <c r="J68" s="22"/>
      <c r="K68" s="22"/>
      <c r="L68" s="22"/>
      <c r="N68" s="21"/>
      <c r="O68" s="22">
        <f t="shared" si="27"/>
        <v>0</v>
      </c>
      <c r="P68" s="21"/>
      <c r="Q68" s="22"/>
      <c r="R68" s="22">
        <f>[2]Oct!$T$1</f>
        <v>0</v>
      </c>
      <c r="S68" s="22"/>
      <c r="T68" s="22"/>
      <c r="U68" s="22"/>
      <c r="V68" s="22"/>
      <c r="W68" s="22"/>
      <c r="X68" s="22"/>
      <c r="Y68" s="13"/>
      <c r="Z68" s="22">
        <f t="shared" si="28"/>
        <v>0</v>
      </c>
      <c r="AA68" s="21"/>
      <c r="AB68" s="22"/>
      <c r="AC68" s="22">
        <f>[2]Nov!$T$1</f>
        <v>0</v>
      </c>
      <c r="AD68" s="22"/>
      <c r="AE68" s="22"/>
      <c r="AF68" s="22"/>
      <c r="AG68" s="22"/>
      <c r="AH68" s="22"/>
      <c r="AI68" s="22"/>
      <c r="AJ68" s="13"/>
      <c r="AK68" s="22">
        <f t="shared" si="29"/>
        <v>0</v>
      </c>
      <c r="AL68" s="21"/>
      <c r="AM68" s="22"/>
      <c r="AN68" s="22">
        <f>[2]Dec!$T$1</f>
        <v>0</v>
      </c>
      <c r="AO68" s="22"/>
      <c r="AP68" s="22"/>
      <c r="AQ68" s="22"/>
      <c r="AR68" s="22"/>
      <c r="AS68" s="22"/>
      <c r="AT68" s="22"/>
      <c r="AU68" s="13"/>
      <c r="AV68" s="22">
        <f t="shared" si="30"/>
        <v>0</v>
      </c>
      <c r="AW68" s="21"/>
      <c r="AX68" s="22"/>
      <c r="AY68" s="22">
        <f>[2]Jan!$T$1</f>
        <v>0</v>
      </c>
      <c r="AZ68" s="22"/>
      <c r="BA68" s="22"/>
      <c r="BB68" s="22"/>
      <c r="BC68" s="22"/>
      <c r="BD68" s="22"/>
      <c r="BE68" s="22"/>
      <c r="BF68" s="13"/>
      <c r="BG68" s="22">
        <f t="shared" si="31"/>
        <v>0</v>
      </c>
      <c r="BH68" s="21"/>
      <c r="BI68" s="22"/>
      <c r="BJ68" s="22">
        <f>[2]Feb!$T$1</f>
        <v>0</v>
      </c>
      <c r="BK68" s="22"/>
      <c r="BL68" s="22"/>
      <c r="BM68" s="22"/>
      <c r="BN68" s="22"/>
      <c r="BO68" s="22"/>
      <c r="BP68" s="22"/>
      <c r="BQ68" s="13"/>
      <c r="BR68" s="22">
        <f t="shared" si="32"/>
        <v>0</v>
      </c>
      <c r="BS68" s="21"/>
      <c r="BT68" s="22"/>
      <c r="BU68" s="22">
        <f>[2]Mar!$T$1</f>
        <v>0</v>
      </c>
      <c r="BV68" s="22"/>
      <c r="BW68" s="22"/>
      <c r="BX68" s="22"/>
      <c r="BY68" s="22"/>
      <c r="BZ68" s="22"/>
      <c r="CA68" s="22"/>
      <c r="CB68" s="13"/>
      <c r="CC68" s="22">
        <f t="shared" si="33"/>
        <v>0</v>
      </c>
      <c r="CD68" s="21"/>
      <c r="CE68" s="22"/>
      <c r="CF68" s="22">
        <f>[2]Apr!$T$1</f>
        <v>0</v>
      </c>
      <c r="CG68" s="22"/>
      <c r="CH68" s="22"/>
      <c r="CI68" s="22"/>
      <c r="CJ68" s="22"/>
      <c r="CK68" s="22"/>
      <c r="CL68" s="22"/>
      <c r="CM68" s="13"/>
      <c r="CN68" s="22">
        <f t="shared" si="34"/>
        <v>0</v>
      </c>
      <c r="CO68" s="21"/>
      <c r="CP68" s="22"/>
      <c r="CQ68" s="22">
        <f>[2]May!$T$1</f>
        <v>0</v>
      </c>
      <c r="CR68" s="22"/>
      <c r="CS68" s="22"/>
      <c r="CT68" s="22"/>
      <c r="CU68" s="22"/>
      <c r="CV68" s="22"/>
      <c r="CW68" s="22"/>
      <c r="CX68" s="13"/>
      <c r="CY68" s="22">
        <f t="shared" si="35"/>
        <v>0</v>
      </c>
      <c r="CZ68" s="21"/>
      <c r="DA68" s="22"/>
      <c r="DB68" s="22">
        <f>[2]Jun!$T$1</f>
        <v>0</v>
      </c>
      <c r="DC68" s="22"/>
      <c r="DD68" s="22"/>
      <c r="DE68" s="22"/>
      <c r="DF68" s="22"/>
      <c r="DG68" s="22"/>
      <c r="DH68" s="22"/>
      <c r="DI68" s="13"/>
      <c r="DJ68" s="22">
        <f t="shared" si="36"/>
        <v>0</v>
      </c>
      <c r="DK68" s="21"/>
      <c r="DL68" s="22"/>
      <c r="DM68" s="22">
        <f>[2]Jul!$T$1</f>
        <v>0</v>
      </c>
      <c r="DN68" s="22"/>
      <c r="DO68" s="22"/>
      <c r="DP68" s="22"/>
      <c r="DQ68" s="22"/>
      <c r="DR68" s="22"/>
      <c r="DS68" s="22"/>
      <c r="DT68" s="13"/>
      <c r="DU68" s="22">
        <f t="shared" si="37"/>
        <v>0</v>
      </c>
      <c r="DV68" s="21"/>
      <c r="DW68" s="22"/>
      <c r="DX68" s="22">
        <f>[2]Aug!$T$1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[2]Sep!$U$1</f>
        <v>0</v>
      </c>
      <c r="H69" s="22"/>
      <c r="I69" s="22"/>
      <c r="J69" s="22"/>
      <c r="K69" s="22"/>
      <c r="L69" s="22"/>
      <c r="N69" s="21"/>
      <c r="O69" s="22">
        <f t="shared" si="27"/>
        <v>0</v>
      </c>
      <c r="P69" s="21"/>
      <c r="Q69" s="22"/>
      <c r="R69" s="22">
        <f>[2]Oct!$U$1</f>
        <v>0</v>
      </c>
      <c r="S69" s="22"/>
      <c r="T69" s="22"/>
      <c r="U69" s="22"/>
      <c r="V69" s="22"/>
      <c r="W69" s="22"/>
      <c r="X69" s="22"/>
      <c r="Y69" s="13"/>
      <c r="Z69" s="22">
        <f t="shared" si="28"/>
        <v>0</v>
      </c>
      <c r="AA69" s="21"/>
      <c r="AB69" s="22"/>
      <c r="AC69" s="22">
        <f>[2]Nov!$U$1</f>
        <v>0</v>
      </c>
      <c r="AD69" s="22"/>
      <c r="AE69" s="22"/>
      <c r="AF69" s="22"/>
      <c r="AG69" s="22"/>
      <c r="AH69" s="22"/>
      <c r="AI69" s="22"/>
      <c r="AJ69" s="13"/>
      <c r="AK69" s="22">
        <f t="shared" si="29"/>
        <v>0</v>
      </c>
      <c r="AL69" s="21"/>
      <c r="AM69" s="22"/>
      <c r="AN69" s="22">
        <f>[2]Dec!$U$1</f>
        <v>0</v>
      </c>
      <c r="AO69" s="22"/>
      <c r="AP69" s="22"/>
      <c r="AQ69" s="22"/>
      <c r="AR69" s="22"/>
      <c r="AS69" s="22"/>
      <c r="AT69" s="22"/>
      <c r="AU69" s="13"/>
      <c r="AV69" s="22">
        <f t="shared" si="30"/>
        <v>0</v>
      </c>
      <c r="AW69" s="21"/>
      <c r="AX69" s="22"/>
      <c r="AY69" s="22">
        <f>[2]Jan!$U$1</f>
        <v>0</v>
      </c>
      <c r="AZ69" s="22"/>
      <c r="BA69" s="22"/>
      <c r="BB69" s="22"/>
      <c r="BC69" s="22"/>
      <c r="BD69" s="22"/>
      <c r="BE69" s="22"/>
      <c r="BF69" s="13"/>
      <c r="BG69" s="22">
        <f t="shared" si="31"/>
        <v>0</v>
      </c>
      <c r="BH69" s="21"/>
      <c r="BI69" s="22"/>
      <c r="BJ69" s="22">
        <f>[2]Feb!$U$1</f>
        <v>0</v>
      </c>
      <c r="BK69" s="22"/>
      <c r="BL69" s="22"/>
      <c r="BM69" s="22"/>
      <c r="BN69" s="22"/>
      <c r="BO69" s="22"/>
      <c r="BP69" s="22"/>
      <c r="BQ69" s="13"/>
      <c r="BR69" s="22">
        <f t="shared" si="32"/>
        <v>0</v>
      </c>
      <c r="BS69" s="21"/>
      <c r="BT69" s="22"/>
      <c r="BU69" s="22">
        <f>[2]Mar!$U$1</f>
        <v>0</v>
      </c>
      <c r="BV69" s="22"/>
      <c r="BW69" s="22"/>
      <c r="BX69" s="22"/>
      <c r="BY69" s="22"/>
      <c r="BZ69" s="22"/>
      <c r="CA69" s="22"/>
      <c r="CB69" s="13"/>
      <c r="CC69" s="22">
        <f t="shared" si="33"/>
        <v>0</v>
      </c>
      <c r="CD69" s="21"/>
      <c r="CE69" s="22"/>
      <c r="CF69" s="22">
        <f>[2]Apr!$U$1</f>
        <v>0</v>
      </c>
      <c r="CG69" s="22"/>
      <c r="CH69" s="22"/>
      <c r="CI69" s="22"/>
      <c r="CJ69" s="22"/>
      <c r="CK69" s="22"/>
      <c r="CL69" s="22"/>
      <c r="CM69" s="13"/>
      <c r="CN69" s="22">
        <f t="shared" si="34"/>
        <v>0</v>
      </c>
      <c r="CO69" s="21"/>
      <c r="CP69" s="22"/>
      <c r="CQ69" s="22">
        <f>[2]May!$U$1</f>
        <v>0</v>
      </c>
      <c r="CR69" s="22"/>
      <c r="CS69" s="22"/>
      <c r="CT69" s="22"/>
      <c r="CU69" s="22"/>
      <c r="CV69" s="22"/>
      <c r="CW69" s="22"/>
      <c r="CX69" s="13"/>
      <c r="CY69" s="22">
        <f t="shared" si="35"/>
        <v>0</v>
      </c>
      <c r="CZ69" s="21"/>
      <c r="DA69" s="22"/>
      <c r="DB69" s="22">
        <f>[2]Jun!$U$1</f>
        <v>0</v>
      </c>
      <c r="DC69" s="22"/>
      <c r="DD69" s="22"/>
      <c r="DE69" s="22"/>
      <c r="DF69" s="22"/>
      <c r="DG69" s="22"/>
      <c r="DH69" s="22"/>
      <c r="DI69" s="13"/>
      <c r="DJ69" s="22">
        <f t="shared" si="36"/>
        <v>0</v>
      </c>
      <c r="DK69" s="21"/>
      <c r="DL69" s="22"/>
      <c r="DM69" s="22">
        <f>[2]Jul!$U$1</f>
        <v>0</v>
      </c>
      <c r="DN69" s="22"/>
      <c r="DO69" s="22"/>
      <c r="DP69" s="22"/>
      <c r="DQ69" s="22"/>
      <c r="DR69" s="22"/>
      <c r="DS69" s="22"/>
      <c r="DT69" s="13"/>
      <c r="DU69" s="22">
        <f t="shared" si="37"/>
        <v>0</v>
      </c>
      <c r="DV69" s="21"/>
      <c r="DW69" s="22"/>
      <c r="DX69" s="22">
        <f>[2]Aug!$U$1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[2]Sep!$V$1</f>
        <v>0</v>
      </c>
      <c r="H70" s="22"/>
      <c r="I70" s="22"/>
      <c r="J70" s="22"/>
      <c r="K70" s="22"/>
      <c r="L70" s="22"/>
      <c r="N70" s="21"/>
      <c r="O70" s="22">
        <f t="shared" si="27"/>
        <v>0</v>
      </c>
      <c r="P70" s="21"/>
      <c r="Q70" s="22"/>
      <c r="R70" s="22">
        <f>[2]Oct!$V$1</f>
        <v>0</v>
      </c>
      <c r="S70" s="22"/>
      <c r="T70" s="22"/>
      <c r="U70" s="22"/>
      <c r="V70" s="22"/>
      <c r="W70" s="22"/>
      <c r="X70" s="22"/>
      <c r="Y70" s="13"/>
      <c r="Z70" s="22">
        <f t="shared" si="28"/>
        <v>0</v>
      </c>
      <c r="AA70" s="21"/>
      <c r="AB70" s="22"/>
      <c r="AC70" s="22">
        <f>[2]Nov!$V$1</f>
        <v>0</v>
      </c>
      <c r="AD70" s="22"/>
      <c r="AE70" s="22"/>
      <c r="AF70" s="22"/>
      <c r="AG70" s="22"/>
      <c r="AH70" s="22"/>
      <c r="AI70" s="22"/>
      <c r="AJ70" s="13"/>
      <c r="AK70" s="22">
        <f t="shared" si="29"/>
        <v>0</v>
      </c>
      <c r="AL70" s="21"/>
      <c r="AM70" s="22"/>
      <c r="AN70" s="22">
        <f>[2]Dec!$V$1</f>
        <v>0</v>
      </c>
      <c r="AO70" s="22"/>
      <c r="AP70" s="22"/>
      <c r="AQ70" s="22"/>
      <c r="AR70" s="22"/>
      <c r="AS70" s="22"/>
      <c r="AT70" s="22"/>
      <c r="AU70" s="13"/>
      <c r="AV70" s="22">
        <f t="shared" si="30"/>
        <v>0</v>
      </c>
      <c r="AW70" s="21"/>
      <c r="AX70" s="22"/>
      <c r="AY70" s="22">
        <f>[2]Jan!$V$1</f>
        <v>0</v>
      </c>
      <c r="AZ70" s="22"/>
      <c r="BA70" s="22"/>
      <c r="BB70" s="22"/>
      <c r="BC70" s="22"/>
      <c r="BD70" s="22"/>
      <c r="BE70" s="22"/>
      <c r="BF70" s="13"/>
      <c r="BG70" s="22">
        <f t="shared" si="31"/>
        <v>0</v>
      </c>
      <c r="BH70" s="21"/>
      <c r="BI70" s="22"/>
      <c r="BJ70" s="22">
        <f>[2]Feb!$V$1</f>
        <v>0</v>
      </c>
      <c r="BK70" s="22"/>
      <c r="BL70" s="22"/>
      <c r="BM70" s="22"/>
      <c r="BN70" s="22"/>
      <c r="BO70" s="22"/>
      <c r="BP70" s="22"/>
      <c r="BQ70" s="13"/>
      <c r="BR70" s="22">
        <f t="shared" si="32"/>
        <v>0</v>
      </c>
      <c r="BS70" s="21"/>
      <c r="BT70" s="22"/>
      <c r="BU70" s="22">
        <f>[2]Mar!$V$1</f>
        <v>0</v>
      </c>
      <c r="BV70" s="22"/>
      <c r="BW70" s="22"/>
      <c r="BX70" s="22"/>
      <c r="BY70" s="22"/>
      <c r="BZ70" s="22"/>
      <c r="CA70" s="22"/>
      <c r="CB70" s="13"/>
      <c r="CC70" s="22">
        <f t="shared" si="33"/>
        <v>0</v>
      </c>
      <c r="CD70" s="21"/>
      <c r="CE70" s="22"/>
      <c r="CF70" s="22">
        <f>[2]Apr!$V$1</f>
        <v>0</v>
      </c>
      <c r="CG70" s="22"/>
      <c r="CH70" s="22"/>
      <c r="CI70" s="22"/>
      <c r="CJ70" s="22"/>
      <c r="CK70" s="22"/>
      <c r="CL70" s="22"/>
      <c r="CM70" s="13"/>
      <c r="CN70" s="22">
        <f t="shared" si="34"/>
        <v>0</v>
      </c>
      <c r="CO70" s="21"/>
      <c r="CP70" s="22"/>
      <c r="CQ70" s="22">
        <f>[2]May!$V$1</f>
        <v>0</v>
      </c>
      <c r="CR70" s="22"/>
      <c r="CS70" s="22"/>
      <c r="CT70" s="22"/>
      <c r="CU70" s="22"/>
      <c r="CV70" s="22"/>
      <c r="CW70" s="22"/>
      <c r="CX70" s="13"/>
      <c r="CY70" s="22">
        <f t="shared" si="35"/>
        <v>0</v>
      </c>
      <c r="CZ70" s="21"/>
      <c r="DA70" s="22"/>
      <c r="DB70" s="22">
        <f>[2]Jun!$V$1</f>
        <v>0</v>
      </c>
      <c r="DC70" s="22"/>
      <c r="DD70" s="22"/>
      <c r="DE70" s="22"/>
      <c r="DF70" s="22"/>
      <c r="DG70" s="22"/>
      <c r="DH70" s="22"/>
      <c r="DI70" s="13"/>
      <c r="DJ70" s="22">
        <f t="shared" si="36"/>
        <v>0</v>
      </c>
      <c r="DK70" s="21"/>
      <c r="DL70" s="22"/>
      <c r="DM70" s="22">
        <f>[2]Jul!$V$1</f>
        <v>0</v>
      </c>
      <c r="DN70" s="22"/>
      <c r="DO70" s="22"/>
      <c r="DP70" s="22"/>
      <c r="DQ70" s="22"/>
      <c r="DR70" s="22"/>
      <c r="DS70" s="22"/>
      <c r="DT70" s="13"/>
      <c r="DU70" s="22">
        <f t="shared" si="37"/>
        <v>0</v>
      </c>
      <c r="DV70" s="21"/>
      <c r="DW70" s="22"/>
      <c r="DX70" s="22">
        <f>[2]Aug!$V$1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[2]Sep!$W$1</f>
        <v>0</v>
      </c>
      <c r="H71" s="22"/>
      <c r="I71" s="22"/>
      <c r="J71" s="22"/>
      <c r="K71" s="22"/>
      <c r="L71" s="22"/>
      <c r="N71" s="21"/>
      <c r="O71" s="22">
        <f t="shared" si="27"/>
        <v>0</v>
      </c>
      <c r="P71" s="21"/>
      <c r="Q71" s="22"/>
      <c r="R71" s="22">
        <f>[2]Oct!$W$1</f>
        <v>0</v>
      </c>
      <c r="S71" s="22"/>
      <c r="T71" s="22"/>
      <c r="U71" s="22"/>
      <c r="V71" s="22"/>
      <c r="W71" s="22"/>
      <c r="X71" s="22"/>
      <c r="Y71" s="13"/>
      <c r="Z71" s="22">
        <f t="shared" si="28"/>
        <v>0</v>
      </c>
      <c r="AA71" s="21"/>
      <c r="AB71" s="22"/>
      <c r="AC71" s="22">
        <f>[2]Nov!$W$1</f>
        <v>0</v>
      </c>
      <c r="AD71" s="22"/>
      <c r="AE71" s="22"/>
      <c r="AF71" s="22"/>
      <c r="AG71" s="22"/>
      <c r="AH71" s="22"/>
      <c r="AI71" s="22"/>
      <c r="AJ71" s="13"/>
      <c r="AK71" s="22">
        <f t="shared" si="29"/>
        <v>0</v>
      </c>
      <c r="AL71" s="21"/>
      <c r="AM71" s="22"/>
      <c r="AN71" s="22">
        <f>[2]Dec!$W$1</f>
        <v>0</v>
      </c>
      <c r="AO71" s="22"/>
      <c r="AP71" s="22"/>
      <c r="AQ71" s="22"/>
      <c r="AR71" s="22"/>
      <c r="AS71" s="22"/>
      <c r="AT71" s="22"/>
      <c r="AU71" s="13"/>
      <c r="AV71" s="22">
        <f t="shared" si="30"/>
        <v>0</v>
      </c>
      <c r="AW71" s="21"/>
      <c r="AX71" s="22"/>
      <c r="AY71" s="22">
        <f>[2]Jan!$W$1</f>
        <v>0</v>
      </c>
      <c r="AZ71" s="22"/>
      <c r="BA71" s="22"/>
      <c r="BB71" s="22"/>
      <c r="BC71" s="22"/>
      <c r="BD71" s="22"/>
      <c r="BE71" s="22"/>
      <c r="BF71" s="13"/>
      <c r="BG71" s="22">
        <f t="shared" si="31"/>
        <v>0</v>
      </c>
      <c r="BH71" s="21"/>
      <c r="BI71" s="22"/>
      <c r="BJ71" s="22">
        <f>[2]Feb!$W$1</f>
        <v>0</v>
      </c>
      <c r="BK71" s="22"/>
      <c r="BL71" s="22"/>
      <c r="BM71" s="22"/>
      <c r="BN71" s="22"/>
      <c r="BO71" s="22"/>
      <c r="BP71" s="22"/>
      <c r="BQ71" s="13"/>
      <c r="BR71" s="22">
        <f t="shared" si="32"/>
        <v>0</v>
      </c>
      <c r="BS71" s="21"/>
      <c r="BT71" s="22"/>
      <c r="BU71" s="22">
        <f>[2]Mar!$W$1</f>
        <v>0</v>
      </c>
      <c r="BV71" s="22"/>
      <c r="BW71" s="22"/>
      <c r="BX71" s="22"/>
      <c r="BY71" s="22"/>
      <c r="BZ71" s="22"/>
      <c r="CA71" s="22"/>
      <c r="CB71" s="13"/>
      <c r="CC71" s="22">
        <f t="shared" si="33"/>
        <v>0</v>
      </c>
      <c r="CD71" s="21"/>
      <c r="CE71" s="22"/>
      <c r="CF71" s="22">
        <f>[2]Apr!$W$1</f>
        <v>0</v>
      </c>
      <c r="CG71" s="22"/>
      <c r="CH71" s="22"/>
      <c r="CI71" s="22"/>
      <c r="CJ71" s="22"/>
      <c r="CK71" s="22"/>
      <c r="CL71" s="22"/>
      <c r="CM71" s="13"/>
      <c r="CN71" s="22">
        <f t="shared" si="34"/>
        <v>0</v>
      </c>
      <c r="CO71" s="21"/>
      <c r="CP71" s="22"/>
      <c r="CQ71" s="22">
        <f>[2]May!$W$1</f>
        <v>0</v>
      </c>
      <c r="CR71" s="22"/>
      <c r="CS71" s="22"/>
      <c r="CT71" s="22"/>
      <c r="CU71" s="22"/>
      <c r="CV71" s="22"/>
      <c r="CW71" s="22"/>
      <c r="CX71" s="13"/>
      <c r="CY71" s="22">
        <f t="shared" si="35"/>
        <v>0</v>
      </c>
      <c r="CZ71" s="21"/>
      <c r="DA71" s="22"/>
      <c r="DB71" s="22">
        <f>[2]Jun!$W$1</f>
        <v>0</v>
      </c>
      <c r="DC71" s="22"/>
      <c r="DD71" s="22"/>
      <c r="DE71" s="22"/>
      <c r="DF71" s="22"/>
      <c r="DG71" s="22"/>
      <c r="DH71" s="22"/>
      <c r="DI71" s="13"/>
      <c r="DJ71" s="22">
        <f t="shared" si="36"/>
        <v>0</v>
      </c>
      <c r="DK71" s="21"/>
      <c r="DL71" s="22"/>
      <c r="DM71" s="22">
        <f>[2]Jul!$W$1</f>
        <v>0</v>
      </c>
      <c r="DN71" s="22"/>
      <c r="DO71" s="22"/>
      <c r="DP71" s="22"/>
      <c r="DQ71" s="22"/>
      <c r="DR71" s="22"/>
      <c r="DS71" s="22"/>
      <c r="DT71" s="13"/>
      <c r="DU71" s="22">
        <f t="shared" si="37"/>
        <v>0</v>
      </c>
      <c r="DV71" s="21"/>
      <c r="DW71" s="22"/>
      <c r="DX71" s="22">
        <f>[2]Aug!$W$1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[2]Sep!$X$1</f>
        <v>0</v>
      </c>
      <c r="H72" s="22"/>
      <c r="I72" s="22"/>
      <c r="J72" s="22"/>
      <c r="K72" s="22"/>
      <c r="L72" s="22"/>
      <c r="N72" s="21"/>
      <c r="O72" s="22">
        <f t="shared" si="27"/>
        <v>0</v>
      </c>
      <c r="P72" s="21"/>
      <c r="Q72" s="22"/>
      <c r="R72" s="22">
        <f>[2]Oct!$X$1</f>
        <v>0</v>
      </c>
      <c r="S72" s="22"/>
      <c r="T72" s="22"/>
      <c r="U72" s="22"/>
      <c r="V72" s="22"/>
      <c r="W72" s="22"/>
      <c r="X72" s="22"/>
      <c r="Y72" s="13"/>
      <c r="Z72" s="22">
        <f t="shared" si="28"/>
        <v>0</v>
      </c>
      <c r="AA72" s="21"/>
      <c r="AB72" s="22"/>
      <c r="AC72" s="22">
        <f>[2]Nov!$X$1</f>
        <v>0</v>
      </c>
      <c r="AD72" s="22"/>
      <c r="AE72" s="22"/>
      <c r="AF72" s="22"/>
      <c r="AG72" s="22"/>
      <c r="AH72" s="22"/>
      <c r="AI72" s="22"/>
      <c r="AJ72" s="13"/>
      <c r="AK72" s="22">
        <f t="shared" si="29"/>
        <v>0</v>
      </c>
      <c r="AL72" s="21"/>
      <c r="AM72" s="22"/>
      <c r="AN72" s="22">
        <f>[2]Dec!$X$1</f>
        <v>0</v>
      </c>
      <c r="AO72" s="22"/>
      <c r="AP72" s="22"/>
      <c r="AQ72" s="22"/>
      <c r="AR72" s="22"/>
      <c r="AS72" s="22"/>
      <c r="AT72" s="22"/>
      <c r="AU72" s="13"/>
      <c r="AV72" s="22">
        <f t="shared" si="30"/>
        <v>0</v>
      </c>
      <c r="AW72" s="21"/>
      <c r="AX72" s="22"/>
      <c r="AY72" s="22">
        <f>[2]Jan!$X$1</f>
        <v>0</v>
      </c>
      <c r="AZ72" s="22"/>
      <c r="BA72" s="22"/>
      <c r="BB72" s="22"/>
      <c r="BC72" s="22"/>
      <c r="BD72" s="22"/>
      <c r="BE72" s="22"/>
      <c r="BF72" s="13"/>
      <c r="BG72" s="22">
        <f t="shared" si="31"/>
        <v>0</v>
      </c>
      <c r="BH72" s="21"/>
      <c r="BI72" s="22"/>
      <c r="BJ72" s="22">
        <f>[2]Feb!$X$1</f>
        <v>0</v>
      </c>
      <c r="BK72" s="22"/>
      <c r="BL72" s="22"/>
      <c r="BM72" s="22"/>
      <c r="BN72" s="22"/>
      <c r="BO72" s="22"/>
      <c r="BP72" s="22"/>
      <c r="BQ72" s="13"/>
      <c r="BR72" s="22">
        <f t="shared" si="32"/>
        <v>0</v>
      </c>
      <c r="BS72" s="21"/>
      <c r="BT72" s="22"/>
      <c r="BU72" s="22">
        <f>[2]Mar!$X$1</f>
        <v>0</v>
      </c>
      <c r="BV72" s="22"/>
      <c r="BW72" s="22"/>
      <c r="BX72" s="22"/>
      <c r="BY72" s="22"/>
      <c r="BZ72" s="22"/>
      <c r="CA72" s="22"/>
      <c r="CB72" s="13"/>
      <c r="CC72" s="22">
        <f t="shared" si="33"/>
        <v>0</v>
      </c>
      <c r="CD72" s="21"/>
      <c r="CE72" s="22"/>
      <c r="CF72" s="22">
        <f>[2]Apr!$X$1</f>
        <v>0</v>
      </c>
      <c r="CG72" s="22"/>
      <c r="CH72" s="22"/>
      <c r="CI72" s="22"/>
      <c r="CJ72" s="22"/>
      <c r="CK72" s="22"/>
      <c r="CL72" s="22"/>
      <c r="CM72" s="13"/>
      <c r="CN72" s="22">
        <f t="shared" si="34"/>
        <v>0</v>
      </c>
      <c r="CO72" s="21"/>
      <c r="CP72" s="22"/>
      <c r="CQ72" s="22">
        <f>[2]May!$X$1</f>
        <v>0</v>
      </c>
      <c r="CR72" s="22"/>
      <c r="CS72" s="22"/>
      <c r="CT72" s="22"/>
      <c r="CU72" s="22"/>
      <c r="CV72" s="22"/>
      <c r="CW72" s="22"/>
      <c r="CX72" s="13"/>
      <c r="CY72" s="22">
        <f t="shared" si="35"/>
        <v>0</v>
      </c>
      <c r="CZ72" s="21"/>
      <c r="DA72" s="22"/>
      <c r="DB72" s="22">
        <f>[2]Jun!$X$1</f>
        <v>0</v>
      </c>
      <c r="DC72" s="22"/>
      <c r="DD72" s="22"/>
      <c r="DE72" s="22"/>
      <c r="DF72" s="22"/>
      <c r="DG72" s="22"/>
      <c r="DH72" s="22"/>
      <c r="DI72" s="13"/>
      <c r="DJ72" s="22">
        <f t="shared" si="36"/>
        <v>0</v>
      </c>
      <c r="DK72" s="21"/>
      <c r="DL72" s="22"/>
      <c r="DM72" s="22">
        <f>[2]Jul!$X$1</f>
        <v>0</v>
      </c>
      <c r="DN72" s="22"/>
      <c r="DO72" s="22"/>
      <c r="DP72" s="22"/>
      <c r="DQ72" s="22"/>
      <c r="DR72" s="22"/>
      <c r="DS72" s="22"/>
      <c r="DT72" s="13"/>
      <c r="DU72" s="22">
        <f t="shared" si="37"/>
        <v>0</v>
      </c>
      <c r="DV72" s="21"/>
      <c r="DW72" s="22"/>
      <c r="DX72" s="22">
        <f>[2]Aug!$X$1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[2]Sep!$Y$1</f>
        <v>0</v>
      </c>
      <c r="H73" s="22"/>
      <c r="I73" s="22"/>
      <c r="J73" s="22"/>
      <c r="K73" s="22"/>
      <c r="L73" s="22"/>
      <c r="N73" s="21"/>
      <c r="O73" s="22">
        <f t="shared" si="27"/>
        <v>0</v>
      </c>
      <c r="P73" s="21"/>
      <c r="Q73" s="22"/>
      <c r="R73" s="22">
        <f>[2]Oct!$Y$1</f>
        <v>0</v>
      </c>
      <c r="S73" s="22"/>
      <c r="T73" s="22"/>
      <c r="U73" s="22"/>
      <c r="V73" s="22"/>
      <c r="W73" s="22"/>
      <c r="X73" s="22"/>
      <c r="Y73" s="13"/>
      <c r="Z73" s="22">
        <f t="shared" si="28"/>
        <v>0</v>
      </c>
      <c r="AA73" s="21"/>
      <c r="AB73" s="22"/>
      <c r="AC73" s="22">
        <f>[2]Nov!$Y$1</f>
        <v>0</v>
      </c>
      <c r="AD73" s="22"/>
      <c r="AE73" s="22"/>
      <c r="AF73" s="22"/>
      <c r="AG73" s="22"/>
      <c r="AH73" s="22"/>
      <c r="AI73" s="22"/>
      <c r="AJ73" s="13"/>
      <c r="AK73" s="22">
        <f t="shared" si="29"/>
        <v>0</v>
      </c>
      <c r="AL73" s="21"/>
      <c r="AM73" s="22"/>
      <c r="AN73" s="22">
        <f>[2]Dec!$Y$1</f>
        <v>0</v>
      </c>
      <c r="AO73" s="22"/>
      <c r="AP73" s="22"/>
      <c r="AQ73" s="22"/>
      <c r="AR73" s="22"/>
      <c r="AS73" s="22"/>
      <c r="AT73" s="22"/>
      <c r="AU73" s="13"/>
      <c r="AV73" s="22">
        <f t="shared" si="30"/>
        <v>0</v>
      </c>
      <c r="AW73" s="21"/>
      <c r="AX73" s="22"/>
      <c r="AY73" s="22">
        <f>[2]Jan!$Y$1</f>
        <v>0</v>
      </c>
      <c r="AZ73" s="22"/>
      <c r="BA73" s="22"/>
      <c r="BB73" s="22"/>
      <c r="BC73" s="22"/>
      <c r="BD73" s="22"/>
      <c r="BE73" s="22"/>
      <c r="BF73" s="13"/>
      <c r="BG73" s="22">
        <f t="shared" si="31"/>
        <v>0</v>
      </c>
      <c r="BH73" s="21"/>
      <c r="BI73" s="22"/>
      <c r="BJ73" s="22">
        <f>[2]Feb!$Y$1</f>
        <v>0</v>
      </c>
      <c r="BK73" s="22"/>
      <c r="BL73" s="22"/>
      <c r="BM73" s="22"/>
      <c r="BN73" s="22"/>
      <c r="BO73" s="22"/>
      <c r="BP73" s="22"/>
      <c r="BQ73" s="13"/>
      <c r="BR73" s="22">
        <f t="shared" si="32"/>
        <v>0</v>
      </c>
      <c r="BS73" s="21"/>
      <c r="BT73" s="22"/>
      <c r="BU73" s="22">
        <f>[2]Mar!$Y$1</f>
        <v>0</v>
      </c>
      <c r="BV73" s="22"/>
      <c r="BW73" s="22"/>
      <c r="BX73" s="22"/>
      <c r="BY73" s="22"/>
      <c r="BZ73" s="22"/>
      <c r="CA73" s="22"/>
      <c r="CB73" s="13"/>
      <c r="CC73" s="22">
        <f t="shared" si="33"/>
        <v>0</v>
      </c>
      <c r="CD73" s="21"/>
      <c r="CE73" s="22"/>
      <c r="CF73" s="22">
        <f>[2]Apr!$Y$1</f>
        <v>0</v>
      </c>
      <c r="CG73" s="22"/>
      <c r="CH73" s="22"/>
      <c r="CI73" s="22"/>
      <c r="CJ73" s="22"/>
      <c r="CK73" s="22"/>
      <c r="CL73" s="22"/>
      <c r="CM73" s="13"/>
      <c r="CN73" s="22">
        <f t="shared" si="34"/>
        <v>0</v>
      </c>
      <c r="CO73" s="21"/>
      <c r="CP73" s="22"/>
      <c r="CQ73" s="22">
        <f>[2]May!$Y$1</f>
        <v>0</v>
      </c>
      <c r="CR73" s="22"/>
      <c r="CS73" s="22"/>
      <c r="CT73" s="22"/>
      <c r="CU73" s="22"/>
      <c r="CV73" s="22"/>
      <c r="CW73" s="22"/>
      <c r="CX73" s="13"/>
      <c r="CY73" s="22">
        <f t="shared" si="35"/>
        <v>0</v>
      </c>
      <c r="CZ73" s="21"/>
      <c r="DA73" s="22"/>
      <c r="DB73" s="22">
        <f>[2]Jun!$Y$1</f>
        <v>0</v>
      </c>
      <c r="DC73" s="22"/>
      <c r="DD73" s="22"/>
      <c r="DE73" s="22"/>
      <c r="DF73" s="22"/>
      <c r="DG73" s="22"/>
      <c r="DH73" s="22"/>
      <c r="DI73" s="13"/>
      <c r="DJ73" s="22">
        <f t="shared" si="36"/>
        <v>0</v>
      </c>
      <c r="DK73" s="21"/>
      <c r="DL73" s="22"/>
      <c r="DM73" s="22">
        <f>[2]Jul!$Y$1</f>
        <v>0</v>
      </c>
      <c r="DN73" s="22"/>
      <c r="DO73" s="22"/>
      <c r="DP73" s="22"/>
      <c r="DQ73" s="22"/>
      <c r="DR73" s="22"/>
      <c r="DS73" s="22"/>
      <c r="DT73" s="13"/>
      <c r="DU73" s="22">
        <f t="shared" si="37"/>
        <v>0</v>
      </c>
      <c r="DV73" s="21"/>
      <c r="DW73" s="22"/>
      <c r="DX73" s="22">
        <f>[2]Aug!$Y$1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[2]Sep!$Z$1</f>
        <v>0</v>
      </c>
      <c r="H74" s="22"/>
      <c r="I74" s="22"/>
      <c r="J74" s="22"/>
      <c r="K74" s="22"/>
      <c r="L74" s="22"/>
      <c r="N74" s="21"/>
      <c r="O74" s="22">
        <f t="shared" si="27"/>
        <v>0</v>
      </c>
      <c r="P74" s="21"/>
      <c r="Q74" s="22"/>
      <c r="R74" s="22">
        <f>[2]Oct!$Z$1</f>
        <v>0</v>
      </c>
      <c r="S74" s="22"/>
      <c r="T74" s="22"/>
      <c r="U74" s="22"/>
      <c r="V74" s="22"/>
      <c r="W74" s="22"/>
      <c r="X74" s="22"/>
      <c r="Y74" s="13"/>
      <c r="Z74" s="22">
        <f t="shared" si="28"/>
        <v>0</v>
      </c>
      <c r="AA74" s="21"/>
      <c r="AB74" s="22"/>
      <c r="AC74" s="22">
        <f>[2]Nov!$Z$1</f>
        <v>0</v>
      </c>
      <c r="AD74" s="22"/>
      <c r="AE74" s="22"/>
      <c r="AF74" s="22"/>
      <c r="AG74" s="22"/>
      <c r="AH74" s="22"/>
      <c r="AI74" s="22"/>
      <c r="AJ74" s="13"/>
      <c r="AK74" s="22">
        <f t="shared" si="29"/>
        <v>0</v>
      </c>
      <c r="AL74" s="21"/>
      <c r="AM74" s="22"/>
      <c r="AN74" s="22">
        <f>[2]Dec!$Z$1</f>
        <v>0</v>
      </c>
      <c r="AO74" s="22"/>
      <c r="AP74" s="22"/>
      <c r="AQ74" s="22"/>
      <c r="AR74" s="22"/>
      <c r="AS74" s="22"/>
      <c r="AT74" s="22"/>
      <c r="AU74" s="13"/>
      <c r="AV74" s="22">
        <f t="shared" si="30"/>
        <v>0</v>
      </c>
      <c r="AW74" s="21"/>
      <c r="AX74" s="22"/>
      <c r="AY74" s="22">
        <f>[2]Jan!$Z$1</f>
        <v>0</v>
      </c>
      <c r="AZ74" s="22"/>
      <c r="BA74" s="22"/>
      <c r="BB74" s="22"/>
      <c r="BC74" s="22"/>
      <c r="BD74" s="22"/>
      <c r="BE74" s="22"/>
      <c r="BF74" s="13"/>
      <c r="BG74" s="22">
        <f t="shared" si="31"/>
        <v>0</v>
      </c>
      <c r="BH74" s="21"/>
      <c r="BI74" s="22"/>
      <c r="BJ74" s="22">
        <f>[2]Feb!$Z$1</f>
        <v>0</v>
      </c>
      <c r="BK74" s="22"/>
      <c r="BL74" s="22"/>
      <c r="BM74" s="22"/>
      <c r="BN74" s="22"/>
      <c r="BO74" s="22"/>
      <c r="BP74" s="22"/>
      <c r="BQ74" s="13"/>
      <c r="BR74" s="22">
        <f t="shared" si="32"/>
        <v>0</v>
      </c>
      <c r="BS74" s="21"/>
      <c r="BT74" s="22"/>
      <c r="BU74" s="22">
        <f>[2]Mar!$Z$1</f>
        <v>0</v>
      </c>
      <c r="BV74" s="22"/>
      <c r="BW74" s="22"/>
      <c r="BX74" s="22"/>
      <c r="BY74" s="22"/>
      <c r="BZ74" s="22"/>
      <c r="CA74" s="22"/>
      <c r="CB74" s="13"/>
      <c r="CC74" s="22">
        <f t="shared" si="33"/>
        <v>0</v>
      </c>
      <c r="CD74" s="21"/>
      <c r="CE74" s="22"/>
      <c r="CF74" s="22">
        <f>[2]Apr!$Z$1</f>
        <v>0</v>
      </c>
      <c r="CG74" s="22"/>
      <c r="CH74" s="22"/>
      <c r="CI74" s="22"/>
      <c r="CJ74" s="22"/>
      <c r="CK74" s="22"/>
      <c r="CL74" s="22"/>
      <c r="CM74" s="13"/>
      <c r="CN74" s="22">
        <f t="shared" si="34"/>
        <v>0</v>
      </c>
      <c r="CO74" s="21"/>
      <c r="CP74" s="22"/>
      <c r="CQ74" s="22">
        <f>[2]May!$Z$1</f>
        <v>0</v>
      </c>
      <c r="CR74" s="22"/>
      <c r="CS74" s="22"/>
      <c r="CT74" s="22"/>
      <c r="CU74" s="22"/>
      <c r="CV74" s="22"/>
      <c r="CW74" s="22"/>
      <c r="CX74" s="13"/>
      <c r="CY74" s="22">
        <f t="shared" si="35"/>
        <v>0</v>
      </c>
      <c r="CZ74" s="21"/>
      <c r="DA74" s="22"/>
      <c r="DB74" s="22">
        <f>[2]Jun!$Z$1</f>
        <v>0</v>
      </c>
      <c r="DC74" s="22"/>
      <c r="DD74" s="22"/>
      <c r="DE74" s="22"/>
      <c r="DF74" s="22"/>
      <c r="DG74" s="22"/>
      <c r="DH74" s="22"/>
      <c r="DI74" s="13"/>
      <c r="DJ74" s="22">
        <f t="shared" si="36"/>
        <v>0</v>
      </c>
      <c r="DK74" s="21"/>
      <c r="DL74" s="22"/>
      <c r="DM74" s="22">
        <f>[2]Jul!$Z$1</f>
        <v>0</v>
      </c>
      <c r="DN74" s="22"/>
      <c r="DO74" s="22"/>
      <c r="DP74" s="22"/>
      <c r="DQ74" s="22"/>
      <c r="DR74" s="22"/>
      <c r="DS74" s="22"/>
      <c r="DT74" s="13"/>
      <c r="DU74" s="22">
        <f t="shared" si="37"/>
        <v>0</v>
      </c>
      <c r="DV74" s="21"/>
      <c r="DW74" s="22"/>
      <c r="DX74" s="22">
        <f>[2]Aug!$Z$1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[2]Sep!$AA$1</f>
        <v>0</v>
      </c>
      <c r="H75" s="22"/>
      <c r="I75" s="22"/>
      <c r="J75" s="22"/>
      <c r="K75" s="22"/>
      <c r="L75" s="22"/>
      <c r="N75" s="21"/>
      <c r="O75" s="22">
        <f t="shared" si="27"/>
        <v>0</v>
      </c>
      <c r="P75" s="21"/>
      <c r="Q75" s="22"/>
      <c r="R75" s="22">
        <f>[2]Oct!$AA$1</f>
        <v>0</v>
      </c>
      <c r="S75" s="22"/>
      <c r="T75" s="22"/>
      <c r="U75" s="22"/>
      <c r="V75" s="22"/>
      <c r="W75" s="22"/>
      <c r="X75" s="22"/>
      <c r="Y75" s="13"/>
      <c r="Z75" s="22">
        <f t="shared" si="28"/>
        <v>0</v>
      </c>
      <c r="AA75" s="21"/>
      <c r="AB75" s="22"/>
      <c r="AC75" s="22">
        <f>[2]Nov!$AA$1</f>
        <v>0</v>
      </c>
      <c r="AD75" s="22"/>
      <c r="AE75" s="22"/>
      <c r="AF75" s="22"/>
      <c r="AG75" s="22"/>
      <c r="AH75" s="22"/>
      <c r="AI75" s="22"/>
      <c r="AJ75" s="13"/>
      <c r="AK75" s="22">
        <f t="shared" si="29"/>
        <v>0</v>
      </c>
      <c r="AL75" s="21"/>
      <c r="AM75" s="22"/>
      <c r="AN75" s="22">
        <f>[2]Dec!$AA$1</f>
        <v>0</v>
      </c>
      <c r="AO75" s="22"/>
      <c r="AP75" s="22"/>
      <c r="AQ75" s="22"/>
      <c r="AR75" s="22"/>
      <c r="AS75" s="22"/>
      <c r="AT75" s="22"/>
      <c r="AU75" s="13"/>
      <c r="AV75" s="22">
        <f t="shared" si="30"/>
        <v>0</v>
      </c>
      <c r="AW75" s="21"/>
      <c r="AX75" s="22"/>
      <c r="AY75" s="22">
        <f>[2]Jan!$AA$1</f>
        <v>0</v>
      </c>
      <c r="AZ75" s="22"/>
      <c r="BA75" s="22"/>
      <c r="BB75" s="22"/>
      <c r="BC75" s="22"/>
      <c r="BD75" s="22"/>
      <c r="BE75" s="22"/>
      <c r="BF75" s="13"/>
      <c r="BG75" s="22">
        <f t="shared" si="31"/>
        <v>0</v>
      </c>
      <c r="BH75" s="21"/>
      <c r="BI75" s="22"/>
      <c r="BJ75" s="22">
        <f>[2]Feb!$AA$1</f>
        <v>0</v>
      </c>
      <c r="BK75" s="22"/>
      <c r="BL75" s="22"/>
      <c r="BM75" s="22"/>
      <c r="BN75" s="22"/>
      <c r="BO75" s="22"/>
      <c r="BP75" s="22"/>
      <c r="BQ75" s="13"/>
      <c r="BR75" s="22">
        <f t="shared" si="32"/>
        <v>0</v>
      </c>
      <c r="BS75" s="21"/>
      <c r="BT75" s="22"/>
      <c r="BU75" s="22">
        <f>[2]Mar!$AA$1</f>
        <v>0</v>
      </c>
      <c r="BV75" s="22"/>
      <c r="BW75" s="22"/>
      <c r="BX75" s="22"/>
      <c r="BY75" s="22"/>
      <c r="BZ75" s="22"/>
      <c r="CA75" s="22"/>
      <c r="CB75" s="13"/>
      <c r="CC75" s="22">
        <f t="shared" si="33"/>
        <v>0</v>
      </c>
      <c r="CD75" s="21"/>
      <c r="CE75" s="22"/>
      <c r="CF75" s="22">
        <f>[2]Apr!$AA$1</f>
        <v>0</v>
      </c>
      <c r="CG75" s="22"/>
      <c r="CH75" s="22"/>
      <c r="CI75" s="22"/>
      <c r="CJ75" s="22"/>
      <c r="CK75" s="22"/>
      <c r="CL75" s="22"/>
      <c r="CM75" s="13"/>
      <c r="CN75" s="22">
        <f t="shared" si="34"/>
        <v>0</v>
      </c>
      <c r="CO75" s="21"/>
      <c r="CP75" s="22"/>
      <c r="CQ75" s="22">
        <f>[2]May!$AA$1</f>
        <v>0</v>
      </c>
      <c r="CR75" s="22"/>
      <c r="CS75" s="22"/>
      <c r="CT75" s="22"/>
      <c r="CU75" s="22"/>
      <c r="CV75" s="22"/>
      <c r="CW75" s="22"/>
      <c r="CX75" s="13"/>
      <c r="CY75" s="22">
        <f t="shared" si="35"/>
        <v>0</v>
      </c>
      <c r="CZ75" s="21"/>
      <c r="DA75" s="22"/>
      <c r="DB75" s="22">
        <f>[2]Jun!$AA$1</f>
        <v>0</v>
      </c>
      <c r="DC75" s="22"/>
      <c r="DD75" s="22"/>
      <c r="DE75" s="22"/>
      <c r="DF75" s="22"/>
      <c r="DG75" s="22"/>
      <c r="DH75" s="22"/>
      <c r="DI75" s="13"/>
      <c r="DJ75" s="22">
        <f t="shared" si="36"/>
        <v>0</v>
      </c>
      <c r="DK75" s="21"/>
      <c r="DL75" s="22"/>
      <c r="DM75" s="22">
        <f>[2]Jul!$AA$1</f>
        <v>0</v>
      </c>
      <c r="DN75" s="22"/>
      <c r="DO75" s="22"/>
      <c r="DP75" s="22"/>
      <c r="DQ75" s="22"/>
      <c r="DR75" s="22"/>
      <c r="DS75" s="22"/>
      <c r="DT75" s="13"/>
      <c r="DU75" s="22">
        <f t="shared" si="37"/>
        <v>0</v>
      </c>
      <c r="DV75" s="21"/>
      <c r="DW75" s="22"/>
      <c r="DX75" s="22">
        <f>[2]Aug!$AA$1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[2]Sep!$AB$1</f>
        <v>0</v>
      </c>
      <c r="H76" s="22"/>
      <c r="I76" s="22"/>
      <c r="J76" s="22"/>
      <c r="K76" s="22"/>
      <c r="L76" s="22"/>
      <c r="N76" s="21"/>
      <c r="O76" s="22">
        <f t="shared" si="27"/>
        <v>0</v>
      </c>
      <c r="P76" s="21"/>
      <c r="Q76" s="22"/>
      <c r="R76" s="22">
        <f>[2]Oct!$AB$1</f>
        <v>0</v>
      </c>
      <c r="S76" s="22"/>
      <c r="T76" s="22"/>
      <c r="U76" s="22"/>
      <c r="V76" s="22"/>
      <c r="W76" s="22"/>
      <c r="X76" s="22"/>
      <c r="Y76" s="13"/>
      <c r="Z76" s="22">
        <f t="shared" si="28"/>
        <v>0</v>
      </c>
      <c r="AA76" s="21"/>
      <c r="AB76" s="22"/>
      <c r="AC76" s="22">
        <f>[2]Nov!$AB$1</f>
        <v>0</v>
      </c>
      <c r="AD76" s="22"/>
      <c r="AE76" s="22"/>
      <c r="AF76" s="22"/>
      <c r="AG76" s="22"/>
      <c r="AH76" s="22"/>
      <c r="AI76" s="22"/>
      <c r="AJ76" s="13"/>
      <c r="AK76" s="22">
        <f t="shared" si="29"/>
        <v>0</v>
      </c>
      <c r="AL76" s="21"/>
      <c r="AM76" s="22"/>
      <c r="AN76" s="22">
        <f>[2]Dec!$AB$1</f>
        <v>0</v>
      </c>
      <c r="AO76" s="22"/>
      <c r="AP76" s="22"/>
      <c r="AQ76" s="22"/>
      <c r="AR76" s="22"/>
      <c r="AS76" s="22"/>
      <c r="AT76" s="22"/>
      <c r="AU76" s="13"/>
      <c r="AV76" s="22">
        <f t="shared" si="30"/>
        <v>0</v>
      </c>
      <c r="AW76" s="21"/>
      <c r="AX76" s="22"/>
      <c r="AY76" s="22">
        <f>[2]Jan!$AB$1</f>
        <v>0</v>
      </c>
      <c r="AZ76" s="22"/>
      <c r="BA76" s="22"/>
      <c r="BB76" s="22"/>
      <c r="BC76" s="22"/>
      <c r="BD76" s="22"/>
      <c r="BE76" s="22"/>
      <c r="BF76" s="13"/>
      <c r="BG76" s="22">
        <f t="shared" si="31"/>
        <v>0</v>
      </c>
      <c r="BH76" s="21"/>
      <c r="BI76" s="22"/>
      <c r="BJ76" s="22">
        <f>[2]Feb!$AB$1</f>
        <v>0</v>
      </c>
      <c r="BK76" s="22"/>
      <c r="BL76" s="22"/>
      <c r="BM76" s="22"/>
      <c r="BN76" s="22"/>
      <c r="BO76" s="22"/>
      <c r="BP76" s="22"/>
      <c r="BQ76" s="13"/>
      <c r="BR76" s="22">
        <f t="shared" si="32"/>
        <v>0</v>
      </c>
      <c r="BS76" s="21"/>
      <c r="BT76" s="22"/>
      <c r="BU76" s="22">
        <f>[2]Mar!$AB$1</f>
        <v>0</v>
      </c>
      <c r="BV76" s="22"/>
      <c r="BW76" s="22"/>
      <c r="BX76" s="22"/>
      <c r="BY76" s="22"/>
      <c r="BZ76" s="22"/>
      <c r="CA76" s="22"/>
      <c r="CB76" s="13"/>
      <c r="CC76" s="22">
        <f t="shared" si="33"/>
        <v>0</v>
      </c>
      <c r="CD76" s="21"/>
      <c r="CE76" s="22"/>
      <c r="CF76" s="22">
        <f>[2]Apr!$AB$1</f>
        <v>0</v>
      </c>
      <c r="CG76" s="22"/>
      <c r="CH76" s="22"/>
      <c r="CI76" s="22"/>
      <c r="CJ76" s="22"/>
      <c r="CK76" s="22"/>
      <c r="CL76" s="22"/>
      <c r="CM76" s="13"/>
      <c r="CN76" s="22">
        <f t="shared" si="34"/>
        <v>0</v>
      </c>
      <c r="CO76" s="21"/>
      <c r="CP76" s="22"/>
      <c r="CQ76" s="22">
        <f>[2]May!$AB$1</f>
        <v>0</v>
      </c>
      <c r="CR76" s="22"/>
      <c r="CS76" s="22"/>
      <c r="CT76" s="22"/>
      <c r="CU76" s="22"/>
      <c r="CV76" s="22"/>
      <c r="CW76" s="22"/>
      <c r="CX76" s="13"/>
      <c r="CY76" s="22">
        <f t="shared" si="35"/>
        <v>0</v>
      </c>
      <c r="CZ76" s="21"/>
      <c r="DA76" s="22"/>
      <c r="DB76" s="22">
        <f>[2]Jun!$AB$1</f>
        <v>0</v>
      </c>
      <c r="DC76" s="22"/>
      <c r="DD76" s="22"/>
      <c r="DE76" s="22"/>
      <c r="DF76" s="22"/>
      <c r="DG76" s="22"/>
      <c r="DH76" s="22"/>
      <c r="DI76" s="13"/>
      <c r="DJ76" s="22">
        <f t="shared" si="36"/>
        <v>0</v>
      </c>
      <c r="DK76" s="21"/>
      <c r="DL76" s="22"/>
      <c r="DM76" s="22">
        <f>[2]Jul!$AB$1</f>
        <v>0</v>
      </c>
      <c r="DN76" s="22"/>
      <c r="DO76" s="22"/>
      <c r="DP76" s="22"/>
      <c r="DQ76" s="22"/>
      <c r="DR76" s="22"/>
      <c r="DS76" s="22"/>
      <c r="DT76" s="13"/>
      <c r="DU76" s="22">
        <f t="shared" si="37"/>
        <v>0</v>
      </c>
      <c r="DV76" s="21"/>
      <c r="DW76" s="22"/>
      <c r="DX76" s="22">
        <f>[2]Aug!$AB$1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[2]Sep!$AC$1</f>
        <v>0</v>
      </c>
      <c r="H77" s="22"/>
      <c r="I77" s="22"/>
      <c r="J77" s="22"/>
      <c r="K77" s="22"/>
      <c r="L77" s="22"/>
      <c r="N77" s="21"/>
      <c r="O77" s="22">
        <f t="shared" si="27"/>
        <v>0</v>
      </c>
      <c r="P77" s="21"/>
      <c r="Q77" s="22"/>
      <c r="R77" s="22">
        <f>[2]Oct!$AC$1</f>
        <v>0</v>
      </c>
      <c r="S77" s="22"/>
      <c r="T77" s="22"/>
      <c r="U77" s="22"/>
      <c r="V77" s="22"/>
      <c r="W77" s="22"/>
      <c r="X77" s="22"/>
      <c r="Y77" s="13"/>
      <c r="Z77" s="22">
        <f t="shared" si="28"/>
        <v>0</v>
      </c>
      <c r="AA77" s="21"/>
      <c r="AB77" s="22"/>
      <c r="AC77" s="22">
        <f>[2]Nov!$AC$1</f>
        <v>0</v>
      </c>
      <c r="AD77" s="22"/>
      <c r="AE77" s="22"/>
      <c r="AF77" s="22"/>
      <c r="AG77" s="22"/>
      <c r="AH77" s="22"/>
      <c r="AI77" s="22"/>
      <c r="AJ77" s="13"/>
      <c r="AK77" s="22">
        <f t="shared" si="29"/>
        <v>0</v>
      </c>
      <c r="AL77" s="21"/>
      <c r="AM77" s="22"/>
      <c r="AN77" s="22">
        <f>[2]Dec!$AC$1</f>
        <v>0</v>
      </c>
      <c r="AO77" s="22"/>
      <c r="AP77" s="22"/>
      <c r="AQ77" s="22"/>
      <c r="AR77" s="22"/>
      <c r="AS77" s="22"/>
      <c r="AT77" s="22"/>
      <c r="AU77" s="13"/>
      <c r="AV77" s="22">
        <f t="shared" si="30"/>
        <v>0</v>
      </c>
      <c r="AW77" s="21"/>
      <c r="AX77" s="22"/>
      <c r="AY77" s="22">
        <f>[2]Jan!$AC$1</f>
        <v>0</v>
      </c>
      <c r="AZ77" s="22"/>
      <c r="BA77" s="22"/>
      <c r="BB77" s="22"/>
      <c r="BC77" s="22"/>
      <c r="BD77" s="22"/>
      <c r="BE77" s="22"/>
      <c r="BF77" s="13"/>
      <c r="BG77" s="22">
        <f t="shared" si="31"/>
        <v>0</v>
      </c>
      <c r="BH77" s="21"/>
      <c r="BI77" s="22"/>
      <c r="BJ77" s="22">
        <f>[2]Feb!$AC$1</f>
        <v>0</v>
      </c>
      <c r="BK77" s="22"/>
      <c r="BL77" s="22"/>
      <c r="BM77" s="22"/>
      <c r="BN77" s="22"/>
      <c r="BO77" s="22"/>
      <c r="BP77" s="22"/>
      <c r="BQ77" s="13"/>
      <c r="BR77" s="22">
        <f t="shared" si="32"/>
        <v>0</v>
      </c>
      <c r="BS77" s="21"/>
      <c r="BT77" s="22"/>
      <c r="BU77" s="22">
        <f>[2]Mar!$AC$1</f>
        <v>0</v>
      </c>
      <c r="BV77" s="22"/>
      <c r="BW77" s="22"/>
      <c r="BX77" s="22"/>
      <c r="BY77" s="22"/>
      <c r="BZ77" s="22"/>
      <c r="CA77" s="22"/>
      <c r="CB77" s="13"/>
      <c r="CC77" s="22">
        <f t="shared" si="33"/>
        <v>0</v>
      </c>
      <c r="CD77" s="21"/>
      <c r="CE77" s="22"/>
      <c r="CF77" s="22">
        <f>[2]Apr!$AC$1</f>
        <v>0</v>
      </c>
      <c r="CG77" s="22"/>
      <c r="CH77" s="22"/>
      <c r="CI77" s="22"/>
      <c r="CJ77" s="22"/>
      <c r="CK77" s="22"/>
      <c r="CL77" s="22"/>
      <c r="CM77" s="13"/>
      <c r="CN77" s="22">
        <f t="shared" si="34"/>
        <v>0</v>
      </c>
      <c r="CO77" s="21"/>
      <c r="CP77" s="22"/>
      <c r="CQ77" s="22">
        <f>[2]May!$AC$1</f>
        <v>0</v>
      </c>
      <c r="CR77" s="22"/>
      <c r="CS77" s="22"/>
      <c r="CT77" s="22"/>
      <c r="CU77" s="22"/>
      <c r="CV77" s="22"/>
      <c r="CW77" s="22"/>
      <c r="CX77" s="13"/>
      <c r="CY77" s="22">
        <f t="shared" si="35"/>
        <v>0</v>
      </c>
      <c r="CZ77" s="21"/>
      <c r="DA77" s="22"/>
      <c r="DB77" s="22">
        <f>[2]Jun!$AC$1</f>
        <v>0</v>
      </c>
      <c r="DC77" s="22"/>
      <c r="DD77" s="22"/>
      <c r="DE77" s="22"/>
      <c r="DF77" s="22"/>
      <c r="DG77" s="22"/>
      <c r="DH77" s="22"/>
      <c r="DI77" s="13"/>
      <c r="DJ77" s="22">
        <f t="shared" si="36"/>
        <v>0</v>
      </c>
      <c r="DK77" s="21"/>
      <c r="DL77" s="22"/>
      <c r="DM77" s="22">
        <f>[2]Jul!$AC$1</f>
        <v>0</v>
      </c>
      <c r="DN77" s="22"/>
      <c r="DO77" s="22"/>
      <c r="DP77" s="22"/>
      <c r="DQ77" s="22"/>
      <c r="DR77" s="22"/>
      <c r="DS77" s="22"/>
      <c r="DT77" s="13"/>
      <c r="DU77" s="22">
        <f t="shared" si="37"/>
        <v>0</v>
      </c>
      <c r="DV77" s="21"/>
      <c r="DW77" s="22"/>
      <c r="DX77" s="22">
        <f>[2]Aug!$AC$1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[2]Sep!$AD$1</f>
        <v>0</v>
      </c>
      <c r="H78" s="22"/>
      <c r="I78" s="22"/>
      <c r="J78" s="22"/>
      <c r="K78" s="22"/>
      <c r="L78" s="22"/>
      <c r="N78" s="21"/>
      <c r="O78" s="22">
        <f t="shared" si="27"/>
        <v>0</v>
      </c>
      <c r="P78" s="21"/>
      <c r="Q78" s="22"/>
      <c r="R78" s="22">
        <f>[2]Oct!$AD$1</f>
        <v>0</v>
      </c>
      <c r="S78" s="22"/>
      <c r="T78" s="22"/>
      <c r="U78" s="22"/>
      <c r="V78" s="22"/>
      <c r="W78" s="22"/>
      <c r="X78" s="22"/>
      <c r="Y78" s="13"/>
      <c r="Z78" s="22">
        <f t="shared" si="28"/>
        <v>0</v>
      </c>
      <c r="AA78" s="21"/>
      <c r="AB78" s="22"/>
      <c r="AC78" s="22">
        <f>[2]Nov!$AD$1</f>
        <v>0</v>
      </c>
      <c r="AD78" s="22"/>
      <c r="AE78" s="22"/>
      <c r="AF78" s="22"/>
      <c r="AG78" s="22"/>
      <c r="AH78" s="22"/>
      <c r="AI78" s="22"/>
      <c r="AJ78" s="13"/>
      <c r="AK78" s="22">
        <f t="shared" si="29"/>
        <v>0</v>
      </c>
      <c r="AL78" s="21"/>
      <c r="AM78" s="22"/>
      <c r="AN78" s="22">
        <f>[2]Dec!$AD$1</f>
        <v>0</v>
      </c>
      <c r="AO78" s="22"/>
      <c r="AP78" s="22"/>
      <c r="AQ78" s="22"/>
      <c r="AR78" s="22"/>
      <c r="AS78" s="22"/>
      <c r="AT78" s="22"/>
      <c r="AU78" s="13"/>
      <c r="AV78" s="22">
        <f t="shared" si="30"/>
        <v>0</v>
      </c>
      <c r="AW78" s="21"/>
      <c r="AX78" s="22"/>
      <c r="AY78" s="22">
        <f>[2]Jan!$AD$1</f>
        <v>0</v>
      </c>
      <c r="AZ78" s="22"/>
      <c r="BA78" s="22"/>
      <c r="BB78" s="22"/>
      <c r="BC78" s="22"/>
      <c r="BD78" s="22"/>
      <c r="BE78" s="22"/>
      <c r="BF78" s="13"/>
      <c r="BG78" s="22">
        <f t="shared" si="31"/>
        <v>0</v>
      </c>
      <c r="BH78" s="21"/>
      <c r="BI78" s="22"/>
      <c r="BJ78" s="22">
        <f>[2]Feb!$AD$1</f>
        <v>0</v>
      </c>
      <c r="BK78" s="22"/>
      <c r="BL78" s="22"/>
      <c r="BM78" s="22"/>
      <c r="BN78" s="22"/>
      <c r="BO78" s="22"/>
      <c r="BP78" s="22"/>
      <c r="BQ78" s="13"/>
      <c r="BR78" s="22">
        <f t="shared" si="32"/>
        <v>0</v>
      </c>
      <c r="BS78" s="21"/>
      <c r="BT78" s="22"/>
      <c r="BU78" s="22">
        <f>[2]Mar!$AD$1</f>
        <v>0</v>
      </c>
      <c r="BV78" s="22"/>
      <c r="BW78" s="22"/>
      <c r="BX78" s="22"/>
      <c r="BY78" s="22"/>
      <c r="BZ78" s="22"/>
      <c r="CA78" s="22"/>
      <c r="CB78" s="13"/>
      <c r="CC78" s="22">
        <f t="shared" si="33"/>
        <v>0</v>
      </c>
      <c r="CD78" s="21"/>
      <c r="CE78" s="22"/>
      <c r="CF78" s="22">
        <f>[2]Apr!$AD$1</f>
        <v>0</v>
      </c>
      <c r="CG78" s="22"/>
      <c r="CH78" s="22"/>
      <c r="CI78" s="22"/>
      <c r="CJ78" s="22"/>
      <c r="CK78" s="22"/>
      <c r="CL78" s="22"/>
      <c r="CM78" s="13"/>
      <c r="CN78" s="22">
        <f t="shared" si="34"/>
        <v>0</v>
      </c>
      <c r="CO78" s="21"/>
      <c r="CP78" s="22"/>
      <c r="CQ78" s="22">
        <f>[2]May!$AD$1</f>
        <v>0</v>
      </c>
      <c r="CR78" s="22"/>
      <c r="CS78" s="22"/>
      <c r="CT78" s="22"/>
      <c r="CU78" s="22"/>
      <c r="CV78" s="22"/>
      <c r="CW78" s="22"/>
      <c r="CX78" s="13"/>
      <c r="CY78" s="22">
        <f t="shared" si="35"/>
        <v>0</v>
      </c>
      <c r="CZ78" s="21"/>
      <c r="DA78" s="22"/>
      <c r="DB78" s="22">
        <f>[2]Jun!$AD$1</f>
        <v>0</v>
      </c>
      <c r="DC78" s="22"/>
      <c r="DD78" s="22"/>
      <c r="DE78" s="22"/>
      <c r="DF78" s="22"/>
      <c r="DG78" s="22"/>
      <c r="DH78" s="22"/>
      <c r="DI78" s="13"/>
      <c r="DJ78" s="22">
        <f t="shared" si="36"/>
        <v>0</v>
      </c>
      <c r="DK78" s="21"/>
      <c r="DL78" s="22"/>
      <c r="DM78" s="22">
        <f>[2]Jul!$AD$1</f>
        <v>0</v>
      </c>
      <c r="DN78" s="22"/>
      <c r="DO78" s="22"/>
      <c r="DP78" s="22"/>
      <c r="DQ78" s="22"/>
      <c r="DR78" s="22"/>
      <c r="DS78" s="22"/>
      <c r="DT78" s="13"/>
      <c r="DU78" s="22">
        <f t="shared" si="37"/>
        <v>0</v>
      </c>
      <c r="DV78" s="21"/>
      <c r="DW78" s="22"/>
      <c r="DX78" s="22">
        <f>[2]Aug!$AD$1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[2]Sep!$AE$1</f>
        <v>0</v>
      </c>
      <c r="H79" s="22"/>
      <c r="I79" s="22"/>
      <c r="J79" s="22"/>
      <c r="K79" s="22"/>
      <c r="L79" s="22"/>
      <c r="N79" s="21"/>
      <c r="O79" s="22">
        <f t="shared" si="27"/>
        <v>0</v>
      </c>
      <c r="P79" s="21"/>
      <c r="Q79" s="22"/>
      <c r="R79" s="22">
        <f>[2]Oct!$AE$1</f>
        <v>0</v>
      </c>
      <c r="S79" s="22"/>
      <c r="T79" s="22"/>
      <c r="U79" s="22"/>
      <c r="V79" s="22"/>
      <c r="W79" s="22"/>
      <c r="X79" s="22"/>
      <c r="Y79" s="13"/>
      <c r="Z79" s="22">
        <f t="shared" si="28"/>
        <v>0</v>
      </c>
      <c r="AA79" s="21"/>
      <c r="AB79" s="22"/>
      <c r="AC79" s="22">
        <f>[2]Nov!$AE$1</f>
        <v>0</v>
      </c>
      <c r="AD79" s="22"/>
      <c r="AE79" s="22"/>
      <c r="AF79" s="22"/>
      <c r="AG79" s="22"/>
      <c r="AH79" s="22"/>
      <c r="AI79" s="22"/>
      <c r="AJ79" s="13"/>
      <c r="AK79" s="22">
        <f t="shared" si="29"/>
        <v>0</v>
      </c>
      <c r="AL79" s="21"/>
      <c r="AM79" s="22"/>
      <c r="AN79" s="22">
        <f>[2]Dec!$AE$1</f>
        <v>0</v>
      </c>
      <c r="AO79" s="22"/>
      <c r="AP79" s="22"/>
      <c r="AQ79" s="22"/>
      <c r="AR79" s="22"/>
      <c r="AS79" s="22"/>
      <c r="AT79" s="22"/>
      <c r="AU79" s="13"/>
      <c r="AV79" s="22">
        <f t="shared" si="30"/>
        <v>0</v>
      </c>
      <c r="AW79" s="21"/>
      <c r="AX79" s="22"/>
      <c r="AY79" s="22">
        <f>[2]Jan!$AE$1</f>
        <v>0</v>
      </c>
      <c r="AZ79" s="22"/>
      <c r="BA79" s="22"/>
      <c r="BB79" s="22"/>
      <c r="BC79" s="22"/>
      <c r="BD79" s="22"/>
      <c r="BE79" s="22"/>
      <c r="BF79" s="13"/>
      <c r="BG79" s="22">
        <f t="shared" si="31"/>
        <v>0</v>
      </c>
      <c r="BH79" s="21"/>
      <c r="BI79" s="22"/>
      <c r="BJ79" s="22">
        <f>[2]Feb!$AE$1</f>
        <v>0</v>
      </c>
      <c r="BK79" s="22"/>
      <c r="BL79" s="22"/>
      <c r="BM79" s="22"/>
      <c r="BN79" s="22"/>
      <c r="BO79" s="22"/>
      <c r="BP79" s="22"/>
      <c r="BQ79" s="13"/>
      <c r="BR79" s="22">
        <f t="shared" si="32"/>
        <v>0</v>
      </c>
      <c r="BS79" s="21"/>
      <c r="BT79" s="22"/>
      <c r="BU79" s="22">
        <f>[2]Mar!$AE$1</f>
        <v>0</v>
      </c>
      <c r="BV79" s="22"/>
      <c r="BW79" s="22"/>
      <c r="BX79" s="22"/>
      <c r="BY79" s="22"/>
      <c r="BZ79" s="22"/>
      <c r="CA79" s="22"/>
      <c r="CB79" s="13"/>
      <c r="CC79" s="22">
        <f t="shared" si="33"/>
        <v>0</v>
      </c>
      <c r="CD79" s="21"/>
      <c r="CE79" s="22"/>
      <c r="CF79" s="22">
        <f>[2]Apr!$AE$1</f>
        <v>0</v>
      </c>
      <c r="CG79" s="22"/>
      <c r="CH79" s="22"/>
      <c r="CI79" s="22"/>
      <c r="CJ79" s="22"/>
      <c r="CK79" s="22"/>
      <c r="CL79" s="22"/>
      <c r="CM79" s="13"/>
      <c r="CN79" s="22">
        <f t="shared" si="34"/>
        <v>0</v>
      </c>
      <c r="CO79" s="21"/>
      <c r="CP79" s="22"/>
      <c r="CQ79" s="22">
        <f>[2]May!$AE$1</f>
        <v>0</v>
      </c>
      <c r="CR79" s="22"/>
      <c r="CS79" s="22"/>
      <c r="CT79" s="22"/>
      <c r="CU79" s="22"/>
      <c r="CV79" s="22"/>
      <c r="CW79" s="22"/>
      <c r="CX79" s="13"/>
      <c r="CY79" s="22">
        <f t="shared" si="35"/>
        <v>0</v>
      </c>
      <c r="CZ79" s="21"/>
      <c r="DA79" s="22"/>
      <c r="DB79" s="22">
        <f>[2]Jun!$AE$1</f>
        <v>0</v>
      </c>
      <c r="DC79" s="22"/>
      <c r="DD79" s="22"/>
      <c r="DE79" s="22"/>
      <c r="DF79" s="22"/>
      <c r="DG79" s="22"/>
      <c r="DH79" s="22"/>
      <c r="DI79" s="13"/>
      <c r="DJ79" s="22">
        <f t="shared" si="36"/>
        <v>0</v>
      </c>
      <c r="DK79" s="21"/>
      <c r="DL79" s="22"/>
      <c r="DM79" s="22">
        <f>[2]Jul!$AE$1</f>
        <v>0</v>
      </c>
      <c r="DN79" s="22"/>
      <c r="DO79" s="22"/>
      <c r="DP79" s="22"/>
      <c r="DQ79" s="22"/>
      <c r="DR79" s="22"/>
      <c r="DS79" s="22"/>
      <c r="DT79" s="13"/>
      <c r="DU79" s="22">
        <f t="shared" si="37"/>
        <v>0</v>
      </c>
      <c r="DV79" s="21"/>
      <c r="DW79" s="22"/>
      <c r="DX79" s="22">
        <f>[2]Aug!$AE$1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[2]Sep!$AF$1</f>
        <v>0</v>
      </c>
      <c r="H80" s="22"/>
      <c r="I80" s="22"/>
      <c r="J80" s="22"/>
      <c r="K80" s="22"/>
      <c r="L80" s="22"/>
      <c r="N80" s="21"/>
      <c r="O80" s="22">
        <f t="shared" si="27"/>
        <v>0</v>
      </c>
      <c r="P80" s="21"/>
      <c r="Q80" s="22"/>
      <c r="R80" s="22">
        <f>[2]Oct!$AF$1</f>
        <v>0</v>
      </c>
      <c r="S80" s="22"/>
      <c r="T80" s="22"/>
      <c r="U80" s="22"/>
      <c r="V80" s="22"/>
      <c r="W80" s="22"/>
      <c r="X80" s="22"/>
      <c r="Y80" s="13"/>
      <c r="Z80" s="22">
        <f t="shared" si="28"/>
        <v>0</v>
      </c>
      <c r="AA80" s="21"/>
      <c r="AB80" s="22"/>
      <c r="AC80" s="22">
        <f>[2]Nov!$AF$1</f>
        <v>0</v>
      </c>
      <c r="AD80" s="22"/>
      <c r="AE80" s="22"/>
      <c r="AF80" s="22"/>
      <c r="AG80" s="22"/>
      <c r="AH80" s="22"/>
      <c r="AI80" s="22"/>
      <c r="AJ80" s="13"/>
      <c r="AK80" s="22">
        <f t="shared" si="29"/>
        <v>0</v>
      </c>
      <c r="AL80" s="21"/>
      <c r="AM80" s="22"/>
      <c r="AN80" s="22">
        <f>[2]Dec!$AF$1</f>
        <v>0</v>
      </c>
      <c r="AO80" s="22"/>
      <c r="AP80" s="22"/>
      <c r="AQ80" s="22"/>
      <c r="AR80" s="22"/>
      <c r="AS80" s="22"/>
      <c r="AT80" s="22"/>
      <c r="AU80" s="13"/>
      <c r="AV80" s="22">
        <f t="shared" si="30"/>
        <v>0</v>
      </c>
      <c r="AW80" s="21"/>
      <c r="AX80" s="22"/>
      <c r="AY80" s="22">
        <f>[2]Jan!$AF$1</f>
        <v>0</v>
      </c>
      <c r="AZ80" s="22"/>
      <c r="BA80" s="22"/>
      <c r="BB80" s="22"/>
      <c r="BC80" s="22"/>
      <c r="BD80" s="22"/>
      <c r="BE80" s="22"/>
      <c r="BF80" s="13"/>
      <c r="BG80" s="22">
        <f t="shared" si="31"/>
        <v>0</v>
      </c>
      <c r="BH80" s="21"/>
      <c r="BI80" s="22"/>
      <c r="BJ80" s="22">
        <f>[2]Feb!$AF$1</f>
        <v>0</v>
      </c>
      <c r="BK80" s="22"/>
      <c r="BL80" s="22"/>
      <c r="BM80" s="22"/>
      <c r="BN80" s="22"/>
      <c r="BO80" s="22"/>
      <c r="BP80" s="22"/>
      <c r="BQ80" s="13"/>
      <c r="BR80" s="22">
        <f t="shared" si="32"/>
        <v>0</v>
      </c>
      <c r="BS80" s="21"/>
      <c r="BT80" s="22"/>
      <c r="BU80" s="22">
        <f>[2]Mar!$AF$1</f>
        <v>0</v>
      </c>
      <c r="BV80" s="22"/>
      <c r="BW80" s="22"/>
      <c r="BX80" s="22"/>
      <c r="BY80" s="22"/>
      <c r="BZ80" s="22"/>
      <c r="CA80" s="22"/>
      <c r="CB80" s="13"/>
      <c r="CC80" s="22">
        <f t="shared" si="33"/>
        <v>0</v>
      </c>
      <c r="CD80" s="21"/>
      <c r="CE80" s="22"/>
      <c r="CF80" s="22">
        <f>[2]Apr!$AF$1</f>
        <v>0</v>
      </c>
      <c r="CG80" s="22"/>
      <c r="CH80" s="22"/>
      <c r="CI80" s="22"/>
      <c r="CJ80" s="22"/>
      <c r="CK80" s="22"/>
      <c r="CL80" s="22"/>
      <c r="CM80" s="13"/>
      <c r="CN80" s="22">
        <f t="shared" si="34"/>
        <v>0</v>
      </c>
      <c r="CO80" s="21"/>
      <c r="CP80" s="22"/>
      <c r="CQ80" s="22">
        <f>[2]May!$AF$1</f>
        <v>0</v>
      </c>
      <c r="CR80" s="22"/>
      <c r="CS80" s="22"/>
      <c r="CT80" s="22"/>
      <c r="CU80" s="22"/>
      <c r="CV80" s="22"/>
      <c r="CW80" s="22"/>
      <c r="CX80" s="13"/>
      <c r="CY80" s="22">
        <f t="shared" si="35"/>
        <v>0</v>
      </c>
      <c r="CZ80" s="21"/>
      <c r="DA80" s="22"/>
      <c r="DB80" s="22">
        <f>[2]Jun!$AF$1</f>
        <v>0</v>
      </c>
      <c r="DC80" s="22"/>
      <c r="DD80" s="22"/>
      <c r="DE80" s="22"/>
      <c r="DF80" s="22"/>
      <c r="DG80" s="22"/>
      <c r="DH80" s="22"/>
      <c r="DI80" s="13"/>
      <c r="DJ80" s="22">
        <f t="shared" si="36"/>
        <v>0</v>
      </c>
      <c r="DK80" s="21"/>
      <c r="DL80" s="22"/>
      <c r="DM80" s="22">
        <f>[2]Jul!$AF$1</f>
        <v>0</v>
      </c>
      <c r="DN80" s="22"/>
      <c r="DO80" s="22"/>
      <c r="DP80" s="22"/>
      <c r="DQ80" s="22"/>
      <c r="DR80" s="22"/>
      <c r="DS80" s="22"/>
      <c r="DT80" s="13"/>
      <c r="DU80" s="22">
        <f t="shared" si="37"/>
        <v>0</v>
      </c>
      <c r="DV80" s="21"/>
      <c r="DW80" s="22"/>
      <c r="DX80" s="22">
        <f>[2]Aug!$AF$1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-[3]Sep!$T$1</f>
        <v>0</v>
      </c>
      <c r="G81" s="22"/>
      <c r="H81" s="22"/>
      <c r="I81" s="22"/>
      <c r="J81" s="22"/>
      <c r="K81" s="22"/>
      <c r="L81" s="22"/>
      <c r="N81" s="21"/>
      <c r="O81" s="22">
        <f t="shared" si="27"/>
        <v>0</v>
      </c>
      <c r="P81" s="21"/>
      <c r="Q81" s="22">
        <f>-[3]Oct!$T$1</f>
        <v>0</v>
      </c>
      <c r="R81" s="22"/>
      <c r="S81" s="22"/>
      <c r="T81" s="22"/>
      <c r="U81" s="22"/>
      <c r="V81" s="22"/>
      <c r="W81" s="22"/>
      <c r="X81" s="22"/>
      <c r="Y81" s="13"/>
      <c r="Z81" s="22">
        <f t="shared" si="28"/>
        <v>0</v>
      </c>
      <c r="AA81" s="21"/>
      <c r="AB81" s="22">
        <f>-[3]Nov!$T$1</f>
        <v>0</v>
      </c>
      <c r="AC81" s="22"/>
      <c r="AD81" s="22"/>
      <c r="AE81" s="22"/>
      <c r="AF81" s="22"/>
      <c r="AG81" s="22"/>
      <c r="AH81" s="22"/>
      <c r="AI81" s="22"/>
      <c r="AJ81" s="13"/>
      <c r="AK81" s="22">
        <f t="shared" si="29"/>
        <v>0</v>
      </c>
      <c r="AL81" s="21"/>
      <c r="AM81" s="22">
        <f>-[3]Dec!$T$1</f>
        <v>0</v>
      </c>
      <c r="AN81" s="22"/>
      <c r="AO81" s="22"/>
      <c r="AP81" s="22"/>
      <c r="AQ81" s="22"/>
      <c r="AR81" s="22"/>
      <c r="AS81" s="22"/>
      <c r="AT81" s="22"/>
      <c r="AU81" s="13"/>
      <c r="AV81" s="22">
        <f t="shared" si="30"/>
        <v>0</v>
      </c>
      <c r="AW81" s="21"/>
      <c r="AX81" s="22">
        <f>-[3]Jan!$T$1</f>
        <v>0</v>
      </c>
      <c r="AY81" s="22"/>
      <c r="AZ81" s="22"/>
      <c r="BA81" s="22"/>
      <c r="BB81" s="22"/>
      <c r="BC81" s="22"/>
      <c r="BD81" s="22"/>
      <c r="BE81" s="22"/>
      <c r="BF81" s="13"/>
      <c r="BG81" s="22">
        <f t="shared" si="31"/>
        <v>0</v>
      </c>
      <c r="BH81" s="21"/>
      <c r="BI81" s="22">
        <f>-[3]Feb!$T$1</f>
        <v>0</v>
      </c>
      <c r="BJ81" s="22"/>
      <c r="BK81" s="22"/>
      <c r="BL81" s="22"/>
      <c r="BM81" s="22"/>
      <c r="BN81" s="22"/>
      <c r="BO81" s="22"/>
      <c r="BP81" s="22"/>
      <c r="BQ81" s="13"/>
      <c r="BR81" s="22">
        <f t="shared" si="32"/>
        <v>0</v>
      </c>
      <c r="BS81" s="21"/>
      <c r="BT81" s="22">
        <f>-[3]Mar!$T$1</f>
        <v>0</v>
      </c>
      <c r="BU81" s="22"/>
      <c r="BV81" s="22"/>
      <c r="BW81" s="22"/>
      <c r="BX81" s="22"/>
      <c r="BY81" s="22"/>
      <c r="BZ81" s="22"/>
      <c r="CA81" s="22"/>
      <c r="CB81" s="13"/>
      <c r="CC81" s="22">
        <f t="shared" si="33"/>
        <v>0</v>
      </c>
      <c r="CD81" s="21"/>
      <c r="CE81" s="22">
        <f>-[3]Apr!$T$1</f>
        <v>0</v>
      </c>
      <c r="CF81" s="22"/>
      <c r="CG81" s="22"/>
      <c r="CH81" s="22"/>
      <c r="CI81" s="22"/>
      <c r="CJ81" s="22"/>
      <c r="CK81" s="22"/>
      <c r="CL81" s="22"/>
      <c r="CM81" s="13"/>
      <c r="CN81" s="22">
        <f t="shared" si="34"/>
        <v>0</v>
      </c>
      <c r="CO81" s="21"/>
      <c r="CP81" s="22">
        <f>-[3]May!$T$1</f>
        <v>0</v>
      </c>
      <c r="CQ81" s="22"/>
      <c r="CR81" s="22"/>
      <c r="CS81" s="22"/>
      <c r="CT81" s="22"/>
      <c r="CU81" s="22"/>
      <c r="CV81" s="22"/>
      <c r="CW81" s="22"/>
      <c r="CX81" s="13"/>
      <c r="CY81" s="22">
        <f t="shared" si="35"/>
        <v>0</v>
      </c>
      <c r="CZ81" s="21"/>
      <c r="DA81" s="22">
        <f>-[3]Jun!$T$1</f>
        <v>0</v>
      </c>
      <c r="DB81" s="22"/>
      <c r="DC81" s="22"/>
      <c r="DD81" s="22"/>
      <c r="DE81" s="22"/>
      <c r="DF81" s="22"/>
      <c r="DG81" s="22"/>
      <c r="DH81" s="22"/>
      <c r="DI81" s="13"/>
      <c r="DJ81" s="22">
        <f t="shared" si="36"/>
        <v>0</v>
      </c>
      <c r="DK81" s="21"/>
      <c r="DL81" s="22">
        <f>-[3]Jul!$T$1</f>
        <v>0</v>
      </c>
      <c r="DM81" s="22"/>
      <c r="DN81" s="22"/>
      <c r="DO81" s="22"/>
      <c r="DP81" s="22"/>
      <c r="DQ81" s="22"/>
      <c r="DR81" s="22"/>
      <c r="DS81" s="22"/>
      <c r="DT81" s="13"/>
      <c r="DU81" s="22">
        <f t="shared" si="37"/>
        <v>0</v>
      </c>
      <c r="DV81" s="21"/>
      <c r="DW81" s="22">
        <f>-[3]Aug!$T$1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[4]Sep!$AE$1</f>
        <v>0</v>
      </c>
      <c r="I82" s="22">
        <f>[5]Sep!$AE$1</f>
        <v>0</v>
      </c>
      <c r="J82" s="22">
        <f>[6]Sep!$AE$1</f>
        <v>0</v>
      </c>
      <c r="K82" s="22">
        <f>[7]Sep!$AB$1</f>
        <v>0</v>
      </c>
      <c r="L82" s="22"/>
      <c r="N82" s="21"/>
      <c r="O82" s="22">
        <f t="shared" si="27"/>
        <v>0</v>
      </c>
      <c r="P82" s="21"/>
      <c r="Q82" s="22"/>
      <c r="R82" s="22"/>
      <c r="S82" s="22">
        <f>[4]Oct!$AE$1</f>
        <v>0</v>
      </c>
      <c r="T82" s="22">
        <f>[5]Oct!$AE$1</f>
        <v>0</v>
      </c>
      <c r="U82" s="22">
        <f>[6]Oct!$AE$1</f>
        <v>0</v>
      </c>
      <c r="V82" s="22">
        <f>[7]Oct!$AB$1</f>
        <v>0</v>
      </c>
      <c r="W82" s="22"/>
      <c r="X82" s="22"/>
      <c r="Y82" s="13"/>
      <c r="Z82" s="22">
        <f t="shared" si="28"/>
        <v>0</v>
      </c>
      <c r="AA82" s="21"/>
      <c r="AB82" s="22"/>
      <c r="AC82" s="22"/>
      <c r="AD82" s="22">
        <f>[4]Nov!$AE$1</f>
        <v>0</v>
      </c>
      <c r="AE82" s="22">
        <f>[5]Nov!$AE$1</f>
        <v>0</v>
      </c>
      <c r="AF82" s="22">
        <f>[6]Nov!$AE$1</f>
        <v>0</v>
      </c>
      <c r="AG82" s="22">
        <f>[7]Nov!$AB$1</f>
        <v>0</v>
      </c>
      <c r="AH82" s="22"/>
      <c r="AI82" s="22"/>
      <c r="AJ82" s="13"/>
      <c r="AK82" s="22">
        <f t="shared" si="29"/>
        <v>0</v>
      </c>
      <c r="AL82" s="21"/>
      <c r="AM82" s="22"/>
      <c r="AN82" s="22"/>
      <c r="AO82" s="22">
        <f>[4]Dec!$AE$1</f>
        <v>0</v>
      </c>
      <c r="AP82" s="22">
        <f>[5]Dec!$AE$1</f>
        <v>0</v>
      </c>
      <c r="AQ82" s="22">
        <f>[6]Dec!$AE$1</f>
        <v>0</v>
      </c>
      <c r="AR82" s="22">
        <f>[7]Dec!$AB$1</f>
        <v>0</v>
      </c>
      <c r="AS82" s="22"/>
      <c r="AT82" s="22"/>
      <c r="AU82" s="13"/>
      <c r="AV82" s="22">
        <f t="shared" si="30"/>
        <v>0</v>
      </c>
      <c r="AW82" s="21"/>
      <c r="AX82" s="22"/>
      <c r="AY82" s="22"/>
      <c r="AZ82" s="22">
        <f>[4]Jan!$AE$1</f>
        <v>0</v>
      </c>
      <c r="BA82" s="22">
        <f>[5]Jan!$AE$1</f>
        <v>0</v>
      </c>
      <c r="BB82" s="22">
        <f>[6]Jan!$AE$1</f>
        <v>0</v>
      </c>
      <c r="BC82" s="22">
        <f>[7]Jan!$AB$1</f>
        <v>0</v>
      </c>
      <c r="BD82" s="22"/>
      <c r="BE82" s="22"/>
      <c r="BF82" s="13"/>
      <c r="BG82" s="22">
        <f t="shared" si="31"/>
        <v>0</v>
      </c>
      <c r="BH82" s="21"/>
      <c r="BI82" s="22"/>
      <c r="BJ82" s="22"/>
      <c r="BK82" s="22">
        <f>[4]Feb!$AE$1</f>
        <v>0</v>
      </c>
      <c r="BL82" s="22">
        <f>[5]Feb!$AE$1</f>
        <v>0</v>
      </c>
      <c r="BM82" s="22">
        <f>[6]Feb!$AE$1</f>
        <v>0</v>
      </c>
      <c r="BN82" s="22">
        <f>[7]Feb!$AB$1</f>
        <v>0</v>
      </c>
      <c r="BO82" s="22"/>
      <c r="BP82" s="22"/>
      <c r="BQ82" s="13"/>
      <c r="BR82" s="22">
        <f t="shared" si="32"/>
        <v>0</v>
      </c>
      <c r="BS82" s="21"/>
      <c r="BT82" s="22"/>
      <c r="BU82" s="22"/>
      <c r="BV82" s="22">
        <f>[4]Mar!$AE$1</f>
        <v>0</v>
      </c>
      <c r="BW82" s="22">
        <f>[5]Mar!$AE$1</f>
        <v>0</v>
      </c>
      <c r="BX82" s="22">
        <f>[6]Mar!$AE$1</f>
        <v>0</v>
      </c>
      <c r="BY82" s="22">
        <f>[7]Mar!$AB$1</f>
        <v>0</v>
      </c>
      <c r="BZ82" s="22"/>
      <c r="CA82" s="22"/>
      <c r="CB82" s="13"/>
      <c r="CC82" s="22">
        <f t="shared" si="33"/>
        <v>0</v>
      </c>
      <c r="CD82" s="21"/>
      <c r="CE82" s="22"/>
      <c r="CF82" s="22"/>
      <c r="CG82" s="22">
        <f>[4]Apr!$AE$1</f>
        <v>0</v>
      </c>
      <c r="CH82" s="22">
        <f>[5]Apr!$AE$1</f>
        <v>0</v>
      </c>
      <c r="CI82" s="22">
        <f>[6]Apr!$AE$1</f>
        <v>0</v>
      </c>
      <c r="CJ82" s="22">
        <f>[7]Apr!$AB$1</f>
        <v>0</v>
      </c>
      <c r="CK82" s="22"/>
      <c r="CL82" s="22"/>
      <c r="CM82" s="13"/>
      <c r="CN82" s="22">
        <f t="shared" si="34"/>
        <v>0</v>
      </c>
      <c r="CO82" s="21"/>
      <c r="CP82" s="22"/>
      <c r="CQ82" s="22"/>
      <c r="CR82" s="22">
        <f>[4]May!$AE$1</f>
        <v>0</v>
      </c>
      <c r="CS82" s="22">
        <f>[5]May!$AE$1</f>
        <v>0</v>
      </c>
      <c r="CT82" s="22">
        <f>[6]May!$AE$1</f>
        <v>0</v>
      </c>
      <c r="CU82" s="22">
        <f>[7]May!$AB$1</f>
        <v>0</v>
      </c>
      <c r="CV82" s="22"/>
      <c r="CW82" s="22"/>
      <c r="CX82" s="13"/>
      <c r="CY82" s="22">
        <f t="shared" si="35"/>
        <v>0</v>
      </c>
      <c r="CZ82" s="21"/>
      <c r="DA82" s="22"/>
      <c r="DB82" s="22"/>
      <c r="DC82" s="22">
        <f>[4]Jun!$AE$1</f>
        <v>0</v>
      </c>
      <c r="DD82" s="22">
        <f>[5]Jun!$AE$1</f>
        <v>0</v>
      </c>
      <c r="DE82" s="22">
        <f>[6]Jun!$AE$1</f>
        <v>0</v>
      </c>
      <c r="DF82" s="22">
        <f>[7]Jun!$AB$1</f>
        <v>0</v>
      </c>
      <c r="DG82" s="22"/>
      <c r="DH82" s="22"/>
      <c r="DI82" s="13"/>
      <c r="DJ82" s="22">
        <f t="shared" si="36"/>
        <v>0</v>
      </c>
      <c r="DK82" s="21"/>
      <c r="DL82" s="22"/>
      <c r="DM82" s="22"/>
      <c r="DN82" s="22">
        <f>[4]Jul!$AE$1</f>
        <v>0</v>
      </c>
      <c r="DO82" s="22">
        <f>[5]Jul!$AE$1</f>
        <v>0</v>
      </c>
      <c r="DP82" s="22">
        <f>[6]Jul!$AE$1</f>
        <v>0</v>
      </c>
      <c r="DQ82" s="22">
        <f>[7]Jul!$AB$1</f>
        <v>0</v>
      </c>
      <c r="DR82" s="22"/>
      <c r="DS82" s="22"/>
      <c r="DT82" s="13"/>
      <c r="DU82" s="22">
        <f t="shared" si="37"/>
        <v>0</v>
      </c>
      <c r="DV82" s="21"/>
      <c r="DW82" s="22"/>
      <c r="DX82" s="22"/>
      <c r="DY82" s="22">
        <f>[4]Aug!$AE$1</f>
        <v>0</v>
      </c>
      <c r="DZ82" s="22">
        <f>[5]Aug!$AE$1</f>
        <v>0</v>
      </c>
      <c r="EA82" s="22">
        <f>[6]Aug!$AE$1</f>
        <v>0</v>
      </c>
      <c r="EB82" s="22">
        <f>[7]Aug!$AB$1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[4]Sep!$AD$1</f>
        <v>0</v>
      </c>
      <c r="I83" s="22">
        <f>[5]Sep!$AD$1</f>
        <v>0</v>
      </c>
      <c r="J83" s="22">
        <f>[6]Sep!$AD$1</f>
        <v>0</v>
      </c>
      <c r="K83" s="22">
        <f>[7]Sep!$AA$1</f>
        <v>0</v>
      </c>
      <c r="L83" s="22"/>
      <c r="N83" s="21"/>
      <c r="O83" s="22">
        <f t="shared" si="27"/>
        <v>0</v>
      </c>
      <c r="P83" s="21"/>
      <c r="Q83" s="22"/>
      <c r="R83" s="22"/>
      <c r="S83" s="22">
        <f>[4]Oct!$AD$1</f>
        <v>0</v>
      </c>
      <c r="T83" s="22">
        <f>[5]Oct!$AD$1</f>
        <v>0</v>
      </c>
      <c r="U83" s="22">
        <f>[6]Oct!$AD$1</f>
        <v>0</v>
      </c>
      <c r="V83" s="22">
        <f>[7]Oct!$AA$1</f>
        <v>0</v>
      </c>
      <c r="W83" s="22"/>
      <c r="X83" s="22"/>
      <c r="Y83" s="13"/>
      <c r="Z83" s="22">
        <f t="shared" si="28"/>
        <v>0</v>
      </c>
      <c r="AA83" s="21"/>
      <c r="AB83" s="22"/>
      <c r="AC83" s="22"/>
      <c r="AD83" s="22">
        <f>[4]Nov!$AD$1</f>
        <v>0</v>
      </c>
      <c r="AE83" s="22">
        <f>[5]Nov!$AD$1</f>
        <v>0</v>
      </c>
      <c r="AF83" s="22">
        <f>[6]Nov!$AD$1</f>
        <v>0</v>
      </c>
      <c r="AG83" s="22">
        <f>[7]Nov!$AA$1</f>
        <v>0</v>
      </c>
      <c r="AH83" s="22"/>
      <c r="AI83" s="22"/>
      <c r="AJ83" s="13"/>
      <c r="AK83" s="22">
        <f t="shared" si="29"/>
        <v>0</v>
      </c>
      <c r="AL83" s="21"/>
      <c r="AM83" s="22"/>
      <c r="AN83" s="22"/>
      <c r="AO83" s="22">
        <f>[4]Dec!$AD$1</f>
        <v>0</v>
      </c>
      <c r="AP83" s="22">
        <f>[5]Dec!$AD$1</f>
        <v>0</v>
      </c>
      <c r="AQ83" s="22">
        <f>[6]Dec!$AD$1</f>
        <v>0</v>
      </c>
      <c r="AR83" s="22">
        <f>[7]Dec!$AA$1</f>
        <v>0</v>
      </c>
      <c r="AS83" s="22"/>
      <c r="AT83" s="22"/>
      <c r="AU83" s="13"/>
      <c r="AV83" s="22">
        <f t="shared" si="30"/>
        <v>0</v>
      </c>
      <c r="AW83" s="21"/>
      <c r="AX83" s="22"/>
      <c r="AY83" s="22"/>
      <c r="AZ83" s="22">
        <f>[4]Jan!$AD$1</f>
        <v>0</v>
      </c>
      <c r="BA83" s="22">
        <f>[5]Jan!$AD$1</f>
        <v>0</v>
      </c>
      <c r="BB83" s="22">
        <f>[6]Jan!$AD$1</f>
        <v>0</v>
      </c>
      <c r="BC83" s="22">
        <f>[7]Jan!$AA$1</f>
        <v>0</v>
      </c>
      <c r="BD83" s="22"/>
      <c r="BE83" s="22"/>
      <c r="BF83" s="13"/>
      <c r="BG83" s="22">
        <f t="shared" si="31"/>
        <v>0</v>
      </c>
      <c r="BH83" s="21"/>
      <c r="BI83" s="22"/>
      <c r="BJ83" s="22"/>
      <c r="BK83" s="22">
        <f>[4]Feb!$AD$1</f>
        <v>0</v>
      </c>
      <c r="BL83" s="22">
        <f>[5]Feb!$AD$1</f>
        <v>0</v>
      </c>
      <c r="BM83" s="22">
        <f>[6]Feb!$AD$1</f>
        <v>0</v>
      </c>
      <c r="BN83" s="22">
        <f>[7]Feb!$AA$1</f>
        <v>0</v>
      </c>
      <c r="BO83" s="22"/>
      <c r="BP83" s="22"/>
      <c r="BQ83" s="13"/>
      <c r="BR83" s="22">
        <f t="shared" si="32"/>
        <v>0</v>
      </c>
      <c r="BS83" s="21"/>
      <c r="BT83" s="22"/>
      <c r="BU83" s="22"/>
      <c r="BV83" s="22">
        <f>[4]Mar!$AD$1</f>
        <v>0</v>
      </c>
      <c r="BW83" s="22">
        <f>[5]Mar!$AD$1</f>
        <v>0</v>
      </c>
      <c r="BX83" s="22">
        <f>[6]Mar!$AD$1</f>
        <v>0</v>
      </c>
      <c r="BY83" s="22">
        <f>[7]Mar!$AA$1</f>
        <v>0</v>
      </c>
      <c r="BZ83" s="22"/>
      <c r="CA83" s="22"/>
      <c r="CB83" s="13"/>
      <c r="CC83" s="22">
        <f t="shared" si="33"/>
        <v>0</v>
      </c>
      <c r="CD83" s="21"/>
      <c r="CE83" s="22"/>
      <c r="CF83" s="22"/>
      <c r="CG83" s="22">
        <f>[4]Apr!$AD$1</f>
        <v>0</v>
      </c>
      <c r="CH83" s="22">
        <f>[5]Apr!$AD$1</f>
        <v>0</v>
      </c>
      <c r="CI83" s="22">
        <f>[6]Apr!$AD$1</f>
        <v>0</v>
      </c>
      <c r="CJ83" s="22">
        <f>[7]Apr!$AA$1</f>
        <v>0</v>
      </c>
      <c r="CK83" s="22"/>
      <c r="CL83" s="22"/>
      <c r="CM83" s="13"/>
      <c r="CN83" s="22">
        <f t="shared" si="34"/>
        <v>0</v>
      </c>
      <c r="CO83" s="21"/>
      <c r="CP83" s="22"/>
      <c r="CQ83" s="22"/>
      <c r="CR83" s="22">
        <f>[4]May!$AD$1</f>
        <v>0</v>
      </c>
      <c r="CS83" s="22">
        <f>[5]May!$AD$1</f>
        <v>0</v>
      </c>
      <c r="CT83" s="22">
        <f>[6]May!$AD$1</f>
        <v>0</v>
      </c>
      <c r="CU83" s="22">
        <f>[7]May!$AA$1</f>
        <v>0</v>
      </c>
      <c r="CV83" s="22"/>
      <c r="CW83" s="22"/>
      <c r="CX83" s="13"/>
      <c r="CY83" s="22">
        <f t="shared" si="35"/>
        <v>0</v>
      </c>
      <c r="CZ83" s="21"/>
      <c r="DA83" s="22"/>
      <c r="DB83" s="22"/>
      <c r="DC83" s="22">
        <f>[4]Jun!$AD$1</f>
        <v>0</v>
      </c>
      <c r="DD83" s="22">
        <f>[5]Jun!$AD$1</f>
        <v>0</v>
      </c>
      <c r="DE83" s="22">
        <f>[6]Jun!$AD$1</f>
        <v>0</v>
      </c>
      <c r="DF83" s="22">
        <f>[7]Jun!$AA$1</f>
        <v>0</v>
      </c>
      <c r="DG83" s="22"/>
      <c r="DH83" s="22"/>
      <c r="DI83" s="13"/>
      <c r="DJ83" s="22">
        <f t="shared" si="36"/>
        <v>0</v>
      </c>
      <c r="DK83" s="21"/>
      <c r="DL83" s="22"/>
      <c r="DM83" s="22"/>
      <c r="DN83" s="22">
        <f>[4]Jul!$AD$1</f>
        <v>0</v>
      </c>
      <c r="DO83" s="22">
        <f>[5]Jul!$AD$1</f>
        <v>0</v>
      </c>
      <c r="DP83" s="22">
        <f>[6]Jul!$AD$1</f>
        <v>0</v>
      </c>
      <c r="DQ83" s="22">
        <f>[7]Jul!$AA$1</f>
        <v>0</v>
      </c>
      <c r="DR83" s="22"/>
      <c r="DS83" s="22"/>
      <c r="DT83" s="13"/>
      <c r="DU83" s="22">
        <f t="shared" si="37"/>
        <v>0</v>
      </c>
      <c r="DV83" s="21"/>
      <c r="DW83" s="22"/>
      <c r="DX83" s="22"/>
      <c r="DY83" s="22">
        <f>[4]Aug!$AD$1</f>
        <v>0</v>
      </c>
      <c r="DZ83" s="22">
        <f>[5]Aug!$AD$1</f>
        <v>0</v>
      </c>
      <c r="EA83" s="22">
        <f>[6]Aug!$AD$1</f>
        <v>0</v>
      </c>
      <c r="EB83" s="22">
        <f>[7]Aug!$AA$1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[2]Sep!$AG$1</f>
        <v>0</v>
      </c>
      <c r="H84" s="22"/>
      <c r="I84" s="22"/>
      <c r="J84" s="22"/>
      <c r="K84" s="22"/>
      <c r="L84" s="22"/>
      <c r="N84" s="21"/>
      <c r="O84" s="22">
        <f t="shared" si="27"/>
        <v>0</v>
      </c>
      <c r="P84" s="21"/>
      <c r="Q84" s="22"/>
      <c r="R84" s="22">
        <f>[2]Oct!$AG$1</f>
        <v>0</v>
      </c>
      <c r="S84" s="22"/>
      <c r="T84" s="22"/>
      <c r="U84" s="22"/>
      <c r="V84" s="22"/>
      <c r="W84" s="22"/>
      <c r="X84" s="22"/>
      <c r="Y84" s="13"/>
      <c r="Z84" s="22">
        <f t="shared" si="28"/>
        <v>0</v>
      </c>
      <c r="AA84" s="21"/>
      <c r="AB84" s="22"/>
      <c r="AC84" s="22">
        <f>[2]Nov!$AG$1</f>
        <v>0</v>
      </c>
      <c r="AD84" s="22"/>
      <c r="AE84" s="22"/>
      <c r="AF84" s="22"/>
      <c r="AG84" s="22"/>
      <c r="AH84" s="22"/>
      <c r="AI84" s="22"/>
      <c r="AJ84" s="13"/>
      <c r="AK84" s="22">
        <f t="shared" si="29"/>
        <v>0</v>
      </c>
      <c r="AL84" s="21"/>
      <c r="AM84" s="22"/>
      <c r="AN84" s="22">
        <f>[2]Dec!$AG$1</f>
        <v>0</v>
      </c>
      <c r="AO84" s="22"/>
      <c r="AP84" s="22"/>
      <c r="AQ84" s="22"/>
      <c r="AR84" s="22"/>
      <c r="AS84" s="22"/>
      <c r="AT84" s="22"/>
      <c r="AU84" s="13"/>
      <c r="AV84" s="22">
        <f t="shared" si="30"/>
        <v>0</v>
      </c>
      <c r="AW84" s="21"/>
      <c r="AX84" s="22"/>
      <c r="AY84" s="22">
        <f>[2]Jan!$AG$1</f>
        <v>0</v>
      </c>
      <c r="AZ84" s="22"/>
      <c r="BA84" s="22"/>
      <c r="BB84" s="22"/>
      <c r="BC84" s="22"/>
      <c r="BD84" s="22"/>
      <c r="BE84" s="22"/>
      <c r="BF84" s="13"/>
      <c r="BG84" s="22">
        <f t="shared" si="31"/>
        <v>0</v>
      </c>
      <c r="BH84" s="21"/>
      <c r="BI84" s="22"/>
      <c r="BJ84" s="22">
        <f>[2]Feb!$AG$1</f>
        <v>0</v>
      </c>
      <c r="BK84" s="22"/>
      <c r="BL84" s="22"/>
      <c r="BM84" s="22"/>
      <c r="BN84" s="22"/>
      <c r="BO84" s="22"/>
      <c r="BP84" s="22"/>
      <c r="BQ84" s="13"/>
      <c r="BR84" s="22">
        <f t="shared" si="32"/>
        <v>0</v>
      </c>
      <c r="BS84" s="21"/>
      <c r="BT84" s="22"/>
      <c r="BU84" s="22">
        <f>[2]Mar!$AG$1</f>
        <v>0</v>
      </c>
      <c r="BV84" s="22"/>
      <c r="BW84" s="22"/>
      <c r="BX84" s="22"/>
      <c r="BY84" s="22"/>
      <c r="BZ84" s="22"/>
      <c r="CA84" s="22"/>
      <c r="CB84" s="13"/>
      <c r="CC84" s="22">
        <f t="shared" si="33"/>
        <v>0</v>
      </c>
      <c r="CD84" s="21"/>
      <c r="CE84" s="22"/>
      <c r="CF84" s="22">
        <f>[2]Apr!$AG$1</f>
        <v>0</v>
      </c>
      <c r="CG84" s="22"/>
      <c r="CH84" s="22"/>
      <c r="CI84" s="22"/>
      <c r="CJ84" s="22"/>
      <c r="CK84" s="22"/>
      <c r="CL84" s="22"/>
      <c r="CM84" s="13"/>
      <c r="CN84" s="22">
        <f t="shared" si="34"/>
        <v>0</v>
      </c>
      <c r="CO84" s="21"/>
      <c r="CP84" s="22"/>
      <c r="CQ84" s="22">
        <f>[2]May!$AG$1</f>
        <v>0</v>
      </c>
      <c r="CR84" s="22"/>
      <c r="CS84" s="22"/>
      <c r="CT84" s="22"/>
      <c r="CU84" s="22"/>
      <c r="CV84" s="22"/>
      <c r="CW84" s="22"/>
      <c r="CX84" s="13"/>
      <c r="CY84" s="22">
        <f t="shared" si="35"/>
        <v>0</v>
      </c>
      <c r="CZ84" s="21"/>
      <c r="DA84" s="22"/>
      <c r="DB84" s="22">
        <f>[2]Jun!$AG$1</f>
        <v>0</v>
      </c>
      <c r="DC84" s="22"/>
      <c r="DD84" s="22"/>
      <c r="DE84" s="22"/>
      <c r="DF84" s="22"/>
      <c r="DG84" s="22"/>
      <c r="DH84" s="22"/>
      <c r="DI84" s="13"/>
      <c r="DJ84" s="22">
        <f t="shared" si="36"/>
        <v>0</v>
      </c>
      <c r="DK84" s="21"/>
      <c r="DL84" s="22"/>
      <c r="DM84" s="22">
        <f>[2]Jul!$AG$1</f>
        <v>0</v>
      </c>
      <c r="DN84" s="22"/>
      <c r="DO84" s="22"/>
      <c r="DP84" s="22"/>
      <c r="DQ84" s="22"/>
      <c r="DR84" s="22"/>
      <c r="DS84" s="22"/>
      <c r="DT84" s="13"/>
      <c r="DU84" s="22">
        <f t="shared" si="37"/>
        <v>0</v>
      </c>
      <c r="DV84" s="21"/>
      <c r="DW84" s="22"/>
      <c r="DX84" s="22">
        <f>[2]Aug!$AG$1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[2]Sep!$AH$1</f>
        <v>0</v>
      </c>
      <c r="H85" s="22"/>
      <c r="I85" s="22"/>
      <c r="J85" s="22"/>
      <c r="K85" s="22"/>
      <c r="L85" s="22"/>
      <c r="N85" s="21"/>
      <c r="O85" s="22">
        <f t="shared" si="27"/>
        <v>0</v>
      </c>
      <c r="P85" s="21"/>
      <c r="Q85" s="22"/>
      <c r="R85" s="22">
        <f>[2]Oct!$AH$1</f>
        <v>0</v>
      </c>
      <c r="S85" s="22"/>
      <c r="T85" s="22"/>
      <c r="U85" s="22"/>
      <c r="V85" s="22"/>
      <c r="W85" s="22"/>
      <c r="X85" s="22"/>
      <c r="Y85" s="13"/>
      <c r="Z85" s="22">
        <f t="shared" si="28"/>
        <v>0</v>
      </c>
      <c r="AA85" s="21"/>
      <c r="AB85" s="22"/>
      <c r="AC85" s="22">
        <f>[2]Nov!$AH$1</f>
        <v>0</v>
      </c>
      <c r="AD85" s="22"/>
      <c r="AE85" s="22"/>
      <c r="AF85" s="22"/>
      <c r="AG85" s="22"/>
      <c r="AH85" s="22"/>
      <c r="AI85" s="22"/>
      <c r="AJ85" s="13"/>
      <c r="AK85" s="22">
        <f t="shared" si="29"/>
        <v>0</v>
      </c>
      <c r="AL85" s="21"/>
      <c r="AM85" s="22"/>
      <c r="AN85" s="22">
        <f>[2]Dec!$AH$1</f>
        <v>0</v>
      </c>
      <c r="AO85" s="22"/>
      <c r="AP85" s="22"/>
      <c r="AQ85" s="22"/>
      <c r="AR85" s="22"/>
      <c r="AS85" s="22"/>
      <c r="AT85" s="22"/>
      <c r="AU85" s="13"/>
      <c r="AV85" s="22">
        <f t="shared" si="30"/>
        <v>0</v>
      </c>
      <c r="AW85" s="21"/>
      <c r="AX85" s="22"/>
      <c r="AY85" s="22">
        <f>[2]Jan!$AH$1</f>
        <v>0</v>
      </c>
      <c r="AZ85" s="22"/>
      <c r="BA85" s="22"/>
      <c r="BB85" s="22"/>
      <c r="BC85" s="22"/>
      <c r="BD85" s="22"/>
      <c r="BE85" s="22"/>
      <c r="BF85" s="13"/>
      <c r="BG85" s="22">
        <f t="shared" si="31"/>
        <v>0</v>
      </c>
      <c r="BH85" s="21"/>
      <c r="BI85" s="22"/>
      <c r="BJ85" s="22">
        <f>[2]Feb!$AH$1</f>
        <v>0</v>
      </c>
      <c r="BK85" s="22"/>
      <c r="BL85" s="22"/>
      <c r="BM85" s="22"/>
      <c r="BN85" s="22"/>
      <c r="BO85" s="22"/>
      <c r="BP85" s="22"/>
      <c r="BQ85" s="13"/>
      <c r="BR85" s="22">
        <f t="shared" si="32"/>
        <v>0</v>
      </c>
      <c r="BS85" s="21"/>
      <c r="BT85" s="22"/>
      <c r="BU85" s="22">
        <f>[2]Mar!$AH$1</f>
        <v>0</v>
      </c>
      <c r="BV85" s="22"/>
      <c r="BW85" s="22"/>
      <c r="BX85" s="22"/>
      <c r="BY85" s="22"/>
      <c r="BZ85" s="22"/>
      <c r="CA85" s="22"/>
      <c r="CB85" s="13"/>
      <c r="CC85" s="22">
        <f t="shared" si="33"/>
        <v>0</v>
      </c>
      <c r="CD85" s="21"/>
      <c r="CE85" s="22"/>
      <c r="CF85" s="22">
        <f>[2]Apr!$AH$1</f>
        <v>0</v>
      </c>
      <c r="CG85" s="22"/>
      <c r="CH85" s="22"/>
      <c r="CI85" s="22"/>
      <c r="CJ85" s="22"/>
      <c r="CK85" s="22"/>
      <c r="CL85" s="22"/>
      <c r="CM85" s="13"/>
      <c r="CN85" s="22">
        <f t="shared" si="34"/>
        <v>0</v>
      </c>
      <c r="CO85" s="21"/>
      <c r="CP85" s="22"/>
      <c r="CQ85" s="22">
        <f>[2]May!$AH$1</f>
        <v>0</v>
      </c>
      <c r="CR85" s="22"/>
      <c r="CS85" s="22"/>
      <c r="CT85" s="22"/>
      <c r="CU85" s="22"/>
      <c r="CV85" s="22"/>
      <c r="CW85" s="22"/>
      <c r="CX85" s="13"/>
      <c r="CY85" s="22">
        <f t="shared" si="35"/>
        <v>0</v>
      </c>
      <c r="CZ85" s="21"/>
      <c r="DA85" s="22"/>
      <c r="DB85" s="22">
        <f>[2]Jun!$AH$1</f>
        <v>0</v>
      </c>
      <c r="DC85" s="22"/>
      <c r="DD85" s="22"/>
      <c r="DE85" s="22"/>
      <c r="DF85" s="22"/>
      <c r="DG85" s="22"/>
      <c r="DH85" s="22"/>
      <c r="DI85" s="13"/>
      <c r="DJ85" s="22">
        <f t="shared" si="36"/>
        <v>0</v>
      </c>
      <c r="DK85" s="21"/>
      <c r="DL85" s="22"/>
      <c r="DM85" s="22">
        <f>[2]Jul!$AH$1</f>
        <v>0</v>
      </c>
      <c r="DN85" s="22"/>
      <c r="DO85" s="22"/>
      <c r="DP85" s="22"/>
      <c r="DQ85" s="22"/>
      <c r="DR85" s="22"/>
      <c r="DS85" s="22"/>
      <c r="DT85" s="13"/>
      <c r="DU85" s="22">
        <f t="shared" si="37"/>
        <v>0</v>
      </c>
      <c r="DV85" s="21"/>
      <c r="DW85" s="22"/>
      <c r="DX85" s="22">
        <f>[2]Aug!$AH$1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-[4]Sep!$Q$1</f>
        <v>0</v>
      </c>
      <c r="I88" s="22">
        <f>-[5]Sep!$Q$1</f>
        <v>0</v>
      </c>
      <c r="J88" s="22">
        <f>-[6]Sep!$Q$1</f>
        <v>0</v>
      </c>
      <c r="K88" s="22"/>
      <c r="L88" s="22"/>
      <c r="N88" s="21"/>
      <c r="O88" s="22">
        <f t="shared" si="27"/>
        <v>0</v>
      </c>
      <c r="P88" s="21"/>
      <c r="Q88" s="22"/>
      <c r="R88" s="22"/>
      <c r="S88" s="22">
        <f>-[4]Oct!$Q$1</f>
        <v>0</v>
      </c>
      <c r="T88" s="22">
        <f>-[5]Oct!$Q$1</f>
        <v>0</v>
      </c>
      <c r="U88" s="22">
        <f>-[6]Oct!$Q$1</f>
        <v>0</v>
      </c>
      <c r="V88" s="22"/>
      <c r="W88" s="22"/>
      <c r="X88" s="22"/>
      <c r="Y88" s="13"/>
      <c r="Z88" s="22">
        <f t="shared" si="28"/>
        <v>0</v>
      </c>
      <c r="AA88" s="21"/>
      <c r="AB88" s="22"/>
      <c r="AC88" s="22"/>
      <c r="AD88" s="22">
        <f>-[4]Nov!$Q$1</f>
        <v>0</v>
      </c>
      <c r="AE88" s="22">
        <f>-[5]Nov!$Q$1</f>
        <v>0</v>
      </c>
      <c r="AF88" s="22">
        <f>-[6]Nov!$Q$1</f>
        <v>0</v>
      </c>
      <c r="AG88" s="22"/>
      <c r="AH88" s="22"/>
      <c r="AI88" s="22"/>
      <c r="AJ88" s="13"/>
      <c r="AK88" s="22">
        <f t="shared" si="29"/>
        <v>0</v>
      </c>
      <c r="AL88" s="21"/>
      <c r="AM88" s="22"/>
      <c r="AN88" s="22"/>
      <c r="AO88" s="22">
        <f>-[4]Dec!$Q$1</f>
        <v>0</v>
      </c>
      <c r="AP88" s="22">
        <f>-[5]Dec!$Q$1</f>
        <v>0</v>
      </c>
      <c r="AQ88" s="22">
        <f>-[6]Dec!$Q$1</f>
        <v>0</v>
      </c>
      <c r="AR88" s="22"/>
      <c r="AS88" s="22"/>
      <c r="AT88" s="22"/>
      <c r="AU88" s="13"/>
      <c r="AV88" s="22">
        <f t="shared" si="30"/>
        <v>0</v>
      </c>
      <c r="AW88" s="21"/>
      <c r="AX88" s="22"/>
      <c r="AY88" s="22"/>
      <c r="AZ88" s="22">
        <f>-[4]Jan!$Q$1</f>
        <v>0</v>
      </c>
      <c r="BA88" s="22">
        <f>-[5]Jan!$Q$1</f>
        <v>0</v>
      </c>
      <c r="BB88" s="22">
        <f>-[6]Jan!$Q$1</f>
        <v>0</v>
      </c>
      <c r="BC88" s="22"/>
      <c r="BD88" s="22"/>
      <c r="BE88" s="22"/>
      <c r="BF88" s="13"/>
      <c r="BG88" s="22">
        <f t="shared" si="31"/>
        <v>0</v>
      </c>
      <c r="BH88" s="21"/>
      <c r="BI88" s="22"/>
      <c r="BJ88" s="22"/>
      <c r="BK88" s="22">
        <f>-[4]Feb!$Q$1</f>
        <v>0</v>
      </c>
      <c r="BL88" s="22">
        <f>-[5]Feb!$Q$1</f>
        <v>0</v>
      </c>
      <c r="BM88" s="22">
        <f>-[6]Feb!$Q$1</f>
        <v>0</v>
      </c>
      <c r="BN88" s="22"/>
      <c r="BO88" s="22"/>
      <c r="BP88" s="22"/>
      <c r="BQ88" s="13"/>
      <c r="BR88" s="22">
        <f t="shared" si="32"/>
        <v>0</v>
      </c>
      <c r="BS88" s="21"/>
      <c r="BT88" s="22"/>
      <c r="BU88" s="22"/>
      <c r="BV88" s="22">
        <f>-[4]Mar!$Q$1</f>
        <v>0</v>
      </c>
      <c r="BW88" s="22">
        <f>-[5]Mar!$Q$1</f>
        <v>0</v>
      </c>
      <c r="BX88" s="22">
        <f>-[6]Mar!$Q$1</f>
        <v>0</v>
      </c>
      <c r="BY88" s="22"/>
      <c r="BZ88" s="22"/>
      <c r="CA88" s="22"/>
      <c r="CB88" s="13"/>
      <c r="CC88" s="22">
        <f t="shared" si="33"/>
        <v>0</v>
      </c>
      <c r="CD88" s="21"/>
      <c r="CE88" s="22"/>
      <c r="CF88" s="22"/>
      <c r="CG88" s="22">
        <f>-[4]Apr!$Q$1</f>
        <v>0</v>
      </c>
      <c r="CH88" s="22">
        <f>-[5]Apr!$Q$1</f>
        <v>0</v>
      </c>
      <c r="CI88" s="22">
        <f>-[6]Apr!$Q$1</f>
        <v>0</v>
      </c>
      <c r="CJ88" s="22"/>
      <c r="CK88" s="22"/>
      <c r="CL88" s="22"/>
      <c r="CM88" s="13"/>
      <c r="CN88" s="22">
        <f t="shared" si="34"/>
        <v>0</v>
      </c>
      <c r="CO88" s="21"/>
      <c r="CP88" s="22"/>
      <c r="CQ88" s="22"/>
      <c r="CR88" s="22">
        <f>-[4]May!$Q$1</f>
        <v>0</v>
      </c>
      <c r="CS88" s="22">
        <f>-[5]May!$Q$1</f>
        <v>0</v>
      </c>
      <c r="CT88" s="22">
        <f>-[6]May!$Q$1</f>
        <v>0</v>
      </c>
      <c r="CU88" s="22"/>
      <c r="CV88" s="22"/>
      <c r="CW88" s="22"/>
      <c r="CX88" s="13"/>
      <c r="CY88" s="22">
        <f t="shared" si="35"/>
        <v>0</v>
      </c>
      <c r="CZ88" s="21"/>
      <c r="DA88" s="22"/>
      <c r="DB88" s="22"/>
      <c r="DC88" s="22">
        <f>-[4]Jun!$Q$1</f>
        <v>0</v>
      </c>
      <c r="DD88" s="22">
        <f>-[5]Jun!$Q$1</f>
        <v>0</v>
      </c>
      <c r="DE88" s="22">
        <f>-[6]Jun!$Q$1</f>
        <v>0</v>
      </c>
      <c r="DF88" s="22"/>
      <c r="DG88" s="22"/>
      <c r="DH88" s="22"/>
      <c r="DI88" s="13"/>
      <c r="DJ88" s="22">
        <f t="shared" si="36"/>
        <v>0</v>
      </c>
      <c r="DK88" s="21"/>
      <c r="DL88" s="22"/>
      <c r="DM88" s="22"/>
      <c r="DN88" s="22">
        <f>-[4]Jul!$Q$1</f>
        <v>0</v>
      </c>
      <c r="DO88" s="22">
        <f>-[5]Jul!$Q$1</f>
        <v>0</v>
      </c>
      <c r="DP88" s="22">
        <f>-[6]Jul!$Q$1</f>
        <v>0</v>
      </c>
      <c r="DQ88" s="22"/>
      <c r="DR88" s="22"/>
      <c r="DS88" s="22"/>
      <c r="DT88" s="13"/>
      <c r="DU88" s="22">
        <f t="shared" si="37"/>
        <v>0</v>
      </c>
      <c r="DV88" s="21"/>
      <c r="DW88" s="22"/>
      <c r="DX88" s="22"/>
      <c r="DY88" s="22">
        <f>-[4]Aug!$Q$1</f>
        <v>0</v>
      </c>
      <c r="DZ88" s="22">
        <f>-[5]Aug!$Q$1</f>
        <v>0</v>
      </c>
      <c r="EA88" s="22">
        <f>-[6]Aug!$Q$1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[4]Sep!$AN$1</f>
        <v>0</v>
      </c>
      <c r="I89" s="22">
        <f>[5]Sep!$AN$1</f>
        <v>0</v>
      </c>
      <c r="J89" s="22">
        <f>[6]Sep!$AN$1</f>
        <v>0</v>
      </c>
      <c r="K89" s="22"/>
      <c r="L89" s="22"/>
      <c r="N89" s="21"/>
      <c r="O89" s="22">
        <f t="shared" si="27"/>
        <v>0</v>
      </c>
      <c r="P89" s="21"/>
      <c r="Q89" s="22"/>
      <c r="R89" s="22"/>
      <c r="S89" s="22">
        <f>[4]Oct!$AN$1</f>
        <v>0</v>
      </c>
      <c r="T89" s="22">
        <f>[5]Oct!$AN$1</f>
        <v>0</v>
      </c>
      <c r="U89" s="22">
        <f>[6]Oct!$AN$1</f>
        <v>0</v>
      </c>
      <c r="V89" s="22"/>
      <c r="W89" s="22"/>
      <c r="X89" s="22"/>
      <c r="Y89" s="13"/>
      <c r="Z89" s="22">
        <f t="shared" si="28"/>
        <v>0</v>
      </c>
      <c r="AA89" s="21"/>
      <c r="AB89" s="22"/>
      <c r="AC89" s="22"/>
      <c r="AD89" s="22">
        <f>[4]Nov!$AN$1</f>
        <v>0</v>
      </c>
      <c r="AE89" s="22">
        <f>[5]Nov!$AN$1</f>
        <v>0</v>
      </c>
      <c r="AF89" s="22">
        <f>[6]Nov!$AN$1</f>
        <v>0</v>
      </c>
      <c r="AG89" s="22"/>
      <c r="AH89" s="22"/>
      <c r="AI89" s="22"/>
      <c r="AJ89" s="13"/>
      <c r="AK89" s="22">
        <f t="shared" si="29"/>
        <v>0</v>
      </c>
      <c r="AL89" s="21"/>
      <c r="AM89" s="22"/>
      <c r="AN89" s="22"/>
      <c r="AO89" s="22">
        <f>[4]Dec!$AN$1</f>
        <v>0</v>
      </c>
      <c r="AP89" s="22">
        <f>[5]Dec!$AN$1</f>
        <v>0</v>
      </c>
      <c r="AQ89" s="22">
        <f>[6]Dec!$AN$1</f>
        <v>0</v>
      </c>
      <c r="AR89" s="22"/>
      <c r="AS89" s="22"/>
      <c r="AT89" s="22"/>
      <c r="AU89" s="13"/>
      <c r="AV89" s="22">
        <f t="shared" si="30"/>
        <v>0</v>
      </c>
      <c r="AW89" s="21"/>
      <c r="AX89" s="22"/>
      <c r="AY89" s="22"/>
      <c r="AZ89" s="22">
        <f>[4]Jan!$AN$1</f>
        <v>0</v>
      </c>
      <c r="BA89" s="22">
        <f>[5]Jan!$AN$1</f>
        <v>0</v>
      </c>
      <c r="BB89" s="22">
        <f>[6]Jan!$AN$1</f>
        <v>0</v>
      </c>
      <c r="BC89" s="22"/>
      <c r="BD89" s="22"/>
      <c r="BE89" s="22"/>
      <c r="BF89" s="13"/>
      <c r="BG89" s="22">
        <f t="shared" si="31"/>
        <v>0</v>
      </c>
      <c r="BH89" s="21"/>
      <c r="BI89" s="22"/>
      <c r="BJ89" s="22"/>
      <c r="BK89" s="22">
        <f>[4]Feb!$AN$1</f>
        <v>0</v>
      </c>
      <c r="BL89" s="22">
        <f>[5]Feb!$AN$1</f>
        <v>0</v>
      </c>
      <c r="BM89" s="22">
        <f>[6]Feb!$AN$1</f>
        <v>0</v>
      </c>
      <c r="BN89" s="22"/>
      <c r="BO89" s="22"/>
      <c r="BP89" s="22"/>
      <c r="BQ89" s="13"/>
      <c r="BR89" s="22">
        <f t="shared" si="32"/>
        <v>0</v>
      </c>
      <c r="BS89" s="21"/>
      <c r="BT89" s="22"/>
      <c r="BU89" s="22"/>
      <c r="BV89" s="22">
        <f>[4]Mar!$AN$1</f>
        <v>0</v>
      </c>
      <c r="BW89" s="22">
        <f>[5]Mar!$AN$1</f>
        <v>0</v>
      </c>
      <c r="BX89" s="22">
        <f>[6]Mar!$AN$1</f>
        <v>0</v>
      </c>
      <c r="BY89" s="22"/>
      <c r="BZ89" s="22"/>
      <c r="CA89" s="22"/>
      <c r="CB89" s="13"/>
      <c r="CC89" s="22">
        <f t="shared" si="33"/>
        <v>0</v>
      </c>
      <c r="CD89" s="21"/>
      <c r="CE89" s="22"/>
      <c r="CF89" s="22"/>
      <c r="CG89" s="22">
        <f>[4]Apr!$AN$1</f>
        <v>0</v>
      </c>
      <c r="CH89" s="22">
        <f>[5]Apr!$AN$1</f>
        <v>0</v>
      </c>
      <c r="CI89" s="22">
        <f>[6]Apr!$AN$1</f>
        <v>0</v>
      </c>
      <c r="CJ89" s="22"/>
      <c r="CK89" s="22"/>
      <c r="CL89" s="22"/>
      <c r="CM89" s="13"/>
      <c r="CN89" s="22">
        <f t="shared" si="34"/>
        <v>0</v>
      </c>
      <c r="CO89" s="21"/>
      <c r="CP89" s="22"/>
      <c r="CQ89" s="22"/>
      <c r="CR89" s="22">
        <f>[4]May!$AN$1</f>
        <v>0</v>
      </c>
      <c r="CS89" s="22">
        <f>[5]May!$AN$1</f>
        <v>0</v>
      </c>
      <c r="CT89" s="22">
        <f>[6]May!$AN$1</f>
        <v>0</v>
      </c>
      <c r="CU89" s="22"/>
      <c r="CV89" s="22"/>
      <c r="CW89" s="22"/>
      <c r="CX89" s="13"/>
      <c r="CY89" s="22">
        <f t="shared" si="35"/>
        <v>0</v>
      </c>
      <c r="CZ89" s="21"/>
      <c r="DA89" s="22"/>
      <c r="DB89" s="22"/>
      <c r="DC89" s="22">
        <f>[4]Jun!$AN$1</f>
        <v>0</v>
      </c>
      <c r="DD89" s="22">
        <f>[5]Jun!$AN$1</f>
        <v>0</v>
      </c>
      <c r="DE89" s="22">
        <f>[6]Jun!$AN$1</f>
        <v>0</v>
      </c>
      <c r="DF89" s="22"/>
      <c r="DG89" s="22"/>
      <c r="DH89" s="22"/>
      <c r="DI89" s="13"/>
      <c r="DJ89" s="22">
        <f t="shared" si="36"/>
        <v>0</v>
      </c>
      <c r="DK89" s="21"/>
      <c r="DL89" s="22"/>
      <c r="DM89" s="22"/>
      <c r="DN89" s="22">
        <f>[4]Jul!$AN$1</f>
        <v>0</v>
      </c>
      <c r="DO89" s="22">
        <f>[5]Jul!$AN$1</f>
        <v>0</v>
      </c>
      <c r="DP89" s="22">
        <f>[6]Jul!$AN$1</f>
        <v>0</v>
      </c>
      <c r="DQ89" s="22"/>
      <c r="DR89" s="22"/>
      <c r="DS89" s="22"/>
      <c r="DT89" s="13"/>
      <c r="DU89" s="22">
        <f t="shared" si="37"/>
        <v>0</v>
      </c>
      <c r="DV89" s="21"/>
      <c r="DW89" s="22"/>
      <c r="DX89" s="22"/>
      <c r="DY89" s="22">
        <f>[4]Aug!$AN$1</f>
        <v>0</v>
      </c>
      <c r="DZ89" s="22">
        <f>[5]Aug!$AN$1</f>
        <v>0</v>
      </c>
      <c r="EA89" s="22">
        <f>[6]Aug!$AN$1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[9]Sep!$M$1-C17</f>
        <v>0</v>
      </c>
      <c r="D4" s="22">
        <f>[9]Sep!$N$1-D17</f>
        <v>0</v>
      </c>
      <c r="E4" s="22">
        <f>[9]Sep!$O$1-E17</f>
        <v>0</v>
      </c>
      <c r="F4" s="22">
        <f>[9]Sep!$P$1+[9]Sep!$Q$1-F17</f>
        <v>0</v>
      </c>
      <c r="G4" s="22">
        <f t="shared" ref="G4:G9" si="0">C4-SUM(D4:F4)</f>
        <v>0</v>
      </c>
      <c r="H4" s="22">
        <f>[9]Sep!$T$1-H17</f>
        <v>0</v>
      </c>
      <c r="I4" s="22">
        <f>[9]Sep!$G$1</f>
        <v>0</v>
      </c>
      <c r="J4" s="13"/>
      <c r="K4" s="613" t="s">
        <v>144</v>
      </c>
      <c r="L4" s="26"/>
    </row>
    <row r="5" spans="1:12" ht="12" customHeight="1" x14ac:dyDescent="0.15">
      <c r="A5" s="27"/>
      <c r="B5" s="45">
        <f>Admin!B12</f>
        <v>45808</v>
      </c>
      <c r="C5" s="22">
        <f>[9]Oct!$M$1-C18</f>
        <v>0</v>
      </c>
      <c r="D5" s="22">
        <f>[9]Oct!$N$1-D18</f>
        <v>0</v>
      </c>
      <c r="E5" s="22">
        <f>[9]Oct!$O$1-E18</f>
        <v>0</v>
      </c>
      <c r="F5" s="22">
        <f>[9]Oct!$P$1+[9]Oct!$Q$1-F18</f>
        <v>0</v>
      </c>
      <c r="G5" s="22">
        <f t="shared" si="0"/>
        <v>0</v>
      </c>
      <c r="H5" s="22">
        <f>[9]Oct!$T$1-H18</f>
        <v>0</v>
      </c>
      <c r="I5" s="22">
        <f>[9]Oct!$G$1</f>
        <v>0</v>
      </c>
      <c r="J5" s="13"/>
      <c r="K5" s="614"/>
      <c r="L5" s="26"/>
    </row>
    <row r="6" spans="1:12" x14ac:dyDescent="0.15">
      <c r="A6" s="27"/>
      <c r="B6" s="45">
        <f>Admin!B14</f>
        <v>45838</v>
      </c>
      <c r="C6" s="22">
        <f>[9]Nov!$M$1-C19</f>
        <v>0</v>
      </c>
      <c r="D6" s="22">
        <f>[9]Nov!$N$1-D19</f>
        <v>0</v>
      </c>
      <c r="E6" s="22">
        <f>[9]Nov!$O$1-E19</f>
        <v>0</v>
      </c>
      <c r="F6" s="22">
        <f>[9]Nov!$P$1+[9]Nov!$Q$1-F19</f>
        <v>0</v>
      </c>
      <c r="G6" s="22">
        <f t="shared" si="0"/>
        <v>0</v>
      </c>
      <c r="H6" s="22">
        <f>[9]Nov!$T$1-H19</f>
        <v>0</v>
      </c>
      <c r="I6" s="22">
        <f>[9]Nov!$G$1</f>
        <v>0</v>
      </c>
      <c r="J6" s="13"/>
      <c r="K6" s="614"/>
      <c r="L6" s="26"/>
    </row>
    <row r="7" spans="1:12" x14ac:dyDescent="0.15">
      <c r="A7" s="27"/>
      <c r="B7" s="45">
        <f>Admin!B16</f>
        <v>45869</v>
      </c>
      <c r="C7" s="22">
        <f>[9]Dec!$M$1-C20</f>
        <v>0</v>
      </c>
      <c r="D7" s="22">
        <f>[9]Dec!$N$1-D20</f>
        <v>0</v>
      </c>
      <c r="E7" s="22">
        <f>[9]Dec!$O$1-E20</f>
        <v>0</v>
      </c>
      <c r="F7" s="22">
        <f>[9]Dec!$P$1+[9]Dec!$Q$1-F20</f>
        <v>0</v>
      </c>
      <c r="G7" s="22">
        <f t="shared" si="0"/>
        <v>0</v>
      </c>
      <c r="H7" s="22">
        <f>[9]Dec!$T$1-H20</f>
        <v>0</v>
      </c>
      <c r="I7" s="22">
        <f>[9]Dec!$G$1</f>
        <v>0</v>
      </c>
      <c r="J7" s="13"/>
      <c r="K7" s="614"/>
      <c r="L7" s="26"/>
    </row>
    <row r="8" spans="1:12" ht="12" customHeight="1" x14ac:dyDescent="0.15">
      <c r="A8" s="27"/>
      <c r="B8" s="45">
        <f>Admin!B18</f>
        <v>45900</v>
      </c>
      <c r="C8" s="22">
        <f>[9]Jan!$M$1-C21</f>
        <v>0</v>
      </c>
      <c r="D8" s="22">
        <f>[9]Jan!$N$1-D21</f>
        <v>0</v>
      </c>
      <c r="E8" s="22">
        <f>[9]Jan!$O$1-E21</f>
        <v>0</v>
      </c>
      <c r="F8" s="22">
        <f>[9]Jan!$P$1+[9]Jan!$Q$1-F21</f>
        <v>0</v>
      </c>
      <c r="G8" s="22">
        <f t="shared" si="0"/>
        <v>0</v>
      </c>
      <c r="H8" s="22">
        <f>[9]Jan!$T$1-H21</f>
        <v>0</v>
      </c>
      <c r="I8" s="22">
        <f>[9]Jan!$G$1</f>
        <v>0</v>
      </c>
      <c r="J8" s="13"/>
      <c r="K8" s="613" t="s">
        <v>145</v>
      </c>
      <c r="L8" s="26"/>
    </row>
    <row r="9" spans="1:12" ht="12" customHeight="1" x14ac:dyDescent="0.15">
      <c r="A9" s="27"/>
      <c r="B9" s="45">
        <f>Admin!B20</f>
        <v>45930</v>
      </c>
      <c r="C9" s="22">
        <f>[9]Feb!$M$1-C22</f>
        <v>0</v>
      </c>
      <c r="D9" s="22">
        <f>[9]Feb!$N$1-D22</f>
        <v>0</v>
      </c>
      <c r="E9" s="22">
        <f>[9]Feb!$O$1-E22</f>
        <v>0</v>
      </c>
      <c r="F9" s="22">
        <f>[9]Feb!$P$1+[9]Feb!$Q$1-F22</f>
        <v>0</v>
      </c>
      <c r="G9" s="22">
        <f t="shared" si="0"/>
        <v>0</v>
      </c>
      <c r="H9" s="22">
        <f>[9]Feb!$T$1-H22</f>
        <v>0</v>
      </c>
      <c r="I9" s="22">
        <f>[9]Feb!$G$1</f>
        <v>0</v>
      </c>
      <c r="J9" s="13"/>
      <c r="K9" s="614"/>
      <c r="L9" s="26"/>
    </row>
    <row r="10" spans="1:12" ht="12" customHeight="1" x14ac:dyDescent="0.15">
      <c r="A10" s="27"/>
      <c r="B10" s="45">
        <f>Admin!B22</f>
        <v>45961</v>
      </c>
      <c r="C10" s="22">
        <f>[9]Mar!$M$1-C23</f>
        <v>0</v>
      </c>
      <c r="D10" s="22">
        <f>[9]Mar!$N$1-D23</f>
        <v>0</v>
      </c>
      <c r="E10" s="22">
        <f>[9]Mar!$O$1-E23</f>
        <v>0</v>
      </c>
      <c r="F10" s="22">
        <f>[9]Mar!$P$1+[9]Mar!$Q$1-F23</f>
        <v>0</v>
      </c>
      <c r="G10" s="22">
        <f t="shared" ref="G10:G15" si="1">C10-SUM(D10:F10)</f>
        <v>0</v>
      </c>
      <c r="H10" s="22">
        <f>[9]Mar!$T$1-H23</f>
        <v>0</v>
      </c>
      <c r="I10" s="22">
        <f>[9]Mar!$G$1</f>
        <v>0</v>
      </c>
      <c r="J10" s="13"/>
      <c r="K10" s="614"/>
      <c r="L10" s="26"/>
    </row>
    <row r="11" spans="1:12" ht="12" customHeight="1" x14ac:dyDescent="0.15">
      <c r="A11" s="27"/>
      <c r="B11" s="45">
        <f>Admin!B24</f>
        <v>45991</v>
      </c>
      <c r="C11" s="22">
        <f>[9]Apr!$M$1-C24</f>
        <v>0</v>
      </c>
      <c r="D11" s="22">
        <f>[9]Apr!$N$1-D24</f>
        <v>0</v>
      </c>
      <c r="E11" s="22">
        <f>[9]Apr!$O$1-E24</f>
        <v>0</v>
      </c>
      <c r="F11" s="22">
        <f>[9]Apr!$P$1+[9]Apr!$Q$1-F24</f>
        <v>0</v>
      </c>
      <c r="G11" s="22">
        <f t="shared" si="1"/>
        <v>0</v>
      </c>
      <c r="H11" s="22">
        <f>[9]Apr!$T$1-H24</f>
        <v>0</v>
      </c>
      <c r="I11" s="22">
        <f>[9]Apr!$G$1</f>
        <v>0</v>
      </c>
      <c r="J11" s="13"/>
      <c r="K11" s="614"/>
      <c r="L11" s="26"/>
    </row>
    <row r="12" spans="1:12" ht="12" customHeight="1" x14ac:dyDescent="0.15">
      <c r="A12" s="27"/>
      <c r="B12" s="45">
        <f>Admin!B26</f>
        <v>46022</v>
      </c>
      <c r="C12" s="22">
        <f>[9]May!$M$1-C25</f>
        <v>0</v>
      </c>
      <c r="D12" s="22">
        <f>[9]May!$N$1-D25</f>
        <v>0</v>
      </c>
      <c r="E12" s="22">
        <f>[9]May!$O$1-E25</f>
        <v>0</v>
      </c>
      <c r="F12" s="22">
        <f>[9]May!$P$1+[9]May!$Q$1-F25</f>
        <v>0</v>
      </c>
      <c r="G12" s="22">
        <f t="shared" si="1"/>
        <v>0</v>
      </c>
      <c r="H12" s="22">
        <f>[9]May!$T$1-H25</f>
        <v>0</v>
      </c>
      <c r="I12" s="22">
        <f>[9]May!$G$1</f>
        <v>0</v>
      </c>
      <c r="J12" s="13"/>
      <c r="K12" s="613" t="s">
        <v>148</v>
      </c>
      <c r="L12" s="26"/>
    </row>
    <row r="13" spans="1:12" x14ac:dyDescent="0.15">
      <c r="A13" s="27"/>
      <c r="B13" s="45">
        <f>Admin!B28</f>
        <v>46053</v>
      </c>
      <c r="C13" s="22">
        <f>[9]Jun!$M$1-C26</f>
        <v>0</v>
      </c>
      <c r="D13" s="22">
        <f>[9]Jun!$N$1-D26</f>
        <v>0</v>
      </c>
      <c r="E13" s="22">
        <f>[9]Jun!$O$1-E26</f>
        <v>0</v>
      </c>
      <c r="F13" s="22">
        <f>[9]Jun!$P$1+[9]Jun!$Q$1-F26</f>
        <v>0</v>
      </c>
      <c r="G13" s="22">
        <f t="shared" si="1"/>
        <v>0</v>
      </c>
      <c r="H13" s="22">
        <f>[9]Jun!$T$1-H26</f>
        <v>0</v>
      </c>
      <c r="I13" s="22">
        <f>[9]Jun!$G$1</f>
        <v>0</v>
      </c>
      <c r="J13" s="13"/>
      <c r="K13" s="614"/>
      <c r="L13" s="26"/>
    </row>
    <row r="14" spans="1:12" x14ac:dyDescent="0.15">
      <c r="A14" s="27"/>
      <c r="B14" s="45">
        <f>Admin!B30</f>
        <v>46081</v>
      </c>
      <c r="C14" s="22">
        <f>[9]Jul!$M$1-C27</f>
        <v>0</v>
      </c>
      <c r="D14" s="22">
        <f>[9]Jul!$N$1-D27</f>
        <v>0</v>
      </c>
      <c r="E14" s="22">
        <f>[9]Jul!$O$1-E27</f>
        <v>0</v>
      </c>
      <c r="F14" s="22">
        <f>[9]Jul!$P$1+[9]Jul!$Q$1-F27</f>
        <v>0</v>
      </c>
      <c r="G14" s="22">
        <f t="shared" si="1"/>
        <v>0</v>
      </c>
      <c r="H14" s="22">
        <f>[9]Jul!$T$1-H27</f>
        <v>0</v>
      </c>
      <c r="I14" s="22">
        <f>[9]Jul!$G$1</f>
        <v>0</v>
      </c>
      <c r="J14" s="13"/>
      <c r="K14" s="614"/>
      <c r="L14" s="26"/>
    </row>
    <row r="15" spans="1:12" x14ac:dyDescent="0.15">
      <c r="A15" s="27"/>
      <c r="B15" s="45">
        <f>Admin!B32</f>
        <v>46112</v>
      </c>
      <c r="C15" s="22">
        <f>[9]Aug!$M$1-C28</f>
        <v>0</v>
      </c>
      <c r="D15" s="22">
        <f>[9]Aug!$N$1-D28</f>
        <v>0</v>
      </c>
      <c r="E15" s="22">
        <f>[9]Aug!$O$1-E28</f>
        <v>0</v>
      </c>
      <c r="F15" s="22">
        <f>[9]Aug!$P$1+[9]Aug!$Q$1-F28</f>
        <v>0</v>
      </c>
      <c r="G15" s="22">
        <f t="shared" si="1"/>
        <v>0</v>
      </c>
      <c r="H15" s="22">
        <f>[9]Aug!$T$1-H28</f>
        <v>0</v>
      </c>
      <c r="I15" s="22">
        <f>[9]Aug!$G$1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[9]Sep!$M$2</f>
        <v>0</v>
      </c>
      <c r="D17" s="22">
        <f>[9]Sep!$N$2</f>
        <v>0</v>
      </c>
      <c r="E17" s="22">
        <f>[9]Sep!$O$2</f>
        <v>0</v>
      </c>
      <c r="F17" s="22">
        <f>[9]Sep!$P$2+[9]Sep!$Q$2</f>
        <v>0</v>
      </c>
      <c r="G17" s="22">
        <f t="shared" ref="G17:G28" si="2">C17-SUM(D17:F17)</f>
        <v>0</v>
      </c>
      <c r="H17" s="22">
        <f>[9]Sep!$T$2</f>
        <v>0</v>
      </c>
      <c r="J17" s="13"/>
      <c r="K17" s="613" t="s">
        <v>198</v>
      </c>
      <c r="L17" s="26"/>
    </row>
    <row r="18" spans="1:12" x14ac:dyDescent="0.15">
      <c r="A18" s="27"/>
      <c r="B18" s="45">
        <f t="shared" ref="B18:B28" si="3">B5</f>
        <v>45808</v>
      </c>
      <c r="C18" s="22">
        <f>[9]Oct!$M$2</f>
        <v>0</v>
      </c>
      <c r="D18" s="22">
        <f>[9]Oct!$N$2</f>
        <v>0</v>
      </c>
      <c r="E18" s="22">
        <f>[9]Oct!$O$2</f>
        <v>0</v>
      </c>
      <c r="F18" s="22">
        <f>[9]Oct!$P$2+[9]Oct!$Q$2</f>
        <v>0</v>
      </c>
      <c r="G18" s="22">
        <f t="shared" si="2"/>
        <v>0</v>
      </c>
      <c r="H18" s="22">
        <f>[9]Oct!$T$2</f>
        <v>0</v>
      </c>
      <c r="J18" s="13"/>
      <c r="K18" s="614"/>
      <c r="L18" s="26"/>
    </row>
    <row r="19" spans="1:12" x14ac:dyDescent="0.15">
      <c r="A19" s="27"/>
      <c r="B19" s="45">
        <f t="shared" si="3"/>
        <v>45838</v>
      </c>
      <c r="C19" s="22">
        <f>[9]Nov!$M$2</f>
        <v>0</v>
      </c>
      <c r="D19" s="22">
        <f>[9]Nov!$N$2</f>
        <v>0</v>
      </c>
      <c r="E19" s="22">
        <f>[9]Nov!$O$2</f>
        <v>0</v>
      </c>
      <c r="F19" s="22">
        <f>[9]Nov!$P$2+[9]Nov!$Q$2</f>
        <v>0</v>
      </c>
      <c r="G19" s="22">
        <f t="shared" si="2"/>
        <v>0</v>
      </c>
      <c r="H19" s="22">
        <f>[9]Nov!$T$2</f>
        <v>0</v>
      </c>
      <c r="J19" s="13"/>
      <c r="K19" s="614"/>
      <c r="L19" s="26"/>
    </row>
    <row r="20" spans="1:12" x14ac:dyDescent="0.15">
      <c r="A20" s="27"/>
      <c r="B20" s="45">
        <f t="shared" si="3"/>
        <v>45869</v>
      </c>
      <c r="C20" s="22">
        <f>[9]Dec!$M$2</f>
        <v>0</v>
      </c>
      <c r="D20" s="22">
        <f>[9]Dec!$N$2</f>
        <v>0</v>
      </c>
      <c r="E20" s="22">
        <f>[9]Dec!$O$2</f>
        <v>0</v>
      </c>
      <c r="F20" s="22">
        <f>[9]Dec!$P$2+[9]Dec!$Q$2</f>
        <v>0</v>
      </c>
      <c r="G20" s="22">
        <f t="shared" si="2"/>
        <v>0</v>
      </c>
      <c r="H20" s="22">
        <f>[9]Dec!$T$2</f>
        <v>0</v>
      </c>
      <c r="J20" s="13"/>
      <c r="K20" s="614"/>
      <c r="L20" s="26"/>
    </row>
    <row r="21" spans="1:12" x14ac:dyDescent="0.15">
      <c r="A21" s="27"/>
      <c r="B21" s="45">
        <f t="shared" si="3"/>
        <v>45900</v>
      </c>
      <c r="C21" s="22">
        <f>[9]Jan!$M$2</f>
        <v>0</v>
      </c>
      <c r="D21" s="22">
        <f>[9]Jan!$N$2</f>
        <v>0</v>
      </c>
      <c r="E21" s="22">
        <f>[9]Jan!$O$2</f>
        <v>0</v>
      </c>
      <c r="F21" s="22">
        <f>[9]Jan!$P$2+[9]Jan!$Q$2</f>
        <v>0</v>
      </c>
      <c r="G21" s="22">
        <f t="shared" si="2"/>
        <v>0</v>
      </c>
      <c r="H21" s="22">
        <f>[9]Jan!$T$2</f>
        <v>0</v>
      </c>
      <c r="J21" s="13"/>
      <c r="K21" s="613"/>
      <c r="L21" s="26"/>
    </row>
    <row r="22" spans="1:12" x14ac:dyDescent="0.15">
      <c r="A22" s="27"/>
      <c r="B22" s="45">
        <f t="shared" si="3"/>
        <v>45930</v>
      </c>
      <c r="C22" s="22">
        <f>[9]Feb!$M$2</f>
        <v>0</v>
      </c>
      <c r="D22" s="22">
        <f>[9]Feb!$N$2</f>
        <v>0</v>
      </c>
      <c r="E22" s="22">
        <f>[9]Feb!$O$2</f>
        <v>0</v>
      </c>
      <c r="F22" s="22">
        <f>[9]Feb!$P$2+[9]Feb!$Q$2</f>
        <v>0</v>
      </c>
      <c r="G22" s="22">
        <f t="shared" si="2"/>
        <v>0</v>
      </c>
      <c r="H22" s="22">
        <f>[9]Feb!$T$2</f>
        <v>0</v>
      </c>
      <c r="J22" s="13"/>
      <c r="K22" s="614"/>
      <c r="L22" s="26"/>
    </row>
    <row r="23" spans="1:12" x14ac:dyDescent="0.15">
      <c r="A23" s="27"/>
      <c r="B23" s="45">
        <f t="shared" si="3"/>
        <v>45961</v>
      </c>
      <c r="C23" s="22">
        <f>[9]Mar!$M$2</f>
        <v>0</v>
      </c>
      <c r="D23" s="22">
        <f>[9]Mar!$N$2</f>
        <v>0</v>
      </c>
      <c r="E23" s="22">
        <f>[9]Mar!$O$2</f>
        <v>0</v>
      </c>
      <c r="F23" s="22">
        <f>[9]Mar!$P$2+[9]Mar!$Q$2</f>
        <v>0</v>
      </c>
      <c r="G23" s="22">
        <f t="shared" si="2"/>
        <v>0</v>
      </c>
      <c r="H23" s="22">
        <f>[9]Mar!$T$2</f>
        <v>0</v>
      </c>
      <c r="J23" s="13"/>
      <c r="K23" s="614"/>
      <c r="L23" s="26"/>
    </row>
    <row r="24" spans="1:12" x14ac:dyDescent="0.15">
      <c r="A24" s="27"/>
      <c r="B24" s="45">
        <f t="shared" si="3"/>
        <v>45991</v>
      </c>
      <c r="C24" s="22">
        <f>[9]Apr!$M$2</f>
        <v>0</v>
      </c>
      <c r="D24" s="22">
        <f>[9]Apr!$N$2</f>
        <v>0</v>
      </c>
      <c r="E24" s="22">
        <f>[9]Apr!$O$2</f>
        <v>0</v>
      </c>
      <c r="F24" s="22">
        <f>[9]Apr!$P$2+[9]Apr!$Q$2</f>
        <v>0</v>
      </c>
      <c r="G24" s="22">
        <f t="shared" si="2"/>
        <v>0</v>
      </c>
      <c r="H24" s="22">
        <f>[9]Apr!$T$2</f>
        <v>0</v>
      </c>
      <c r="J24" s="13"/>
      <c r="K24" s="614"/>
      <c r="L24" s="26"/>
    </row>
    <row r="25" spans="1:12" x14ac:dyDescent="0.15">
      <c r="A25" s="27"/>
      <c r="B25" s="45">
        <f t="shared" si="3"/>
        <v>46022</v>
      </c>
      <c r="C25" s="22">
        <f>[9]May!$M$2</f>
        <v>0</v>
      </c>
      <c r="D25" s="22">
        <f>[9]May!$N$2</f>
        <v>0</v>
      </c>
      <c r="E25" s="22">
        <f>[9]May!$O$2</f>
        <v>0</v>
      </c>
      <c r="F25" s="22">
        <f>[9]May!$P$2+[9]May!$Q$2</f>
        <v>0</v>
      </c>
      <c r="G25" s="22">
        <f t="shared" si="2"/>
        <v>0</v>
      </c>
      <c r="H25" s="22">
        <f>[9]May!$T$2</f>
        <v>0</v>
      </c>
      <c r="J25" s="13"/>
      <c r="K25" s="613"/>
      <c r="L25" s="26"/>
    </row>
    <row r="26" spans="1:12" x14ac:dyDescent="0.15">
      <c r="A26" s="27"/>
      <c r="B26" s="45">
        <f t="shared" si="3"/>
        <v>46053</v>
      </c>
      <c r="C26" s="22">
        <f>[9]Jun!$M$2</f>
        <v>0</v>
      </c>
      <c r="D26" s="22">
        <f>[9]Jun!$N$2</f>
        <v>0</v>
      </c>
      <c r="E26" s="22">
        <f>[9]Jun!$O$2</f>
        <v>0</v>
      </c>
      <c r="F26" s="22">
        <f>[9]Jun!$P$2+[9]Jun!$Q$2</f>
        <v>0</v>
      </c>
      <c r="G26" s="22">
        <f t="shared" si="2"/>
        <v>0</v>
      </c>
      <c r="H26" s="22">
        <f>[9]Jun!$T$2</f>
        <v>0</v>
      </c>
      <c r="J26" s="13"/>
      <c r="K26" s="614"/>
      <c r="L26" s="26"/>
    </row>
    <row r="27" spans="1:12" x14ac:dyDescent="0.15">
      <c r="A27" s="27"/>
      <c r="B27" s="45">
        <f t="shared" si="3"/>
        <v>46081</v>
      </c>
      <c r="C27" s="22">
        <f>[9]Jul!$M$2</f>
        <v>0</v>
      </c>
      <c r="D27" s="22">
        <f>[9]Jul!$N$2</f>
        <v>0</v>
      </c>
      <c r="E27" s="22">
        <f>[9]Jul!$O$2</f>
        <v>0</v>
      </c>
      <c r="F27" s="22">
        <f>[9]Jul!$P$2+[9]Jul!$Q$2</f>
        <v>0</v>
      </c>
      <c r="G27" s="22">
        <f t="shared" si="2"/>
        <v>0</v>
      </c>
      <c r="H27" s="22">
        <f>[9]Jul!$T$2</f>
        <v>0</v>
      </c>
      <c r="J27" s="13"/>
      <c r="K27" s="614"/>
      <c r="L27" s="26"/>
    </row>
    <row r="28" spans="1:12" x14ac:dyDescent="0.15">
      <c r="A28" s="27"/>
      <c r="B28" s="45">
        <f t="shared" si="3"/>
        <v>46112</v>
      </c>
      <c r="C28" s="22">
        <f>[9]Aug!$M$2</f>
        <v>0</v>
      </c>
      <c r="D28" s="22">
        <f>[9]Aug!$N$2</f>
        <v>0</v>
      </c>
      <c r="E28" s="22">
        <f>[9]Aug!$O$2</f>
        <v>0</v>
      </c>
      <c r="F28" s="22">
        <f>[9]Aug!$P$2+[9]Aug!$Q$2</f>
        <v>0</v>
      </c>
      <c r="G28" s="22">
        <f t="shared" si="2"/>
        <v>0</v>
      </c>
      <c r="H28" s="22">
        <f>[9]Aug!$T$2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IF((H$4+N$4+T$4)=0,0,[2]Sep!O$1)</f>
        <v>0</v>
      </c>
      <c r="G8" s="97"/>
      <c r="H8" s="115">
        <f>H4</f>
        <v>0</v>
      </c>
      <c r="I8" s="97"/>
      <c r="J8" s="97">
        <f>[3]Sep!$O$1</f>
        <v>0</v>
      </c>
      <c r="K8" s="97"/>
      <c r="L8" s="116">
        <f>J8*H8</f>
        <v>0</v>
      </c>
      <c r="M8" s="97"/>
      <c r="N8" s="115">
        <f>N4</f>
        <v>0</v>
      </c>
      <c r="O8" s="97"/>
      <c r="P8" s="97">
        <f>[3]Sep!$P$1</f>
        <v>0</v>
      </c>
      <c r="Q8" s="97"/>
      <c r="R8" s="116">
        <f>P8*N8</f>
        <v>0</v>
      </c>
      <c r="S8" s="97"/>
      <c r="T8" s="115">
        <f>T4</f>
        <v>0</v>
      </c>
      <c r="U8" s="97"/>
      <c r="V8" s="97">
        <f>[3]Sep!$Q$1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IF((H$4+N$4+T$4)=0,0,[2]Oct!O$1)</f>
        <v>0</v>
      </c>
      <c r="G10" s="97"/>
      <c r="H10" s="115">
        <f>H8</f>
        <v>0</v>
      </c>
      <c r="I10" s="97"/>
      <c r="J10" s="97">
        <f>[3]Oct!$O$1</f>
        <v>0</v>
      </c>
      <c r="K10" s="97"/>
      <c r="L10" s="116">
        <f>J10*H10</f>
        <v>0</v>
      </c>
      <c r="M10" s="97"/>
      <c r="N10" s="115">
        <f>N8</f>
        <v>0</v>
      </c>
      <c r="O10" s="97"/>
      <c r="P10" s="97">
        <f>[3]Oct!$P$1</f>
        <v>0</v>
      </c>
      <c r="Q10" s="97"/>
      <c r="R10" s="116">
        <f>P10*N10</f>
        <v>0</v>
      </c>
      <c r="S10" s="97"/>
      <c r="T10" s="115">
        <f>T8</f>
        <v>0</v>
      </c>
      <c r="U10" s="97"/>
      <c r="V10" s="97">
        <f>[3]Oct!$Q$1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IF((H$4+N$4+T$4)=0,0,[2]Nov!O$1)</f>
        <v>0</v>
      </c>
      <c r="G12" s="97"/>
      <c r="H12" s="115">
        <f>H10</f>
        <v>0</v>
      </c>
      <c r="I12" s="97"/>
      <c r="J12" s="97">
        <f>[3]Nov!$O$1</f>
        <v>0</v>
      </c>
      <c r="K12" s="97"/>
      <c r="L12" s="116">
        <f>J12*H12</f>
        <v>0</v>
      </c>
      <c r="M12" s="97"/>
      <c r="N12" s="115">
        <f>N10</f>
        <v>0</v>
      </c>
      <c r="O12" s="97"/>
      <c r="P12" s="97">
        <f>[3]Nov!$P$1</f>
        <v>0</v>
      </c>
      <c r="Q12" s="97"/>
      <c r="R12" s="116">
        <f>P12*N12</f>
        <v>0</v>
      </c>
      <c r="S12" s="97"/>
      <c r="T12" s="115">
        <f>T10</f>
        <v>0</v>
      </c>
      <c r="U12" s="97"/>
      <c r="V12" s="97">
        <f>[3]Nov!$Q$1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IF((H$4+N$4+T$4)=0,0,[2]Dec!O$1)</f>
        <v>0</v>
      </c>
      <c r="G14" s="97"/>
      <c r="H14" s="115">
        <f>H12</f>
        <v>0</v>
      </c>
      <c r="I14" s="97"/>
      <c r="J14" s="97">
        <f>[3]Dec!$O$1</f>
        <v>0</v>
      </c>
      <c r="K14" s="97"/>
      <c r="L14" s="116">
        <f>J14*H14</f>
        <v>0</v>
      </c>
      <c r="M14" s="97"/>
      <c r="N14" s="115">
        <f>N12</f>
        <v>0</v>
      </c>
      <c r="O14" s="97"/>
      <c r="P14" s="97">
        <f>[3]Dec!$P$1</f>
        <v>0</v>
      </c>
      <c r="Q14" s="97"/>
      <c r="R14" s="116">
        <f>P14*N14</f>
        <v>0</v>
      </c>
      <c r="S14" s="97"/>
      <c r="T14" s="115">
        <f>T12</f>
        <v>0</v>
      </c>
      <c r="U14" s="97"/>
      <c r="V14" s="97">
        <f>[3]Dec!$Q$1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IF((H$4+N$4+T$4)=0,0,[2]Jan!O$1)</f>
        <v>0</v>
      </c>
      <c r="G16" s="97"/>
      <c r="H16" s="115">
        <f>H14</f>
        <v>0</v>
      </c>
      <c r="I16" s="97"/>
      <c r="J16" s="97">
        <f>[3]Jan!$O$1</f>
        <v>0</v>
      </c>
      <c r="K16" s="97"/>
      <c r="L16" s="116">
        <f>J16*H16</f>
        <v>0</v>
      </c>
      <c r="M16" s="97"/>
      <c r="N16" s="115">
        <f>N14</f>
        <v>0</v>
      </c>
      <c r="O16" s="97"/>
      <c r="P16" s="97">
        <f>[3]Jan!$P$1</f>
        <v>0</v>
      </c>
      <c r="Q16" s="97"/>
      <c r="R16" s="116">
        <f>P16*N16</f>
        <v>0</v>
      </c>
      <c r="S16" s="97"/>
      <c r="T16" s="115">
        <f>T14</f>
        <v>0</v>
      </c>
      <c r="U16" s="97"/>
      <c r="V16" s="97">
        <f>[3]Jan!$Q$1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IF((H$4+N$4+T$4)=0,0,[2]Feb!O$1)</f>
        <v>0</v>
      </c>
      <c r="G18" s="97"/>
      <c r="H18" s="115">
        <f>H16</f>
        <v>0</v>
      </c>
      <c r="I18" s="97"/>
      <c r="J18" s="97">
        <f>[3]Feb!$O$1</f>
        <v>0</v>
      </c>
      <c r="K18" s="97"/>
      <c r="L18" s="116">
        <f>J18*H18</f>
        <v>0</v>
      </c>
      <c r="M18" s="97"/>
      <c r="N18" s="115">
        <f>N16</f>
        <v>0</v>
      </c>
      <c r="O18" s="97"/>
      <c r="P18" s="97">
        <f>[3]Feb!$P$1</f>
        <v>0</v>
      </c>
      <c r="Q18" s="97"/>
      <c r="R18" s="116">
        <f>P18*N18</f>
        <v>0</v>
      </c>
      <c r="S18" s="97"/>
      <c r="T18" s="115">
        <f>T16</f>
        <v>0</v>
      </c>
      <c r="U18" s="97"/>
      <c r="V18" s="97">
        <f>[3]Feb!$Q$1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IF((H$4+N$4+T$4)=0,0,[2]Mar!O$1)</f>
        <v>0</v>
      </c>
      <c r="G20" s="97"/>
      <c r="H20" s="115">
        <f>H18</f>
        <v>0</v>
      </c>
      <c r="I20" s="97"/>
      <c r="J20" s="97">
        <f>[3]Mar!$O$1</f>
        <v>0</v>
      </c>
      <c r="K20" s="97"/>
      <c r="L20" s="116">
        <f>J20*H20</f>
        <v>0</v>
      </c>
      <c r="M20" s="97"/>
      <c r="N20" s="115">
        <f>N18</f>
        <v>0</v>
      </c>
      <c r="O20" s="97"/>
      <c r="P20" s="97">
        <f>[3]Mar!$P$1</f>
        <v>0</v>
      </c>
      <c r="Q20" s="97"/>
      <c r="R20" s="116">
        <f>P20*N20</f>
        <v>0</v>
      </c>
      <c r="S20" s="97"/>
      <c r="T20" s="115">
        <f>T18</f>
        <v>0</v>
      </c>
      <c r="U20" s="97"/>
      <c r="V20" s="97">
        <f>[3]Mar!$Q$1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IF((H$4+N$4+T$4)=0,0,[2]Apr!O$1)</f>
        <v>0</v>
      </c>
      <c r="G22" s="97"/>
      <c r="H22" s="115">
        <f>H20</f>
        <v>0</v>
      </c>
      <c r="I22" s="97"/>
      <c r="J22" s="97">
        <f>[3]Apr!$O$1</f>
        <v>0</v>
      </c>
      <c r="K22" s="97"/>
      <c r="L22" s="116">
        <f>J22*H22</f>
        <v>0</v>
      </c>
      <c r="M22" s="97"/>
      <c r="N22" s="115">
        <f>N20</f>
        <v>0</v>
      </c>
      <c r="O22" s="97"/>
      <c r="P22" s="97">
        <f>[3]Apr!$P$1</f>
        <v>0</v>
      </c>
      <c r="Q22" s="97"/>
      <c r="R22" s="116">
        <f>P22*N22</f>
        <v>0</v>
      </c>
      <c r="S22" s="97"/>
      <c r="T22" s="115">
        <f>T20</f>
        <v>0</v>
      </c>
      <c r="U22" s="97"/>
      <c r="V22" s="97">
        <f>[3]Apr!$Q$1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IF((H$4+N$4+T$4)=0,0,[2]May!O$1)</f>
        <v>0</v>
      </c>
      <c r="G24" s="97"/>
      <c r="H24" s="115">
        <f>H22</f>
        <v>0</v>
      </c>
      <c r="I24" s="97"/>
      <c r="J24" s="97">
        <f>[3]May!$O$1</f>
        <v>0</v>
      </c>
      <c r="K24" s="97"/>
      <c r="L24" s="116">
        <f>J24*H24</f>
        <v>0</v>
      </c>
      <c r="M24" s="97"/>
      <c r="N24" s="115">
        <f>N22</f>
        <v>0</v>
      </c>
      <c r="O24" s="97"/>
      <c r="P24" s="97">
        <f>[3]May!$P$1</f>
        <v>0</v>
      </c>
      <c r="Q24" s="97"/>
      <c r="R24" s="116">
        <f>P24*N24</f>
        <v>0</v>
      </c>
      <c r="S24" s="97"/>
      <c r="T24" s="115">
        <f>T22</f>
        <v>0</v>
      </c>
      <c r="U24" s="97"/>
      <c r="V24" s="97">
        <f>[3]May!$Q$1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IF((H$4+N$4+T$4)=0,0,[2]Jun!O$1)</f>
        <v>0</v>
      </c>
      <c r="G26" s="97"/>
      <c r="H26" s="115">
        <f>H24</f>
        <v>0</v>
      </c>
      <c r="I26" s="97"/>
      <c r="J26" s="97">
        <f>[3]Jun!$O$1</f>
        <v>0</v>
      </c>
      <c r="K26" s="97"/>
      <c r="L26" s="116">
        <f>J26*H26</f>
        <v>0</v>
      </c>
      <c r="M26" s="97"/>
      <c r="N26" s="115">
        <f>N24</f>
        <v>0</v>
      </c>
      <c r="O26" s="97"/>
      <c r="P26" s="97">
        <f>[3]Jun!$P$1</f>
        <v>0</v>
      </c>
      <c r="Q26" s="97"/>
      <c r="R26" s="116">
        <f>P26*N26</f>
        <v>0</v>
      </c>
      <c r="S26" s="97"/>
      <c r="T26" s="115">
        <f>T24</f>
        <v>0</v>
      </c>
      <c r="U26" s="97"/>
      <c r="V26" s="97">
        <f>[3]Jun!$Q$1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IF((H$4+N$4+T$4)=0,0,[2]Jul!O$1)</f>
        <v>0</v>
      </c>
      <c r="G28" s="97"/>
      <c r="H28" s="115">
        <f>H26</f>
        <v>0</v>
      </c>
      <c r="I28" s="97"/>
      <c r="J28" s="97">
        <f>[3]Jul!$O$1</f>
        <v>0</v>
      </c>
      <c r="K28" s="97"/>
      <c r="L28" s="116">
        <f>J28*H28</f>
        <v>0</v>
      </c>
      <c r="M28" s="97"/>
      <c r="N28" s="115">
        <f>N26</f>
        <v>0</v>
      </c>
      <c r="O28" s="97"/>
      <c r="P28" s="97">
        <f>[3]Jul!$P$1</f>
        <v>0</v>
      </c>
      <c r="Q28" s="97"/>
      <c r="R28" s="116">
        <f>P28*N28</f>
        <v>0</v>
      </c>
      <c r="S28" s="97"/>
      <c r="T28" s="115">
        <f>T26</f>
        <v>0</v>
      </c>
      <c r="U28" s="97"/>
      <c r="V28" s="97">
        <f>[3]Jul!$Q$1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IF((H$4+N$4+T$4)=0,0,[2]Aug!O$1)</f>
        <v>0</v>
      </c>
      <c r="G30" s="97"/>
      <c r="H30" s="115">
        <f>H28</f>
        <v>0</v>
      </c>
      <c r="I30" s="97"/>
      <c r="J30" s="97">
        <f>[3]Aug!$O$1</f>
        <v>0</v>
      </c>
      <c r="K30" s="97"/>
      <c r="L30" s="116">
        <f>J30*H30</f>
        <v>0</v>
      </c>
      <c r="M30" s="97"/>
      <c r="N30" s="115">
        <f>N28</f>
        <v>0</v>
      </c>
      <c r="O30" s="97"/>
      <c r="P30" s="97">
        <f>[3]Aug!$P$1</f>
        <v>0</v>
      </c>
      <c r="Q30" s="97"/>
      <c r="R30" s="116">
        <f>P30*N30</f>
        <v>0</v>
      </c>
      <c r="S30" s="97"/>
      <c r="T30" s="115">
        <f>T28</f>
        <v>0</v>
      </c>
      <c r="U30" s="97"/>
      <c r="V30" s="97">
        <f>[3]Aug!$Q$1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14</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14</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46265</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45991</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46081</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46173</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46265</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46295</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IF([3]Jul!$G$4&gt;0,[3]Jul!$G$4,0)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IF([3]Jul!$G$4&gt;0,[3]Jul!$G$4,0)</f>
        <v>0</v>
      </c>
      <c r="N5" s="57"/>
    </row>
    <row r="6" spans="1:14" x14ac:dyDescent="0.15">
      <c r="A6" s="56"/>
      <c r="B6" s="62">
        <f>Admin!$B$10</f>
        <v>45777</v>
      </c>
      <c r="C6" s="62">
        <f t="shared" si="0"/>
        <v>45808</v>
      </c>
      <c r="D6" s="104">
        <f>[3]Jul!$H$1</f>
        <v>0</v>
      </c>
      <c r="E6" s="105">
        <f>SUM(D4:D6)</f>
        <v>0</v>
      </c>
      <c r="F6" s="105">
        <f>[3]Jul!$G$1</f>
        <v>0</v>
      </c>
      <c r="G6" s="105">
        <f>SUM(F4:F6)</f>
        <v>0</v>
      </c>
      <c r="H6" s="105">
        <f>[2]Jul!$H$1</f>
        <v>0</v>
      </c>
      <c r="I6" s="105">
        <f t="shared" ref="I6:I19" si="1">SUM(H4:H6)</f>
        <v>0</v>
      </c>
      <c r="J6" s="105">
        <f>[2]Jul!$G$1</f>
        <v>0</v>
      </c>
      <c r="K6" s="105">
        <f t="shared" ref="K6:K19" si="2">SUM(J4:J6)</f>
        <v>0</v>
      </c>
      <c r="L6" s="115"/>
      <c r="M6" s="116">
        <f>IF([3]Jul!$G$4&gt;0,[3]Jul!$G$4,0)</f>
        <v>0</v>
      </c>
      <c r="N6" s="57"/>
    </row>
    <row r="7" spans="1:14" x14ac:dyDescent="0.15">
      <c r="A7" s="56"/>
      <c r="B7" s="62">
        <f>Admin!$B$12</f>
        <v>45808</v>
      </c>
      <c r="C7" s="62">
        <f t="shared" si="0"/>
        <v>45838</v>
      </c>
      <c r="D7" s="104">
        <f>[3]Aug!$H$1</f>
        <v>0</v>
      </c>
      <c r="E7" s="105">
        <f t="shared" ref="E7:G19" si="3">SUM(D5:D7)</f>
        <v>0</v>
      </c>
      <c r="F7" s="105">
        <f>[3]Aug!$G$1</f>
        <v>0</v>
      </c>
      <c r="G7" s="105">
        <f t="shared" si="3"/>
        <v>0</v>
      </c>
      <c r="H7" s="105">
        <f>[2]Aug!$H$1</f>
        <v>0</v>
      </c>
      <c r="I7" s="105">
        <f t="shared" si="1"/>
        <v>0</v>
      </c>
      <c r="J7" s="105">
        <f>[2]Aug!$G$1</f>
        <v>0</v>
      </c>
      <c r="K7" s="105">
        <f t="shared" si="2"/>
        <v>0</v>
      </c>
      <c r="L7" s="115"/>
      <c r="M7" s="116">
        <f>IF([3]Aug!$G$4&gt;0,[3]Aug!$G$4,0)</f>
        <v>0</v>
      </c>
      <c r="N7" s="57"/>
    </row>
    <row r="8" spans="1:14" x14ac:dyDescent="0.15">
      <c r="A8" s="56"/>
      <c r="B8" s="62">
        <f>Admin!$B$14</f>
        <v>45838</v>
      </c>
      <c r="C8" s="62">
        <f t="shared" si="0"/>
        <v>45869</v>
      </c>
      <c r="D8" s="104">
        <f>[3]Apr!$H$1</f>
        <v>0</v>
      </c>
      <c r="E8" s="105">
        <f t="shared" si="3"/>
        <v>0</v>
      </c>
      <c r="F8" s="105">
        <f>[3]Apr!$G$1</f>
        <v>0</v>
      </c>
      <c r="G8" s="105">
        <f t="shared" si="3"/>
        <v>0</v>
      </c>
      <c r="H8" s="105">
        <f>[2]Apr!$H$1</f>
        <v>0</v>
      </c>
      <c r="I8" s="105">
        <f t="shared" si="1"/>
        <v>0</v>
      </c>
      <c r="J8" s="105">
        <f>[2]Apr!$G$1</f>
        <v>0</v>
      </c>
      <c r="K8" s="105">
        <f t="shared" si="2"/>
        <v>0</v>
      </c>
      <c r="L8" s="115"/>
      <c r="M8" s="116">
        <f>IF([3]Jul!$G$4&gt;0,[3]Jul!$G$4,0)</f>
        <v>0</v>
      </c>
      <c r="N8" s="57"/>
    </row>
    <row r="9" spans="1:14" x14ac:dyDescent="0.15">
      <c r="A9" s="56"/>
      <c r="B9" s="62">
        <f>Admin!$B$16</f>
        <v>45869</v>
      </c>
      <c r="C9" s="62">
        <f t="shared" si="0"/>
        <v>45900</v>
      </c>
      <c r="D9" s="104">
        <f>[3]May!$H$1</f>
        <v>0</v>
      </c>
      <c r="E9" s="105">
        <f t="shared" si="3"/>
        <v>0</v>
      </c>
      <c r="F9" s="105">
        <f>[3]May!$G$1</f>
        <v>0</v>
      </c>
      <c r="G9" s="105">
        <f t="shared" si="3"/>
        <v>0</v>
      </c>
      <c r="H9" s="105">
        <f>[2]May!$H$1</f>
        <v>0</v>
      </c>
      <c r="I9" s="105">
        <f t="shared" si="1"/>
        <v>0</v>
      </c>
      <c r="J9" s="105">
        <f>[2]May!$G$1</f>
        <v>0</v>
      </c>
      <c r="K9" s="105">
        <f t="shared" si="2"/>
        <v>0</v>
      </c>
      <c r="L9" s="115"/>
      <c r="M9" s="116">
        <f>IF([3]Aug!$G$4&gt;0,[3]Aug!$G$4,0)</f>
        <v>0</v>
      </c>
      <c r="N9" s="57"/>
    </row>
    <row r="10" spans="1:14" x14ac:dyDescent="0.15">
      <c r="A10" s="56"/>
      <c r="B10" s="62">
        <f>Admin!$B$18</f>
        <v>45900</v>
      </c>
      <c r="C10" s="62">
        <f t="shared" si="0"/>
        <v>45930</v>
      </c>
      <c r="D10" s="104">
        <f>[3]Jun!$H$1</f>
        <v>0</v>
      </c>
      <c r="E10" s="105">
        <f t="shared" si="3"/>
        <v>0</v>
      </c>
      <c r="F10" s="105">
        <f>[3]Jun!$G$1</f>
        <v>0</v>
      </c>
      <c r="G10" s="105">
        <f t="shared" si="3"/>
        <v>0</v>
      </c>
      <c r="H10" s="105">
        <f>[2]Jun!$H$1</f>
        <v>0</v>
      </c>
      <c r="I10" s="105">
        <f t="shared" si="1"/>
        <v>0</v>
      </c>
      <c r="J10" s="105">
        <f>[2]Jun!$G$1</f>
        <v>0</v>
      </c>
      <c r="K10" s="105">
        <f t="shared" si="2"/>
        <v>0</v>
      </c>
      <c r="L10" s="115"/>
      <c r="M10" s="116">
        <f>IF([3]Jun!$G$4&gt;0,[3]Jun!$G$4,0)</f>
        <v>0</v>
      </c>
      <c r="N10" s="57"/>
    </row>
    <row r="11" spans="1:14" x14ac:dyDescent="0.15">
      <c r="A11" s="56"/>
      <c r="B11" s="62">
        <f>Admin!$B$20</f>
        <v>45930</v>
      </c>
      <c r="C11" s="62">
        <f t="shared" si="0"/>
        <v>45961</v>
      </c>
      <c r="D11" s="104">
        <f>[3]Jul!$H$1</f>
        <v>0</v>
      </c>
      <c r="E11" s="105">
        <f t="shared" si="3"/>
        <v>0</v>
      </c>
      <c r="F11" s="105">
        <f>[3]Jul!$G$1</f>
        <v>0</v>
      </c>
      <c r="G11" s="105">
        <f t="shared" si="3"/>
        <v>0</v>
      </c>
      <c r="H11" s="105">
        <f>[2]Jul!$H$1</f>
        <v>0</v>
      </c>
      <c r="I11" s="105">
        <f t="shared" si="1"/>
        <v>0</v>
      </c>
      <c r="J11" s="105">
        <f>[2]Jul!$G$1</f>
        <v>0</v>
      </c>
      <c r="K11" s="105">
        <f t="shared" si="2"/>
        <v>0</v>
      </c>
      <c r="L11" s="115"/>
      <c r="M11" s="116">
        <f>IF([3]Apr!$G$4&gt;0,[3]Apr!$G$4,0)</f>
        <v>0</v>
      </c>
      <c r="N11" s="57"/>
    </row>
    <row r="12" spans="1:14" x14ac:dyDescent="0.15">
      <c r="A12" s="56"/>
      <c r="B12" s="62">
        <f>Admin!$B$22</f>
        <v>45961</v>
      </c>
      <c r="C12" s="62">
        <f t="shared" si="0"/>
        <v>45991</v>
      </c>
      <c r="D12" s="104">
        <f>[3]Aug!$H$1</f>
        <v>0</v>
      </c>
      <c r="E12" s="105">
        <f t="shared" si="3"/>
        <v>0</v>
      </c>
      <c r="F12" s="105">
        <f>[3]Aug!$G$1</f>
        <v>0</v>
      </c>
      <c r="G12" s="105">
        <f t="shared" si="3"/>
        <v>0</v>
      </c>
      <c r="H12" s="105">
        <f>[2]Aug!$H$1</f>
        <v>0</v>
      </c>
      <c r="I12" s="105">
        <f t="shared" si="1"/>
        <v>0</v>
      </c>
      <c r="J12" s="105">
        <f>[2]Aug!$G$1</f>
        <v>0</v>
      </c>
      <c r="K12" s="105">
        <f t="shared" si="2"/>
        <v>0</v>
      </c>
      <c r="L12" s="115"/>
      <c r="M12" s="116">
        <f>IF([3]Jul!$G$4&gt;0,[3]Jul!$G$4,0)</f>
        <v>0</v>
      </c>
      <c r="N12" s="57"/>
    </row>
    <row r="13" spans="1:14" x14ac:dyDescent="0.15">
      <c r="A13" s="56"/>
      <c r="B13" s="62">
        <f>Admin!$B$24</f>
        <v>45991</v>
      </c>
      <c r="C13" s="62">
        <f t="shared" si="0"/>
        <v>46022</v>
      </c>
      <c r="D13" s="104">
        <f>[3]Jul!$H$1</f>
        <v>0</v>
      </c>
      <c r="E13" s="105">
        <f t="shared" si="3"/>
        <v>0</v>
      </c>
      <c r="F13" s="105">
        <f>[3]Jul!$G$1</f>
        <v>0</v>
      </c>
      <c r="G13" s="105">
        <f t="shared" si="3"/>
        <v>0</v>
      </c>
      <c r="H13" s="105">
        <f>[2]Jul!$H$1</f>
        <v>0</v>
      </c>
      <c r="I13" s="105">
        <f t="shared" si="1"/>
        <v>0</v>
      </c>
      <c r="J13" s="105">
        <f>[2]Jul!$G$1</f>
        <v>0</v>
      </c>
      <c r="K13" s="105">
        <f t="shared" si="2"/>
        <v>0</v>
      </c>
      <c r="L13" s="115"/>
      <c r="M13" s="116">
        <f>IF([3]Jun!$G$4&gt;0,[3]Jun!$G$4,0)</f>
        <v>0</v>
      </c>
      <c r="N13" s="57"/>
    </row>
    <row r="14" spans="1:14" x14ac:dyDescent="0.15">
      <c r="A14" s="56"/>
      <c r="B14" s="62">
        <f>Admin!$B$26</f>
        <v>46022</v>
      </c>
      <c r="C14" s="62">
        <f t="shared" si="0"/>
        <v>46053</v>
      </c>
      <c r="D14" s="104">
        <f>[3]Aug!$H$1</f>
        <v>0</v>
      </c>
      <c r="E14" s="105">
        <f t="shared" si="3"/>
        <v>0</v>
      </c>
      <c r="F14" s="105">
        <f>[3]Aug!$G$1</f>
        <v>0</v>
      </c>
      <c r="G14" s="105">
        <f t="shared" si="3"/>
        <v>0</v>
      </c>
      <c r="H14" s="105">
        <f>[2]Aug!$H$1</f>
        <v>0</v>
      </c>
      <c r="I14" s="105">
        <f t="shared" si="1"/>
        <v>0</v>
      </c>
      <c r="J14" s="105">
        <f>[2]Aug!$G$1</f>
        <v>0</v>
      </c>
      <c r="K14" s="105">
        <f t="shared" si="2"/>
        <v>0</v>
      </c>
      <c r="L14" s="115"/>
      <c r="M14" s="116">
        <f>IF([3]Jun!$G$4&gt;0,[3]Jun!$G$4,0)</f>
        <v>0</v>
      </c>
      <c r="N14" s="57"/>
    </row>
    <row r="15" spans="1:14" x14ac:dyDescent="0.15">
      <c r="A15" s="56"/>
      <c r="B15" s="62">
        <f>Admin!$B$28</f>
        <v>46053</v>
      </c>
      <c r="C15" s="62">
        <f t="shared" si="0"/>
        <v>46081</v>
      </c>
      <c r="D15" s="104">
        <f>[3]Apr!$H$1</f>
        <v>0</v>
      </c>
      <c r="E15" s="105">
        <f t="shared" si="3"/>
        <v>0</v>
      </c>
      <c r="F15" s="105">
        <f>[3]Apr!$G$1</f>
        <v>0</v>
      </c>
      <c r="G15" s="105">
        <f t="shared" si="3"/>
        <v>0</v>
      </c>
      <c r="H15" s="105">
        <f>[2]Apr!$H$1</f>
        <v>0</v>
      </c>
      <c r="I15" s="105">
        <f t="shared" si="1"/>
        <v>0</v>
      </c>
      <c r="J15" s="105">
        <f>[2]Apr!$G$1</f>
        <v>0</v>
      </c>
      <c r="K15" s="105">
        <f t="shared" si="2"/>
        <v>0</v>
      </c>
      <c r="L15" s="115"/>
      <c r="M15" s="116">
        <f>IF([3]Jul!$G$4&gt;0,[3]Jul!$G$4,0)</f>
        <v>0</v>
      </c>
      <c r="N15" s="57"/>
    </row>
    <row r="16" spans="1:14" x14ac:dyDescent="0.15">
      <c r="A16" s="56"/>
      <c r="B16" s="62">
        <f>Admin!$B$30</f>
        <v>46081</v>
      </c>
      <c r="C16" s="62">
        <f t="shared" si="0"/>
        <v>46112</v>
      </c>
      <c r="D16" s="104">
        <f>[3]May!$H$1</f>
        <v>0</v>
      </c>
      <c r="E16" s="105">
        <f t="shared" si="3"/>
        <v>0</v>
      </c>
      <c r="F16" s="105">
        <f>[3]May!$G$1</f>
        <v>0</v>
      </c>
      <c r="G16" s="105">
        <f t="shared" si="3"/>
        <v>0</v>
      </c>
      <c r="H16" s="105">
        <f>[2]May!$H$1</f>
        <v>0</v>
      </c>
      <c r="I16" s="105">
        <f t="shared" si="1"/>
        <v>0</v>
      </c>
      <c r="J16" s="105">
        <f>[2]May!$G$1</f>
        <v>0</v>
      </c>
      <c r="K16" s="105">
        <f t="shared" si="2"/>
        <v>0</v>
      </c>
      <c r="L16" s="115"/>
      <c r="M16" s="116">
        <f>IF([3]Apr!$G$4&gt;0,[3]Apr!$G$4,0)</f>
        <v>0</v>
      </c>
      <c r="N16" s="57"/>
    </row>
    <row r="17" spans="1:14" x14ac:dyDescent="0.15">
      <c r="A17" s="56"/>
      <c r="B17" s="62">
        <f>Admin!$B$32</f>
        <v>46112</v>
      </c>
      <c r="C17" s="62">
        <f t="shared" si="0"/>
        <v>46142</v>
      </c>
      <c r="D17" s="104">
        <f>[3]Jun!$H$1</f>
        <v>0</v>
      </c>
      <c r="E17" s="105">
        <f t="shared" si="3"/>
        <v>0</v>
      </c>
      <c r="F17" s="105">
        <f>[3]Jun!$G$1</f>
        <v>0</v>
      </c>
      <c r="G17" s="105">
        <f t="shared" si="3"/>
        <v>0</v>
      </c>
      <c r="H17" s="105">
        <f>[2]Jun!$H$1</f>
        <v>0</v>
      </c>
      <c r="I17" s="105">
        <f t="shared" si="1"/>
        <v>0</v>
      </c>
      <c r="J17" s="105">
        <f>[2]Jun!$G$1</f>
        <v>0</v>
      </c>
      <c r="K17" s="105">
        <f t="shared" si="2"/>
        <v>0</v>
      </c>
      <c r="L17" s="115"/>
      <c r="M17" s="116">
        <f>IF([3]Jun!$G$4&gt;0,[3]Jun!$G$4,0)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IF([3]Jun!$G$4&gt;0,[3]Jun!$G$4,0)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IF([3]Jun!$G$4&gt;0,[3]Jun!$G$4,0)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