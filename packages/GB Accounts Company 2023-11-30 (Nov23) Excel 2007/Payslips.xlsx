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<sst xmlns="http://schemas.openxmlformats.org/spreadsheetml/2006/main" count="1383" uniqueCount="138">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</sst>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DATE(2022,12,1)</f>
        <v>44896</v>
      </c>
      <c r="L49" s="203" t="s">
        <v>76</v>
      </c>
      <c r="M49" s="205">
        <f>DATE(2022,12,31)</f>
        <v>44926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DATE(2023,1,1)</f>
        <v>44927</v>
      </c>
      <c r="L49" s="203" t="s">
        <v>76</v>
      </c>
      <c r="M49" s="205">
        <f>DATE(2023,1,31)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DATE(2023,2,1)</f>
        <v>44958</v>
      </c>
      <c r="L59" s="203" t="s">
        <v>76</v>
      </c>
      <c r="M59" s="205">
        <f>DATE(2023,2,28)</f>
        <v>44985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DATE(2023,3,1)</f>
        <v>44986</v>
      </c>
      <c r="L49" s="203" t="s">
        <v>76</v>
      </c>
      <c r="M49" s="205">
        <f>DATE(2023,3,31)</f>
        <v>45016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DATE(2023,4,1)</f>
        <v>45017</v>
      </c>
      <c r="L49" s="203" t="s">
        <v>76</v>
      </c>
      <c r="M49" s="205">
        <f>DATE(2023,4,30)</f>
        <v>45046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DATE(2023,5,1)</f>
        <v>45047</v>
      </c>
      <c r="L59" s="203" t="s">
        <v>76</v>
      </c>
      <c r="M59" s="205">
        <f>DATE(2023,5,31)</f>
        <v>45077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DATE(2023,6,1)</f>
        <v>45078</v>
      </c>
      <c r="L49" s="203" t="s">
        <v>76</v>
      </c>
      <c r="M49" s="205">
        <f>DATE(2023,6,30)</f>
        <v>45107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DATE(2023,7,1)</f>
        <v>45108</v>
      </c>
      <c r="L49" s="203" t="s">
        <v>76</v>
      </c>
      <c r="M49" s="205">
        <f>DATE(2023,7,31)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DATE(2023,8,1)</f>
        <v>45139</v>
      </c>
      <c r="L59" s="203" t="s">
        <v>76</v>
      </c>
      <c r="M59" s="205">
        <f>DATE(2023,8,31)</f>
        <v>45169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DATE(2023,9,1)</f>
        <v>45170</v>
      </c>
      <c r="L49" s="203" t="s">
        <v>76</v>
      </c>
      <c r="M49" s="205">
        <f>DATE(2023,9,30)</f>
        <v>45199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DATE(2023,10,1)</f>
        <v>45200</v>
      </c>
      <c r="L49" s="203" t="s">
        <v>76</v>
      </c>
      <c r="M49" s="205">
        <f>DATE(2023,10,31)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DATE(2023,11,1)</f>
        <v>45231</v>
      </c>
      <c r="L69" s="203" t="s">
        <v>76</v>
      </c>
      <c r="M69" s="205">
        <f>DATE(2023,11,30)</f>
        <v>45260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Nov!AD80+Nov!AE80+Nov!AF80+Nov!AG80</f>
        <v>0</v>
      </c>
      <c r="G11" s="228">
        <f>Nov!AE82+Nov!AF82+Nov!AG82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