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an" sheetId="12" r:id="rId2"/>
    <sheet name="Feb" sheetId="11" r:id="rId3"/>
    <sheet name="Mar" sheetId="10" r:id="rId4"/>
    <sheet name="Apr" sheetId="9" r:id="rId5"/>
    <sheet name="May" sheetId="8" r:id="rId6"/>
    <sheet name="Jun" sheetId="17" r:id="rId7"/>
    <sheet name="Jul" sheetId="16" r:id="rId8"/>
    <sheet name="Aug" sheetId="15" r:id="rId9"/>
    <sheet name="Sep" sheetId="14" r:id="rId10"/>
    <sheet name="Oct" sheetId="13" r:id="rId11"/>
    <sheet name="Nov" sheetId="19" r:id="rId12"/>
    <sheet name="Dec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<sst xmlns="http://schemas.openxmlformats.org/spreadsheetml/2006/main" count="1383" uniqueCount="138">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</sst>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Jan!M39+1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Feb!M39+1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89">
        <f>IF(T$9="Y",Mar!L41,0)</f>
        <v>0</v>
      </c>
      <c r="M11" s="99" t="str">
        <f>IF(E11=" "," ",IF(T$9="Y",Mar!M41,IF((H11+K11+L11)&gt;0,H11+K11+L11,"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92">
        <f>IF(T$9="Y",Mar!L42,0)</f>
        <v>0</v>
      </c>
      <c r="M12" s="100" t="str">
        <f>IF(E12=" "," ",IF(T$9="Y",Mar!M42,IF((H12+K12+L12)&gt;0,H12+K12+L12,"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92">
        <f>IF(T$9="Y",Mar!L43,0)</f>
        <v>0</v>
      </c>
      <c r="M13" s="100" t="str">
        <f>IF(E13=" "," ",IF(T$9="Y",Mar!M43,IF((H13+K13+L13)&gt;0,H13+K13+L13,"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92">
        <f>IF(T$9="Y",Mar!L44,0)</f>
        <v>0</v>
      </c>
      <c r="M14" s="100" t="str">
        <f>IF(E14=" "," ",IF(T$9="Y",Mar!M44,IF((H14+K14+L14)&gt;0,H14+K14+L14,"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5">
        <f>IF(T$9="Y",Mar!L45,0)</f>
        <v>0</v>
      </c>
      <c r="M15" s="247" t="str">
        <f>IF(E15=" "," ",IF(T$9="Y",Mar!M45,IF((H15+K15+L15)&gt;0,H15+K15+L15,"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IF(T$9="Y",Apr!#REF!,0)</f>
        <v>0</v>
      </c>
      <c r="I11" s="89">
        <f>IF(T$9="Y",Apr!#REF!,0)</f>
        <v>0</v>
      </c>
      <c r="J11" s="89">
        <f>IF(T$9="Y",Apr!#REF!,0)</f>
        <v>0</v>
      </c>
      <c r="K11" s="89">
        <v>0</v>
      </c>
      <c r="L11" s="110">
        <f>IF(T$9="Y",Apr!#REF!,0)</f>
        <v>0</v>
      </c>
      <c r="M11" s="110" t="str">
        <f>IF(E11=" "," ",IF(T$9="Y",Apr!#REF!,IF((H11+K11+L11)&gt;0,H11+K11+L11,"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IF(T$9="Y",Apr!#REF!,0)</f>
        <v>0</v>
      </c>
      <c r="I12" s="92">
        <f>IF(T$9="Y",Apr!#REF!,0)</f>
        <v>0</v>
      </c>
      <c r="J12" s="92">
        <f>IF(T$9="Y",Apr!#REF!,0)</f>
        <v>0</v>
      </c>
      <c r="K12" s="92">
        <f>IF(T$9="Y",Apr!#REF!,I12*J12)</f>
        <v>0</v>
      </c>
      <c r="L12" s="111">
        <f>IF(T$9="Y",Apr!#REF!,0)</f>
        <v>0</v>
      </c>
      <c r="M12" s="111" t="str">
        <f>IF(E12=" "," ",IF(T$9="Y",Apr!#REF!,IF((H12+K12+L12)&gt;0,H12+K12+L12,"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IF(T$9="Y",Apr!#REF!,0)</f>
        <v>0</v>
      </c>
      <c r="I13" s="92">
        <f>IF(T$9="Y",Apr!#REF!,0)</f>
        <v>0</v>
      </c>
      <c r="J13" s="92">
        <f>IF(T$9="Y",Apr!#REF!,0)</f>
        <v>0</v>
      </c>
      <c r="K13" s="92">
        <f>IF(T$9="Y",Apr!#REF!,I13*J13)</f>
        <v>0</v>
      </c>
      <c r="L13" s="111">
        <f>IF(T$9="Y",Apr!#REF!,0)</f>
        <v>0</v>
      </c>
      <c r="M13" s="111" t="str">
        <f>IF(E13=" "," ",IF(T$9="Y",Apr!#REF!,IF((H13+K13+L13)&gt;0,H13+K13+L13,"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IF(T$9="Y",Apr!#REF!,0)</f>
        <v>0</v>
      </c>
      <c r="I14" s="92">
        <f>IF(T$9="Y",Apr!#REF!,0)</f>
        <v>0</v>
      </c>
      <c r="J14" s="92">
        <f>IF(T$9="Y",Apr!#REF!,0)</f>
        <v>0</v>
      </c>
      <c r="K14" s="92">
        <f>IF(T$9="Y",Apr!#REF!,I14*J14)</f>
        <v>0</v>
      </c>
      <c r="L14" s="111">
        <f>IF(T$9="Y",Apr!#REF!,0)</f>
        <v>0</v>
      </c>
      <c r="M14" s="111" t="str">
        <f>IF(E14=" "," ",IF(T$9="Y",Apr!#REF!,IF((H14+K14+L14)&gt;0,H14+K14+L14,"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IF(T$9="Y",Apr!#REF!,0)</f>
        <v>0</v>
      </c>
      <c r="I15" s="245">
        <f>IF(T$9="Y",Apr!#REF!,0)</f>
        <v>0</v>
      </c>
      <c r="J15" s="245">
        <f>IF(T$9="Y",Apr!#REF!,0)</f>
        <v>0</v>
      </c>
      <c r="K15" s="245">
        <f>IF(T$9="Y",Apr!#REF!,I15*J15)</f>
        <v>0</v>
      </c>
      <c r="L15" s="246">
        <f>IF(T$9="Y",Apr!#REF!,0)</f>
        <v>0</v>
      </c>
      <c r="M15" s="246" t="str">
        <f>IF(E15=" "," ",IF(T$9="Y",Apr!#REF!,IF((H15+K15+L15)&gt;0,H15+K15+L15,"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89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92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92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92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IF(T$49="Y",Apr!H55,0)</f>
        <v>0</v>
      </c>
      <c r="I55" s="92">
        <f>IF(T$49="Y",Apr!I55,0)</f>
        <v>0</v>
      </c>
      <c r="J55" s="92">
        <f>IF(T$49="Y",Apr!J55,0)</f>
        <v>0</v>
      </c>
      <c r="K55" s="92">
        <f>IF(T$49="Y",Apr!K55,I55*J55)</f>
        <v>0</v>
      </c>
      <c r="L55" s="92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May!M39+1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IF(T$9="Y",Jun!H51,0)</f>
        <v>0</v>
      </c>
      <c r="I11" s="89">
        <f>IF(T$9="Y",Jun!I51,0)</f>
        <v>0</v>
      </c>
      <c r="J11" s="89">
        <f>IF(T$9="Y",Jun!J51,0)</f>
        <v>0</v>
      </c>
      <c r="K11" s="89">
        <f>IF(T$9="Y",Jun!K51,I11*J11)</f>
        <v>0</v>
      </c>
      <c r="L11" s="110">
        <f>IF(T$9="Y",Jun!L51,0)</f>
        <v>0</v>
      </c>
      <c r="M11" s="99" t="str">
        <f>IF(E11=" "," ",IF(T$9="Y",Jun!M51,IF((H11+K11+L11)&gt;0,H11+K11+L11,"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IF(T$9="Y",Jun!H52,0)</f>
        <v>0</v>
      </c>
      <c r="I12" s="92">
        <f>IF(T$9="Y",Jun!I52,0)</f>
        <v>0</v>
      </c>
      <c r="J12" s="92">
        <f>IF(T$9="Y",Jun!J52,0)</f>
        <v>0</v>
      </c>
      <c r="K12" s="92">
        <f>IF(T$9="Y",Jun!K52,I12*J12)</f>
        <v>0</v>
      </c>
      <c r="L12" s="111">
        <f>IF(T$9="Y",Jun!L52,0)</f>
        <v>0</v>
      </c>
      <c r="M12" s="100" t="str">
        <f>IF(E12=" "," ",IF(T$9="Y",Jun!M52,IF((H12+K12+L12)&gt;0,H12+K12+L12,"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IF(T$9="Y",Jun!H53,0)</f>
        <v>0</v>
      </c>
      <c r="I13" s="92">
        <f>IF(T$9="Y",Jun!I53,0)</f>
        <v>0</v>
      </c>
      <c r="J13" s="92">
        <f>IF(T$9="Y",Jun!J53,0)</f>
        <v>0</v>
      </c>
      <c r="K13" s="92">
        <f>IF(T$9="Y",Jun!K53,I13*J13)</f>
        <v>0</v>
      </c>
      <c r="L13" s="111">
        <f>IF(T$9="Y",Jun!L53,0)</f>
        <v>0</v>
      </c>
      <c r="M13" s="100" t="str">
        <f>IF(E13=" "," ",IF(T$9="Y",Jun!M53,IF((H13+K13+L13)&gt;0,H13+K13+L13,"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IF(T$9="Y",Jun!H54,0)</f>
        <v>0</v>
      </c>
      <c r="I14" s="92">
        <f>IF(T$9="Y",Jun!I54,0)</f>
        <v>0</v>
      </c>
      <c r="J14" s="92">
        <f>IF(T$9="Y",Jun!J54,0)</f>
        <v>0</v>
      </c>
      <c r="K14" s="92">
        <f>IF(T$9="Y",Jun!K54,I14*J14)</f>
        <v>0</v>
      </c>
      <c r="L14" s="111">
        <f>IF(T$9="Y",Jun!L54,0)</f>
        <v>0</v>
      </c>
      <c r="M14" s="100" t="str">
        <f>IF(E14=" "," ",IF(T$9="Y",Jun!M54,IF((H14+K14+L14)&gt;0,H14+K14+L14,"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IF(T$9="Y",Jun!H55,0)</f>
        <v>0</v>
      </c>
      <c r="I15" s="245">
        <f>IF(T$9="Y",Jun!I55,0)</f>
        <v>0</v>
      </c>
      <c r="J15" s="245">
        <f>IF(T$9="Y",Jun!J55,0)</f>
        <v>0</v>
      </c>
      <c r="K15" s="245">
        <f>IF(T$9="Y",Jun!K55,I15*J15)</f>
        <v>0</v>
      </c>
      <c r="L15" s="246">
        <f>IF(T$9="Y",Jun!L55,0)</f>
        <v>0</v>
      </c>
      <c r="M15" s="247" t="str">
        <f>IF(E15=" "," ",IF(T$9="Y",Jun!M55,IF((H15+K15+L15)&gt;0,H15+K15+L15,"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99" t="str">
        <f>IF(E11=" "," ",IF(T$9="Y",Jul!M41,IF((H11+K11+L11)&gt;0,H11+K11+L11,"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00" t="str">
        <f>IF(E12=" "," ",IF(T$9="Y",Jul!M42,IF((H12+K12+L12)&gt;0,H12+K12+L12,"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00" t="str">
        <f>IF(E13=" "," ",IF(T$9="Y",Jul!M43,IF((H13+K13+L13)&gt;0,H13+K13+L13,"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00" t="str">
        <f>IF(E14=" "," ",IF(T$9="Y",Jul!M44,IF((H14+K14+L14)&gt;0,H14+K14+L14,"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247" t="str">
        <f>IF(E15=" "," ",IF(T$9="Y",Jul!M45,IF((H15+K15+L15)&gt;0,H15+K15+L15,"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Aug!M39+1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Sep!M49+1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110" t="str">
        <f>IF(E11=" "," ",IF(T$9="Y",Sep!M51,IF((H11+K11+L11)&gt;0,H11+K11+L11,"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11" t="str">
        <f>IF(E12=" "," ",IF(T$9="Y",Sep!M52,IF((H12+K12+L12)&gt;0,H12+K12+L12,"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11" t="str">
        <f>IF(E13=" "," ",IF(T$9="Y",Sep!M53,IF((H13+K13+L13)&gt;0,H13+K13+L13,"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11" t="str">
        <f>IF(E14=" "," ",IF(T$9="Y",Sep!M54,IF((H14+K14+L14)&gt;0,H14+K14+L14,"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111" t="str">
        <f>IF(E15=" "," ",IF(T$9="Y",Sep!M55,IF((H15+K15+L15)&gt;0,H15+K15+L15,"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Oct!M39+1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IF(T$19="Y",Oct!L45,0)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Nov!M39+1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IF(T$69="Y",Nov!H51,0)</f>
        <v>0</v>
      </c>
      <c r="I71" s="89">
        <f>IF(T$69="Y",Nov!I51,0)</f>
        <v>0</v>
      </c>
      <c r="J71" s="89">
        <f>IF(T$69="Y",Nov!J51,0)</f>
        <v>0</v>
      </c>
      <c r="K71" s="89">
        <f>IF(T$69="Y",Nov!K51,I71*J71)</f>
        <v>0</v>
      </c>
      <c r="L71" s="110">
        <f>IF(T$69="Y",Nov!L51,0)</f>
        <v>0</v>
      </c>
      <c r="M71" s="99" t="str">
        <f>IF(E71=" "," ",IF(T$69="Y",Nov!M51,IF((H71+K71+L71)&gt;0,H71+K71+L71,"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IF(Employee!H$35=E$69,Employee!D$34+SUM(M71)+Nov!V51,SUM(M71)+Nov!V51)</f>
        <v>0</v>
      </c>
      <c r="W71" s="49">
        <f>IF(Employee!H$35=E$69,Employee!D$35+SUM(N71)+Nov!W51,SUM(N71)+Nov!W51)</f>
        <v>0</v>
      </c>
      <c r="X71" s="49">
        <f>IF(O71=" ",Nov!X51,O71+Nov!X51)</f>
        <v>0</v>
      </c>
      <c r="Y71" s="49">
        <f>IF(P71=" ",Nov!Y51,P71+Nov!Y51)</f>
        <v>0</v>
      </c>
      <c r="Z71" s="49">
        <f>IF(Q71=" ",Nov!Z51,Q71+Nov!Z51)</f>
        <v>0</v>
      </c>
      <c r="AA71" s="49">
        <f>IF(R71=" ",Nov!AA51,R71+Nov!AA51)</f>
        <v>0</v>
      </c>
      <c r="AC71" s="49">
        <f>IF(T71=" ",Nov!AC51,T71+Nov!AC51)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IF(T$69="Y",Nov!H52,0)</f>
        <v>0</v>
      </c>
      <c r="I72" s="92">
        <f>IF(T$69="Y",Nov!I52,0)</f>
        <v>0</v>
      </c>
      <c r="J72" s="92">
        <f>IF(T$69="Y",Nov!J52,0)</f>
        <v>0</v>
      </c>
      <c r="K72" s="92">
        <f>IF(T$69="Y",Nov!K52,I72*J72)</f>
        <v>0</v>
      </c>
      <c r="L72" s="111">
        <f>IF(T$69="Y",Nov!L52,0)</f>
        <v>0</v>
      </c>
      <c r="M72" s="100" t="str">
        <f>IF(E72=" "," ",IF(T$69="Y",Nov!M52,IF((H72+K72+L72)&gt;0,H72+K72+L72,"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IF(Employee!H$61=E$69,Employee!D$60+SUM(M72)+Nov!V52,SUM(M72)+Nov!V52)</f>
        <v>0</v>
      </c>
      <c r="W72" s="49">
        <f>IF(Employee!H$61=E$69,Employee!D$61+SUM(N72)+Nov!W52,SUM(N72)+Nov!W52)</f>
        <v>0</v>
      </c>
      <c r="X72" s="49">
        <f>IF(O72=" ",Nov!X52,O72+Nov!X52)</f>
        <v>0</v>
      </c>
      <c r="Y72" s="49">
        <f>IF(P72=" ",Nov!Y52,P72+Nov!Y52)</f>
        <v>0</v>
      </c>
      <c r="Z72" s="49">
        <f>IF(Q72=" ",Nov!Z52,Q72+Nov!Z52)</f>
        <v>0</v>
      </c>
      <c r="AA72" s="49">
        <f>IF(R72=" ",Nov!AA52,R72+Nov!AA52)</f>
        <v>0</v>
      </c>
      <c r="AC72" s="49">
        <f>IF(T72=" ",Nov!AC52,T72+Nov!AC52)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IF(T$69="Y",Nov!H53,0)</f>
        <v>0</v>
      </c>
      <c r="I73" s="92">
        <f>IF(T$69="Y",Nov!I53,0)</f>
        <v>0</v>
      </c>
      <c r="J73" s="92">
        <f>IF(T$69="Y",Nov!J53,0)</f>
        <v>0</v>
      </c>
      <c r="K73" s="92">
        <f>IF(T$69="Y",Nov!K53,I73*J73)</f>
        <v>0</v>
      </c>
      <c r="L73" s="111">
        <f>IF(T$69="Y",Nov!L53,0)</f>
        <v>0</v>
      </c>
      <c r="M73" s="100" t="str">
        <f>IF(E73=" "," ",IF(T$69="Y",Nov!M53,IF((H73+K73+L73)&gt;0,H73+K73+L73,"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IF(Employee!H$87=E$69,Employee!D$86+SUM(M73)+Nov!V53,SUM(M73)+Nov!V53)</f>
        <v>0</v>
      </c>
      <c r="W73" s="49">
        <f>IF(Employee!H$87=E$69,Employee!D$87+SUM(N73)+Nov!W53,SUM(N73)+Nov!W53)</f>
        <v>0</v>
      </c>
      <c r="X73" s="49">
        <f>IF(O73=" ",Nov!X53,O73+Nov!X53)</f>
        <v>0</v>
      </c>
      <c r="Y73" s="49">
        <f>IF(P73=" ",Nov!Y53,P73+Nov!Y53)</f>
        <v>0</v>
      </c>
      <c r="Z73" s="49">
        <f>IF(Q73=" ",Nov!Z53,Q73+Nov!Z53)</f>
        <v>0</v>
      </c>
      <c r="AA73" s="49">
        <f>IF(R73=" ",Nov!AA53,R73+Nov!AA53)</f>
        <v>0</v>
      </c>
      <c r="AC73" s="49">
        <f>IF(T73=" ",Nov!AC53,T73+Nov!AC53)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IF(T$69="Y",Nov!H54,0)</f>
        <v>0</v>
      </c>
      <c r="I74" s="92">
        <f>IF(T$69="Y",Nov!I54,0)</f>
        <v>0</v>
      </c>
      <c r="J74" s="92">
        <f>IF(T$69="Y",Nov!J54,0)</f>
        <v>0</v>
      </c>
      <c r="K74" s="92">
        <f>IF(T$69="Y",Nov!K54,I74*J74)</f>
        <v>0</v>
      </c>
      <c r="L74" s="111">
        <f>IF(T$69="Y",Nov!L54,0)</f>
        <v>0</v>
      </c>
      <c r="M74" s="100" t="str">
        <f>IF(E74=" "," ",IF(T$69="Y",Nov!M54,IF((H74+K74+L74)&gt;0,H74+K74+L74,"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IF(Employee!H$113=E$69,Employee!D$112+SUM(M74)+Nov!V54,SUM(M74)+Nov!V54)</f>
        <v>0</v>
      </c>
      <c r="W74" s="49">
        <f>IF(Employee!H$113=E$69,Employee!D$113+SUM(N74)+Nov!W54,SUM(N74)+Nov!W54)</f>
        <v>0</v>
      </c>
      <c r="X74" s="49">
        <f>IF(O74=" ",Nov!X54,O74+Nov!X54)</f>
        <v>0</v>
      </c>
      <c r="Y74" s="49">
        <f>IF(P74=" ",Nov!Y54,P74+Nov!Y54)</f>
        <v>0</v>
      </c>
      <c r="Z74" s="49">
        <f>IF(Q74=" ",Nov!Z54,Q74+Nov!Z54)</f>
        <v>0</v>
      </c>
      <c r="AA74" s="49">
        <f>IF(R74=" ",Nov!AA54,R74+Nov!AA54)</f>
        <v>0</v>
      </c>
      <c r="AC74" s="49">
        <f>IF(T74=" ",Nov!AC54,T74+Nov!AC54)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IF(T$69="Y",Nov!H55,0)</f>
        <v>0</v>
      </c>
      <c r="I75" s="245">
        <f>IF(T$69="Y",Nov!I55,0)</f>
        <v>0</v>
      </c>
      <c r="J75" s="245">
        <f>IF(T$69="Y",Nov!J55,0)</f>
        <v>0</v>
      </c>
      <c r="K75" s="245">
        <f>IF(T$69="Y",Nov!K55,I75*J75)</f>
        <v>0</v>
      </c>
      <c r="L75" s="246">
        <f>IF(T$69="Y",Nov!L55,0)</f>
        <v>0</v>
      </c>
      <c r="M75" s="100" t="str">
        <f>IF(E75=" "," ",IF(T$69="Y",Nov!M55,IF((H75+K75+L75)&gt;0,H75+K75+L75,"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IF(Employee!H$139=E$69,Employee!D$138+SUM(M75)+Nov!V55,SUM(M75)+Nov!V55)</f>
        <v>0</v>
      </c>
      <c r="W75" s="49">
        <f>IF(Employee!H$139=E$69,Employee!D$139+SUM(N75)+Nov!W55,SUM(N75)+Nov!W55)</f>
        <v>0</v>
      </c>
      <c r="X75" s="49">
        <f>IF(O75=" ",Nov!X55,O75+Nov!X55)</f>
        <v>0</v>
      </c>
      <c r="Y75" s="49">
        <f>IF(P75=" ",Nov!Y55,P75+Nov!Y55)</f>
        <v>0</v>
      </c>
      <c r="Z75" s="49">
        <f>IF(Q75=" ",Nov!Z55,Q75+Nov!Z55)</f>
        <v>0</v>
      </c>
      <c r="AA75" s="49">
        <f>IF(R75=" ",Nov!AA55,R75+Nov!AA55)</f>
        <v>0</v>
      </c>
      <c r="AC75" s="49">
        <f>IF(T75=" ",Nov!AC55,T75+Nov!AC55)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AD80+Nov!AD65</f>
        <v>0</v>
      </c>
      <c r="AE85" s="158">
        <f>AE80+Nov!AE65</f>
        <v>0</v>
      </c>
      <c r="AF85" s="158">
        <f>AF80+Nov!AF65</f>
        <v>0</v>
      </c>
      <c r="AG85" s="158">
        <f>AG80+Nov!AG65</f>
        <v>0</v>
      </c>
    </row>
    <row r="86" spans="6:33" ht="14" thickTop="1" x14ac:dyDescent="0.15"/>
    <row r="87" spans="6:33" x14ac:dyDescent="0.15">
      <c r="AD87" s="162"/>
      <c r="AE87" s="158">
        <f>AE82+Nov!AE67</f>
        <v>0</v>
      </c>
      <c r="AF87" s="158">
        <f>AF82+Nov!AF67</f>
        <v>0</v>
      </c>
      <c r="AG87" s="158">
        <f>AG82+Nov!AG67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Jan!T1+Jan!O1</f>
        <v>0</v>
      </c>
      <c r="E4" s="228">
        <f>Jan!N1</f>
        <v>0</v>
      </c>
      <c r="F4" s="228">
        <f>Jan!AD60+Jan!AE60+Jan!AF60+Jan!AG60</f>
        <v>0</v>
      </c>
      <c r="G4" s="228">
        <f>Jan!AE62+Jan!AF62+Jan!AG62</f>
        <v>0</v>
      </c>
      <c r="H4" s="228">
        <f>Jan!P1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Feb!T1+Feb!O1</f>
        <v>0</v>
      </c>
      <c r="E5" s="228">
        <f>Feb!N1</f>
        <v>0</v>
      </c>
      <c r="F5" s="228">
        <f>Feb!AD60+Feb!AE60+Feb!AF60+Feb!AG60</f>
        <v>0</v>
      </c>
      <c r="G5" s="228">
        <f>Feb!AE62+Feb!AF62+Feb!AG62</f>
        <v>0</v>
      </c>
      <c r="H5" s="228">
        <f>Feb!P1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Mar!T1+Mar!O1</f>
        <v>0</v>
      </c>
      <c r="E6" s="228">
        <f>Mar!N1</f>
        <v>0</v>
      </c>
      <c r="F6" s="228">
        <f>Mar!AD70+Mar!AE70+Mar!AF70+Mar!AG70</f>
        <v>0</v>
      </c>
      <c r="G6" s="228">
        <f>Mar!AE72+Mar!AF72+Mar!AG72</f>
        <v>0</v>
      </c>
      <c r="H6" s="228">
        <f>Mar!P1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Apr!T1+Apr!O1</f>
        <v>0</v>
      </c>
      <c r="E7" s="228">
        <f>Apr!N1</f>
        <v>0</v>
      </c>
      <c r="F7" s="228">
        <f>Apr!AD60+Apr!AE60+Apr!AF60+Apr!AG60</f>
        <v>0</v>
      </c>
      <c r="G7" s="228">
        <f>Apr!AE62+Apr!AF62+Apr!AG62</f>
        <v>0</v>
      </c>
      <c r="H7" s="228">
        <f>Apr!P1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May!T1+May!O1</f>
        <v>0</v>
      </c>
      <c r="E8" s="228">
        <f>May!N1</f>
        <v>0</v>
      </c>
      <c r="F8" s="228">
        <f>May!AD60+May!AE60+May!AF60+May!AG60</f>
        <v>0</v>
      </c>
      <c r="G8" s="228">
        <f>May!AE62+May!AF62+May!AG62</f>
        <v>0</v>
      </c>
      <c r="H8" s="228">
        <f>May!P1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Jun!T1+Jun!O1</f>
        <v>0</v>
      </c>
      <c r="E9" s="228">
        <f>Jun!N1</f>
        <v>0</v>
      </c>
      <c r="F9" s="228">
        <f>Jun!AD70+Jun!AE70+Jun!AF70+Jun!AG70</f>
        <v>0</v>
      </c>
      <c r="G9" s="228">
        <f>Jun!AE72+Jun!AF72+Jun!AG72</f>
        <v>0</v>
      </c>
      <c r="H9" s="228">
        <f>Jun!P1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Jul!T1+Jul!O1</f>
        <v>0</v>
      </c>
      <c r="E10" s="228">
        <f>Jul!N1</f>
        <v>0</v>
      </c>
      <c r="F10" s="228">
        <f>Jul!AD60+Jul!AE60+Jul!AF60+Jul!AG60</f>
        <v>0</v>
      </c>
      <c r="G10" s="228">
        <f>Jul!AE62+Jul!AF62+Jul!AG62</f>
        <v>0</v>
      </c>
      <c r="H10" s="228">
        <f>Jul!P1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Aug!T1+Aug!O1</f>
        <v>0</v>
      </c>
      <c r="E11" s="228">
        <f>Aug!N1</f>
        <v>0</v>
      </c>
      <c r="F11" s="228">
        <f>Aug!AD60+Aug!AE60+Aug!AF60+Aug!AG60</f>
        <v>0</v>
      </c>
      <c r="G11" s="228">
        <f>Aug!AE62+Aug!AF62+Aug!AG62</f>
        <v>0</v>
      </c>
      <c r="H11" s="228">
        <f>Aug!P1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Sep!T1+Sep!O1</f>
        <v>0</v>
      </c>
      <c r="E12" s="228">
        <f>Sep!N1</f>
        <v>0</v>
      </c>
      <c r="F12" s="228">
        <f>Sep!AD70+Sep!AE70+Sep!AF70+Sep!AG70</f>
        <v>0</v>
      </c>
      <c r="G12" s="228">
        <f>Sep!AE72+Sep!AF72+Sep!AG72</f>
        <v>0</v>
      </c>
      <c r="H12" s="228">
        <f>Sep!P1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Oct!T1+Oct!O1</f>
        <v>0</v>
      </c>
      <c r="E13" s="228">
        <f>Oct!N1</f>
        <v>0</v>
      </c>
      <c r="F13" s="228">
        <f>Oct!AD60+Oct!AE60+Oct!AF60+Oct!AG60</f>
        <v>0</v>
      </c>
      <c r="G13" s="228">
        <f>Oct!AE62+Oct!AF62+Oct!AG62</f>
        <v>0</v>
      </c>
      <c r="H13" s="228">
        <f>Oct!P1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Nov!T1+Nov!O1</f>
        <v>0</v>
      </c>
      <c r="E14" s="228">
        <f>Nov!N1</f>
        <v>0</v>
      </c>
      <c r="F14" s="228">
        <f>Nov!AD60+Nov!AE60+Nov!AF60+Nov!AG60</f>
        <v>0</v>
      </c>
      <c r="G14" s="228">
        <f>Nov!AE62+Nov!AF62+Nov!AG62</f>
        <v>0</v>
      </c>
      <c r="H14" s="228">
        <f>Nov!P1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Dec!T1+Dec!O1</f>
        <v>0</v>
      </c>
      <c r="E15" s="228">
        <f>Dec!N1</f>
        <v>0</v>
      </c>
      <c r="F15" s="228">
        <f>Dec!AD80+Dec!AE80+Dec!AF80+Dec!AG80</f>
        <v>0</v>
      </c>
      <c r="G15" s="228">
        <f>Dec!AE82+Dec!AF82+Dec!AG82</f>
        <v>0</v>
      </c>
      <c r="H15" s="228">
        <f>Dec!P1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45387</v>
      </c>
      <c r="J1" s="493"/>
      <c r="K1" s="303"/>
      <c r="L1" s="303"/>
      <c r="M1" s="304"/>
      <c r="N1" s="305" t="str">
        <f>TEXT(YEAR(I1)-1,"0") &amp; "-" &amp; TEXT(YEAR(I1)-2000,"0")</f>
        <v>2023-24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45022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45023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45024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45025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45026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45027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45028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45029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45030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45031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45032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45033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45034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45035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45036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45037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45038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45039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45040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45041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45042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45043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45044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45045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45046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45047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45048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45049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45050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45051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45052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45053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45054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45055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45056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45057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45058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45059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45060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45061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45062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45063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45064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45065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45066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45067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45068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45069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45070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45071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45072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45073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45074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45075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45076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45077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45078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45079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45080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45081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45082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45083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45084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45085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45086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45087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45088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45089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45090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45091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45092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45093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45094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45095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45096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45097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45098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45099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45100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45101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45102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45103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45104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45105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45106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45107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45108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45109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45110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45111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45112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45113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45114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45115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45116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45117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45118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45119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45120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45121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45122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45123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45124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45125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45126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45127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45128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45129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45130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45131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45132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45133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45134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45135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45136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45137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45138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45139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45140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45141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45142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45143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45144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45145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45146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45147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45148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45149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45150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45151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45152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45153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45154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45155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45156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45157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45158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45159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45160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45161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45162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45163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45164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45165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45166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45167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45168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45169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45170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45171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45172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45173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45174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45175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45176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45177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45178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45179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45180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45181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45182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45183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45184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45185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45186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45187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45188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45189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45190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45191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45192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45193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45194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45195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45196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45197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45198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45199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45200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45201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45202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45203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45204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45205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45206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45207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45208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45209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45210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45211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45212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45213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45214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45215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45216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45217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45218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45219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45220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45221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45222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45223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45224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45225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45226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45227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45228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45229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45230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45231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45232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45233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45234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45235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45236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45237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45238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45239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45240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45241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45242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45243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45244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45245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45246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45247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45248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45249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45250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45251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45252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45253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45254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45255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45256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45257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45258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45259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45260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45261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45262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45263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45264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45265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45266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45267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45268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45269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45270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45271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45272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45273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45274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45275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45276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45277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45278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45279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45280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45281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45282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45283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45284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45285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45286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45287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45288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45289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45290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45291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45292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45293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45294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45295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45296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45297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45298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45299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45300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45301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45302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45303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45304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45305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45306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45307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45308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45309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45310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45311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45312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45313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45314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45315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45316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45317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45318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45319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45320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45321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45322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45323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45324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45325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45326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45327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45328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45329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45330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45331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45332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45333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45334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45335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45336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45337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45338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45339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45340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45341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45342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45343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45344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45345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45346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45347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45348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45349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45350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45351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45352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45353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45354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45355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45356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45357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45358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45359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45360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45361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45362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45363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45364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45365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45366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45367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45368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45369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45370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45371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45372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45373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45374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45375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45376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45377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45378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45379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45380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45381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45382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45383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45384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45385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45386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45387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45388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45389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45390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45391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45392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45393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45394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45395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45396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45397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45398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45399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45400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45401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