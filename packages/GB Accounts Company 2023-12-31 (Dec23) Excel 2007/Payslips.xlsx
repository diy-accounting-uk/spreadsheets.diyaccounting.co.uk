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Jan" sheetId="12" r:id="rId2"/>
    <sheet name="Feb" sheetId="11" r:id="rId3"/>
    <sheet name="Mar" sheetId="10" r:id="rId4"/>
    <sheet name="Apr" sheetId="9" r:id="rId5"/>
    <sheet name="May" sheetId="8" r:id="rId6"/>
    <sheet name="Jun" sheetId="17" r:id="rId7"/>
    <sheet name="Jul" sheetId="16" r:id="rId8"/>
    <sheet name="Aug" sheetId="15" r:id="rId9"/>
    <sheet name="Sep" sheetId="14" r:id="rId10"/>
    <sheet name="Oct" sheetId="13" r:id="rId11"/>
    <sheet name="Nov" sheetId="19" r:id="rId12"/>
    <sheet name="Dec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<sst xmlns="http://schemas.openxmlformats.org/spreadsheetml/2006/main" count="1383" uniqueCount="138">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</sst>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45022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45023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45024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45025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45026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45027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45028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45022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45029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45030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45031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45032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45033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45034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45035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45036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45037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45038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45039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45040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45041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45042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45043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45044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45045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45046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45047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45048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45049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45050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45051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45052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45053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45054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45055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45056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45057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45058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45059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45060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45061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45062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45063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45064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45065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45066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45067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45068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45069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45070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45071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45072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45073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45074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45075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45076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45077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45078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45079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45080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45081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45082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45083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45084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45085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45086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45087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45088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45089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45090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45091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45092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45093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45094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45095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45096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45097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45098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45099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45100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45101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45102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45103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45104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45105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45106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45107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45108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45109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45110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45111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45112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45113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45114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45115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45116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45117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45118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45119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45120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45121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45122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45123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45124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45125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45126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45127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45128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45129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45130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45131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45132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45133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45134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45135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45136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45137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45138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45139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45140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45141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45142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45143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45144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45145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45146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45147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45148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45149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45150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45151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45152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45153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45154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45155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45156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45157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45158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45159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45160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45161</v>
      </c>
    </row>
    <row r="142" spans="1:23" x14ac:dyDescent="0.15">
      <c r="W142" s="206">
        <f>Admin!B142</f>
        <v>45162</v>
      </c>
    </row>
    <row r="143" spans="1:23" x14ac:dyDescent="0.15">
      <c r="W143" s="206">
        <f>Admin!B143</f>
        <v>45163</v>
      </c>
    </row>
    <row r="144" spans="1:23" x14ac:dyDescent="0.15">
      <c r="W144" s="206">
        <f>Admin!B144</f>
        <v>45164</v>
      </c>
    </row>
    <row r="145" spans="23:23" x14ac:dyDescent="0.15">
      <c r="W145" s="206">
        <f>Admin!B145</f>
        <v>45165</v>
      </c>
    </row>
    <row r="146" spans="23:23" x14ac:dyDescent="0.15">
      <c r="W146" s="206">
        <f>Admin!B146</f>
        <v>45166</v>
      </c>
    </row>
    <row r="147" spans="23:23" x14ac:dyDescent="0.15">
      <c r="W147" s="206">
        <f>Admin!B147</f>
        <v>45167</v>
      </c>
    </row>
    <row r="148" spans="23:23" x14ac:dyDescent="0.15">
      <c r="W148" s="206">
        <f>Admin!B148</f>
        <v>45168</v>
      </c>
    </row>
    <row r="149" spans="23:23" x14ac:dyDescent="0.15">
      <c r="W149" s="206">
        <f>Admin!B149</f>
        <v>45169</v>
      </c>
    </row>
    <row r="150" spans="23:23" x14ac:dyDescent="0.15">
      <c r="W150" s="206">
        <f>Admin!B150</f>
        <v>45170</v>
      </c>
    </row>
    <row r="151" spans="23:23" x14ac:dyDescent="0.15">
      <c r="W151" s="206">
        <f>Admin!B151</f>
        <v>45171</v>
      </c>
    </row>
    <row r="152" spans="23:23" x14ac:dyDescent="0.15">
      <c r="W152" s="206">
        <f>Admin!B152</f>
        <v>45172</v>
      </c>
    </row>
    <row r="153" spans="23:23" x14ac:dyDescent="0.15">
      <c r="W153" s="206">
        <f>Admin!B153</f>
        <v>45173</v>
      </c>
    </row>
    <row r="154" spans="23:23" x14ac:dyDescent="0.15">
      <c r="W154" s="206">
        <f>Admin!B154</f>
        <v>45174</v>
      </c>
    </row>
    <row r="155" spans="23:23" x14ac:dyDescent="0.15">
      <c r="W155" s="206">
        <f>Admin!B155</f>
        <v>45175</v>
      </c>
    </row>
    <row r="156" spans="23:23" x14ac:dyDescent="0.15">
      <c r="W156" s="206">
        <f>Admin!B156</f>
        <v>45176</v>
      </c>
    </row>
    <row r="157" spans="23:23" x14ac:dyDescent="0.15">
      <c r="W157" s="206">
        <f>Admin!B157</f>
        <v>45177</v>
      </c>
    </row>
    <row r="158" spans="23:23" x14ac:dyDescent="0.15">
      <c r="W158" s="206">
        <f>Admin!B158</f>
        <v>45178</v>
      </c>
    </row>
    <row r="159" spans="23:23" x14ac:dyDescent="0.15">
      <c r="W159" s="206">
        <f>Admin!B159</f>
        <v>45179</v>
      </c>
    </row>
    <row r="160" spans="23:23" x14ac:dyDescent="0.15">
      <c r="W160" s="206">
        <f>Admin!B160</f>
        <v>45180</v>
      </c>
    </row>
    <row r="161" spans="23:23" x14ac:dyDescent="0.15">
      <c r="W161" s="206">
        <f>Admin!B161</f>
        <v>45181</v>
      </c>
    </row>
    <row r="162" spans="23:23" x14ac:dyDescent="0.15">
      <c r="W162" s="206">
        <f>Admin!B162</f>
        <v>45182</v>
      </c>
    </row>
    <row r="163" spans="23:23" x14ac:dyDescent="0.15">
      <c r="W163" s="206">
        <f>Admin!B163</f>
        <v>45183</v>
      </c>
    </row>
    <row r="164" spans="23:23" x14ac:dyDescent="0.15">
      <c r="W164" s="206">
        <f>Admin!B164</f>
        <v>45184</v>
      </c>
    </row>
    <row r="165" spans="23:23" x14ac:dyDescent="0.15">
      <c r="W165" s="206">
        <f>Admin!B165</f>
        <v>45185</v>
      </c>
    </row>
    <row r="166" spans="23:23" x14ac:dyDescent="0.15">
      <c r="W166" s="206">
        <f>Admin!B166</f>
        <v>45186</v>
      </c>
    </row>
    <row r="167" spans="23:23" x14ac:dyDescent="0.15">
      <c r="W167" s="206">
        <f>Admin!B167</f>
        <v>45187</v>
      </c>
    </row>
    <row r="168" spans="23:23" x14ac:dyDescent="0.15">
      <c r="W168" s="206">
        <f>Admin!B168</f>
        <v>45188</v>
      </c>
    </row>
    <row r="169" spans="23:23" x14ac:dyDescent="0.15">
      <c r="W169" s="206">
        <f>Admin!B169</f>
        <v>45189</v>
      </c>
    </row>
    <row r="170" spans="23:23" x14ac:dyDescent="0.15">
      <c r="W170" s="206">
        <f>Admin!B170</f>
        <v>45190</v>
      </c>
    </row>
    <row r="171" spans="23:23" x14ac:dyDescent="0.15">
      <c r="W171" s="206">
        <f>Admin!B171</f>
        <v>45191</v>
      </c>
    </row>
    <row r="172" spans="23:23" x14ac:dyDescent="0.15">
      <c r="W172" s="206">
        <f>Admin!B172</f>
        <v>45192</v>
      </c>
    </row>
    <row r="173" spans="23:23" x14ac:dyDescent="0.15">
      <c r="W173" s="206">
        <f>Admin!B173</f>
        <v>45193</v>
      </c>
    </row>
    <row r="174" spans="23:23" x14ac:dyDescent="0.15">
      <c r="W174" s="206">
        <f>Admin!B174</f>
        <v>45194</v>
      </c>
    </row>
    <row r="175" spans="23:23" x14ac:dyDescent="0.15">
      <c r="W175" s="206">
        <f>Admin!B175</f>
        <v>45195</v>
      </c>
    </row>
    <row r="176" spans="23:23" x14ac:dyDescent="0.15">
      <c r="W176" s="206">
        <f>Admin!B176</f>
        <v>45196</v>
      </c>
    </row>
    <row r="177" spans="23:23" x14ac:dyDescent="0.15">
      <c r="W177" s="206">
        <f>Admin!B177</f>
        <v>45197</v>
      </c>
    </row>
    <row r="178" spans="23:23" x14ac:dyDescent="0.15">
      <c r="W178" s="206">
        <f>Admin!B178</f>
        <v>45198</v>
      </c>
    </row>
    <row r="179" spans="23:23" x14ac:dyDescent="0.15">
      <c r="W179" s="206">
        <f>Admin!B179</f>
        <v>45199</v>
      </c>
    </row>
    <row r="180" spans="23:23" x14ac:dyDescent="0.15">
      <c r="W180" s="206">
        <f>Admin!B180</f>
        <v>45200</v>
      </c>
    </row>
    <row r="181" spans="23:23" x14ac:dyDescent="0.15">
      <c r="W181" s="206">
        <f>Admin!B181</f>
        <v>45201</v>
      </c>
    </row>
    <row r="182" spans="23:23" x14ac:dyDescent="0.15">
      <c r="W182" s="206">
        <f>Admin!B182</f>
        <v>45202</v>
      </c>
    </row>
    <row r="183" spans="23:23" x14ac:dyDescent="0.15">
      <c r="W183" s="206">
        <f>Admin!B183</f>
        <v>45203</v>
      </c>
    </row>
    <row r="184" spans="23:23" x14ac:dyDescent="0.15">
      <c r="W184" s="206">
        <f>Admin!B184</f>
        <v>45204</v>
      </c>
    </row>
    <row r="185" spans="23:23" x14ac:dyDescent="0.15">
      <c r="W185" s="206">
        <f>Admin!B185</f>
        <v>45205</v>
      </c>
    </row>
    <row r="186" spans="23:23" x14ac:dyDescent="0.15">
      <c r="W186" s="206">
        <f>Admin!B186</f>
        <v>45206</v>
      </c>
    </row>
    <row r="187" spans="23:23" x14ac:dyDescent="0.15">
      <c r="W187" s="206">
        <f>Admin!B187</f>
        <v>45207</v>
      </c>
    </row>
    <row r="188" spans="23:23" x14ac:dyDescent="0.15">
      <c r="W188" s="206">
        <f>Admin!B188</f>
        <v>45208</v>
      </c>
    </row>
    <row r="189" spans="23:23" x14ac:dyDescent="0.15">
      <c r="W189" s="206">
        <f>Admin!B189</f>
        <v>45209</v>
      </c>
    </row>
    <row r="190" spans="23:23" x14ac:dyDescent="0.15">
      <c r="W190" s="206">
        <f>Admin!B190</f>
        <v>45210</v>
      </c>
    </row>
    <row r="191" spans="23:23" x14ac:dyDescent="0.15">
      <c r="W191" s="206">
        <f>Admin!B191</f>
        <v>45211</v>
      </c>
    </row>
    <row r="192" spans="23:23" x14ac:dyDescent="0.15">
      <c r="W192" s="206">
        <f>Admin!B192</f>
        <v>45212</v>
      </c>
    </row>
    <row r="193" spans="23:23" x14ac:dyDescent="0.15">
      <c r="W193" s="206">
        <f>Admin!B193</f>
        <v>45213</v>
      </c>
    </row>
    <row r="194" spans="23:23" x14ac:dyDescent="0.15">
      <c r="W194" s="206">
        <f>Admin!B194</f>
        <v>45214</v>
      </c>
    </row>
    <row r="195" spans="23:23" x14ac:dyDescent="0.15">
      <c r="W195" s="206">
        <f>Admin!B195</f>
        <v>45215</v>
      </c>
    </row>
    <row r="196" spans="23:23" x14ac:dyDescent="0.15">
      <c r="W196" s="206">
        <f>Admin!B196</f>
        <v>45216</v>
      </c>
    </row>
    <row r="197" spans="23:23" x14ac:dyDescent="0.15">
      <c r="W197" s="206">
        <f>Admin!B197</f>
        <v>45217</v>
      </c>
    </row>
    <row r="198" spans="23:23" x14ac:dyDescent="0.15">
      <c r="W198" s="206">
        <f>Admin!B198</f>
        <v>45218</v>
      </c>
    </row>
    <row r="199" spans="23:23" x14ac:dyDescent="0.15">
      <c r="W199" s="206">
        <f>Admin!B199</f>
        <v>45219</v>
      </c>
    </row>
    <row r="200" spans="23:23" x14ac:dyDescent="0.15">
      <c r="W200" s="206">
        <f>Admin!B200</f>
        <v>45220</v>
      </c>
    </row>
    <row r="201" spans="23:23" x14ac:dyDescent="0.15">
      <c r="W201" s="206">
        <f>Admin!B201</f>
        <v>45221</v>
      </c>
    </row>
    <row r="202" spans="23:23" x14ac:dyDescent="0.15">
      <c r="W202" s="206">
        <f>Admin!B202</f>
        <v>45222</v>
      </c>
    </row>
    <row r="203" spans="23:23" x14ac:dyDescent="0.15">
      <c r="W203" s="206">
        <f>Admin!B203</f>
        <v>45223</v>
      </c>
    </row>
    <row r="204" spans="23:23" x14ac:dyDescent="0.15">
      <c r="W204" s="206">
        <f>Admin!B204</f>
        <v>45224</v>
      </c>
    </row>
    <row r="205" spans="23:23" x14ac:dyDescent="0.15">
      <c r="W205" s="206">
        <f>Admin!B205</f>
        <v>45225</v>
      </c>
    </row>
    <row r="206" spans="23:23" x14ac:dyDescent="0.15">
      <c r="W206" s="206">
        <f>Admin!B206</f>
        <v>45226</v>
      </c>
    </row>
    <row r="207" spans="23:23" x14ac:dyDescent="0.15">
      <c r="W207" s="206">
        <f>Admin!B207</f>
        <v>45227</v>
      </c>
    </row>
    <row r="208" spans="23:23" x14ac:dyDescent="0.15">
      <c r="W208" s="206">
        <f>Admin!B208</f>
        <v>45228</v>
      </c>
    </row>
    <row r="209" spans="23:23" x14ac:dyDescent="0.15">
      <c r="W209" s="206">
        <f>Admin!B209</f>
        <v>45229</v>
      </c>
    </row>
    <row r="210" spans="23:23" x14ac:dyDescent="0.15">
      <c r="W210" s="206">
        <f>Admin!B210</f>
        <v>45230</v>
      </c>
    </row>
    <row r="211" spans="23:23" x14ac:dyDescent="0.15">
      <c r="W211" s="206">
        <f>Admin!B211</f>
        <v>45231</v>
      </c>
    </row>
    <row r="212" spans="23:23" x14ac:dyDescent="0.15">
      <c r="W212" s="206">
        <f>Admin!B212</f>
        <v>45232</v>
      </c>
    </row>
    <row r="213" spans="23:23" x14ac:dyDescent="0.15">
      <c r="W213" s="206">
        <f>Admin!B213</f>
        <v>45233</v>
      </c>
    </row>
    <row r="214" spans="23:23" x14ac:dyDescent="0.15">
      <c r="W214" s="206">
        <f>Admin!B214</f>
        <v>45234</v>
      </c>
    </row>
    <row r="215" spans="23:23" x14ac:dyDescent="0.15">
      <c r="W215" s="206">
        <f>Admin!B215</f>
        <v>45235</v>
      </c>
    </row>
    <row r="216" spans="23:23" x14ac:dyDescent="0.15">
      <c r="W216" s="206">
        <f>Admin!B216</f>
        <v>45236</v>
      </c>
    </row>
    <row r="217" spans="23:23" x14ac:dyDescent="0.15">
      <c r="W217" s="206">
        <f>Admin!B217</f>
        <v>45237</v>
      </c>
    </row>
    <row r="218" spans="23:23" x14ac:dyDescent="0.15">
      <c r="W218" s="206">
        <f>Admin!B218</f>
        <v>45238</v>
      </c>
    </row>
    <row r="219" spans="23:23" x14ac:dyDescent="0.15">
      <c r="W219" s="206">
        <f>Admin!B219</f>
        <v>45239</v>
      </c>
    </row>
    <row r="220" spans="23:23" x14ac:dyDescent="0.15">
      <c r="W220" s="206">
        <f>Admin!B220</f>
        <v>45240</v>
      </c>
    </row>
    <row r="221" spans="23:23" x14ac:dyDescent="0.15">
      <c r="W221" s="206">
        <f>Admin!B221</f>
        <v>45241</v>
      </c>
    </row>
    <row r="222" spans="23:23" x14ac:dyDescent="0.15">
      <c r="W222" s="206">
        <f>Admin!B222</f>
        <v>45242</v>
      </c>
    </row>
    <row r="223" spans="23:23" x14ac:dyDescent="0.15">
      <c r="W223" s="206">
        <f>Admin!B223</f>
        <v>45243</v>
      </c>
    </row>
    <row r="224" spans="23:23" x14ac:dyDescent="0.15">
      <c r="W224" s="206">
        <f>Admin!B224</f>
        <v>45244</v>
      </c>
    </row>
    <row r="225" spans="23:23" x14ac:dyDescent="0.15">
      <c r="W225" s="206">
        <f>Admin!B225</f>
        <v>45245</v>
      </c>
    </row>
    <row r="226" spans="23:23" x14ac:dyDescent="0.15">
      <c r="W226" s="206">
        <f>Admin!B226</f>
        <v>45246</v>
      </c>
    </row>
    <row r="227" spans="23:23" x14ac:dyDescent="0.15">
      <c r="W227" s="206">
        <f>Admin!B227</f>
        <v>45247</v>
      </c>
    </row>
    <row r="228" spans="23:23" x14ac:dyDescent="0.15">
      <c r="W228" s="206">
        <f>Admin!B228</f>
        <v>45248</v>
      </c>
    </row>
    <row r="229" spans="23:23" x14ac:dyDescent="0.15">
      <c r="W229" s="206">
        <f>Admin!B229</f>
        <v>45249</v>
      </c>
    </row>
    <row r="230" spans="23:23" x14ac:dyDescent="0.15">
      <c r="W230" s="206">
        <f>Admin!B230</f>
        <v>45250</v>
      </c>
    </row>
    <row r="231" spans="23:23" x14ac:dyDescent="0.15">
      <c r="W231" s="206">
        <f>Admin!B231</f>
        <v>45251</v>
      </c>
    </row>
    <row r="232" spans="23:23" x14ac:dyDescent="0.15">
      <c r="W232" s="206">
        <f>Admin!B232</f>
        <v>45252</v>
      </c>
    </row>
    <row r="233" spans="23:23" x14ac:dyDescent="0.15">
      <c r="W233" s="206">
        <f>Admin!B233</f>
        <v>45253</v>
      </c>
    </row>
    <row r="234" spans="23:23" x14ac:dyDescent="0.15">
      <c r="W234" s="206">
        <f>Admin!B234</f>
        <v>45254</v>
      </c>
    </row>
    <row r="235" spans="23:23" x14ac:dyDescent="0.15">
      <c r="W235" s="206">
        <f>Admin!B235</f>
        <v>45255</v>
      </c>
    </row>
    <row r="236" spans="23:23" x14ac:dyDescent="0.15">
      <c r="W236" s="206">
        <f>Admin!B236</f>
        <v>45256</v>
      </c>
    </row>
    <row r="237" spans="23:23" x14ac:dyDescent="0.15">
      <c r="W237" s="206">
        <f>Admin!B237</f>
        <v>45257</v>
      </c>
    </row>
    <row r="238" spans="23:23" x14ac:dyDescent="0.15">
      <c r="W238" s="206">
        <f>Admin!B238</f>
        <v>45258</v>
      </c>
    </row>
    <row r="239" spans="23:23" x14ac:dyDescent="0.15">
      <c r="W239" s="206">
        <f>Admin!B239</f>
        <v>45259</v>
      </c>
    </row>
    <row r="240" spans="23:23" x14ac:dyDescent="0.15">
      <c r="W240" s="206">
        <f>Admin!B240</f>
        <v>45260</v>
      </c>
    </row>
    <row r="241" spans="23:23" x14ac:dyDescent="0.15">
      <c r="W241" s="206">
        <f>Admin!B241</f>
        <v>45261</v>
      </c>
    </row>
    <row r="242" spans="23:23" x14ac:dyDescent="0.15">
      <c r="W242" s="206">
        <f>Admin!B242</f>
        <v>45262</v>
      </c>
    </row>
    <row r="243" spans="23:23" x14ac:dyDescent="0.15">
      <c r="W243" s="206">
        <f>Admin!B243</f>
        <v>45263</v>
      </c>
    </row>
    <row r="244" spans="23:23" x14ac:dyDescent="0.15">
      <c r="W244" s="206">
        <f>Admin!B244</f>
        <v>45264</v>
      </c>
    </row>
    <row r="245" spans="23:23" x14ac:dyDescent="0.15">
      <c r="W245" s="206">
        <f>Admin!B245</f>
        <v>45265</v>
      </c>
    </row>
    <row r="246" spans="23:23" x14ac:dyDescent="0.15">
      <c r="W246" s="206">
        <f>Admin!B246</f>
        <v>45266</v>
      </c>
    </row>
    <row r="247" spans="23:23" x14ac:dyDescent="0.15">
      <c r="W247" s="206">
        <f>Admin!B247</f>
        <v>45267</v>
      </c>
    </row>
    <row r="248" spans="23:23" x14ac:dyDescent="0.15">
      <c r="W248" s="206">
        <f>Admin!B248</f>
        <v>45268</v>
      </c>
    </row>
    <row r="249" spans="23:23" x14ac:dyDescent="0.15">
      <c r="W249" s="206">
        <f>Admin!B249</f>
        <v>45269</v>
      </c>
    </row>
    <row r="250" spans="23:23" x14ac:dyDescent="0.15">
      <c r="W250" s="206">
        <f>Admin!B250</f>
        <v>45270</v>
      </c>
    </row>
    <row r="251" spans="23:23" x14ac:dyDescent="0.15">
      <c r="W251" s="206">
        <f>Admin!B251</f>
        <v>45271</v>
      </c>
    </row>
    <row r="252" spans="23:23" x14ac:dyDescent="0.15">
      <c r="W252" s="206">
        <f>Admin!B252</f>
        <v>45272</v>
      </c>
    </row>
    <row r="253" spans="23:23" x14ac:dyDescent="0.15">
      <c r="W253" s="206">
        <f>Admin!B253</f>
        <v>45273</v>
      </c>
    </row>
    <row r="254" spans="23:23" x14ac:dyDescent="0.15">
      <c r="W254" s="206">
        <f>Admin!B254</f>
        <v>45274</v>
      </c>
    </row>
    <row r="255" spans="23:23" x14ac:dyDescent="0.15">
      <c r="W255" s="206">
        <f>Admin!B255</f>
        <v>45275</v>
      </c>
    </row>
    <row r="256" spans="23:23" x14ac:dyDescent="0.15">
      <c r="W256" s="206">
        <f>Admin!B256</f>
        <v>45276</v>
      </c>
    </row>
    <row r="257" spans="23:23" x14ac:dyDescent="0.15">
      <c r="W257" s="206">
        <f>Admin!B257</f>
        <v>45277</v>
      </c>
    </row>
    <row r="258" spans="23:23" x14ac:dyDescent="0.15">
      <c r="W258" s="206">
        <f>Admin!B258</f>
        <v>45278</v>
      </c>
    </row>
    <row r="259" spans="23:23" x14ac:dyDescent="0.15">
      <c r="W259" s="206">
        <f>Admin!B259</f>
        <v>45279</v>
      </c>
    </row>
    <row r="260" spans="23:23" x14ac:dyDescent="0.15">
      <c r="W260" s="206">
        <f>Admin!B260</f>
        <v>45280</v>
      </c>
    </row>
    <row r="261" spans="23:23" x14ac:dyDescent="0.15">
      <c r="W261" s="206">
        <f>Admin!B261</f>
        <v>45281</v>
      </c>
    </row>
    <row r="262" spans="23:23" x14ac:dyDescent="0.15">
      <c r="W262" s="206">
        <f>Admin!B262</f>
        <v>45282</v>
      </c>
    </row>
    <row r="263" spans="23:23" x14ac:dyDescent="0.15">
      <c r="W263" s="206">
        <f>Admin!B263</f>
        <v>45283</v>
      </c>
    </row>
    <row r="264" spans="23:23" x14ac:dyDescent="0.15">
      <c r="W264" s="206">
        <f>Admin!B264</f>
        <v>45284</v>
      </c>
    </row>
    <row r="265" spans="23:23" x14ac:dyDescent="0.15">
      <c r="W265" s="206">
        <f>Admin!B265</f>
        <v>45285</v>
      </c>
    </row>
    <row r="266" spans="23:23" x14ac:dyDescent="0.15">
      <c r="W266" s="206">
        <f>Admin!B266</f>
        <v>45286</v>
      </c>
    </row>
    <row r="267" spans="23:23" x14ac:dyDescent="0.15">
      <c r="W267" s="206">
        <f>Admin!B267</f>
        <v>45287</v>
      </c>
    </row>
    <row r="268" spans="23:23" x14ac:dyDescent="0.15">
      <c r="W268" s="206">
        <f>Admin!B268</f>
        <v>45288</v>
      </c>
    </row>
    <row r="269" spans="23:23" x14ac:dyDescent="0.15">
      <c r="W269" s="206">
        <f>Admin!B269</f>
        <v>45289</v>
      </c>
    </row>
    <row r="270" spans="23:23" x14ac:dyDescent="0.15">
      <c r="W270" s="206">
        <f>Admin!B270</f>
        <v>45290</v>
      </c>
    </row>
    <row r="271" spans="23:23" x14ac:dyDescent="0.15">
      <c r="W271" s="206">
        <f>Admin!B271</f>
        <v>45291</v>
      </c>
    </row>
    <row r="272" spans="23:23" x14ac:dyDescent="0.15">
      <c r="W272" s="206">
        <f>Admin!B272</f>
        <v>45292</v>
      </c>
    </row>
    <row r="273" spans="23:23" x14ac:dyDescent="0.15">
      <c r="W273" s="206">
        <f>Admin!B273</f>
        <v>45293</v>
      </c>
    </row>
    <row r="274" spans="23:23" x14ac:dyDescent="0.15">
      <c r="W274" s="206">
        <f>Admin!B274</f>
        <v>45294</v>
      </c>
    </row>
    <row r="275" spans="23:23" x14ac:dyDescent="0.15">
      <c r="W275" s="206">
        <f>Admin!B275</f>
        <v>45295</v>
      </c>
    </row>
    <row r="276" spans="23:23" x14ac:dyDescent="0.15">
      <c r="W276" s="206">
        <f>Admin!B276</f>
        <v>45296</v>
      </c>
    </row>
    <row r="277" spans="23:23" x14ac:dyDescent="0.15">
      <c r="W277" s="206">
        <f>Admin!B277</f>
        <v>45297</v>
      </c>
    </row>
    <row r="278" spans="23:23" x14ac:dyDescent="0.15">
      <c r="W278" s="206">
        <f>Admin!B278</f>
        <v>45298</v>
      </c>
    </row>
    <row r="279" spans="23:23" x14ac:dyDescent="0.15">
      <c r="W279" s="206">
        <f>Admin!B279</f>
        <v>45299</v>
      </c>
    </row>
    <row r="280" spans="23:23" x14ac:dyDescent="0.15">
      <c r="W280" s="206">
        <f>Admin!B280</f>
        <v>45300</v>
      </c>
    </row>
    <row r="281" spans="23:23" x14ac:dyDescent="0.15">
      <c r="W281" s="206">
        <f>Admin!B281</f>
        <v>45301</v>
      </c>
    </row>
    <row r="282" spans="23:23" x14ac:dyDescent="0.15">
      <c r="W282" s="206">
        <f>Admin!B282</f>
        <v>45302</v>
      </c>
    </row>
    <row r="283" spans="23:23" x14ac:dyDescent="0.15">
      <c r="W283" s="206">
        <f>Admin!B283</f>
        <v>45303</v>
      </c>
    </row>
    <row r="284" spans="23:23" x14ac:dyDescent="0.15">
      <c r="W284" s="206">
        <f>Admin!B284</f>
        <v>45304</v>
      </c>
    </row>
    <row r="285" spans="23:23" x14ac:dyDescent="0.15">
      <c r="W285" s="206">
        <f>Admin!B285</f>
        <v>45305</v>
      </c>
    </row>
    <row r="286" spans="23:23" x14ac:dyDescent="0.15">
      <c r="W286" s="206">
        <f>Admin!B286</f>
        <v>45306</v>
      </c>
    </row>
    <row r="287" spans="23:23" x14ac:dyDescent="0.15">
      <c r="W287" s="206">
        <f>Admin!B287</f>
        <v>45307</v>
      </c>
    </row>
    <row r="288" spans="23:23" x14ac:dyDescent="0.15">
      <c r="W288" s="206">
        <f>Admin!B288</f>
        <v>45308</v>
      </c>
    </row>
    <row r="289" spans="23:23" x14ac:dyDescent="0.15">
      <c r="W289" s="206">
        <f>Admin!B289</f>
        <v>45309</v>
      </c>
    </row>
    <row r="290" spans="23:23" x14ac:dyDescent="0.15">
      <c r="W290" s="206">
        <f>Admin!B290</f>
        <v>45310</v>
      </c>
    </row>
    <row r="291" spans="23:23" x14ac:dyDescent="0.15">
      <c r="W291" s="206">
        <f>Admin!B291</f>
        <v>45311</v>
      </c>
    </row>
    <row r="292" spans="23:23" x14ac:dyDescent="0.15">
      <c r="W292" s="206">
        <f>Admin!B292</f>
        <v>45312</v>
      </c>
    </row>
    <row r="293" spans="23:23" x14ac:dyDescent="0.15">
      <c r="W293" s="206">
        <f>Admin!B293</f>
        <v>45313</v>
      </c>
    </row>
    <row r="294" spans="23:23" x14ac:dyDescent="0.15">
      <c r="W294" s="206">
        <f>Admin!B294</f>
        <v>45314</v>
      </c>
    </row>
    <row r="295" spans="23:23" x14ac:dyDescent="0.15">
      <c r="W295" s="206">
        <f>Admin!B295</f>
        <v>45315</v>
      </c>
    </row>
    <row r="296" spans="23:23" x14ac:dyDescent="0.15">
      <c r="W296" s="206">
        <f>Admin!B296</f>
        <v>45316</v>
      </c>
    </row>
    <row r="297" spans="23:23" x14ac:dyDescent="0.15">
      <c r="W297" s="206">
        <f>Admin!B297</f>
        <v>45317</v>
      </c>
    </row>
    <row r="298" spans="23:23" x14ac:dyDescent="0.15">
      <c r="W298" s="206">
        <f>Admin!B298</f>
        <v>45318</v>
      </c>
    </row>
    <row r="299" spans="23:23" x14ac:dyDescent="0.15">
      <c r="W299" s="206">
        <f>Admin!B299</f>
        <v>45319</v>
      </c>
    </row>
    <row r="300" spans="23:23" x14ac:dyDescent="0.15">
      <c r="W300" s="206">
        <f>Admin!B300</f>
        <v>45320</v>
      </c>
    </row>
    <row r="301" spans="23:23" x14ac:dyDescent="0.15">
      <c r="W301" s="206">
        <f>Admin!B301</f>
        <v>45321</v>
      </c>
    </row>
    <row r="302" spans="23:23" x14ac:dyDescent="0.15">
      <c r="W302" s="206">
        <f>Admin!B302</f>
        <v>45322</v>
      </c>
    </row>
    <row r="303" spans="23:23" x14ac:dyDescent="0.15">
      <c r="W303" s="206">
        <f>Admin!B303</f>
        <v>45323</v>
      </c>
    </row>
    <row r="304" spans="23:23" x14ac:dyDescent="0.15">
      <c r="W304" s="206">
        <f>Admin!B304</f>
        <v>45324</v>
      </c>
    </row>
    <row r="305" spans="23:23" x14ac:dyDescent="0.15">
      <c r="W305" s="206">
        <f>Admin!B305</f>
        <v>45325</v>
      </c>
    </row>
    <row r="306" spans="23:23" x14ac:dyDescent="0.15">
      <c r="W306" s="206">
        <f>Admin!B306</f>
        <v>45326</v>
      </c>
    </row>
    <row r="307" spans="23:23" x14ac:dyDescent="0.15">
      <c r="W307" s="206">
        <f>Admin!B307</f>
        <v>45327</v>
      </c>
    </row>
    <row r="308" spans="23:23" x14ac:dyDescent="0.15">
      <c r="W308" s="206">
        <f>Admin!B308</f>
        <v>45328</v>
      </c>
    </row>
    <row r="309" spans="23:23" x14ac:dyDescent="0.15">
      <c r="W309" s="206">
        <f>Admin!B309</f>
        <v>45329</v>
      </c>
    </row>
    <row r="310" spans="23:23" x14ac:dyDescent="0.15">
      <c r="W310" s="206">
        <f>Admin!B310</f>
        <v>45330</v>
      </c>
    </row>
    <row r="311" spans="23:23" x14ac:dyDescent="0.15">
      <c r="W311" s="206">
        <f>Admin!B311</f>
        <v>45331</v>
      </c>
    </row>
    <row r="312" spans="23:23" x14ac:dyDescent="0.15">
      <c r="W312" s="206">
        <f>Admin!B312</f>
        <v>45332</v>
      </c>
    </row>
    <row r="313" spans="23:23" x14ac:dyDescent="0.15">
      <c r="W313" s="206">
        <f>Admin!B313</f>
        <v>45333</v>
      </c>
    </row>
    <row r="314" spans="23:23" x14ac:dyDescent="0.15">
      <c r="W314" s="206">
        <f>Admin!B314</f>
        <v>45334</v>
      </c>
    </row>
    <row r="315" spans="23:23" x14ac:dyDescent="0.15">
      <c r="W315" s="206">
        <f>Admin!B315</f>
        <v>45335</v>
      </c>
    </row>
    <row r="316" spans="23:23" x14ac:dyDescent="0.15">
      <c r="W316" s="206">
        <f>Admin!B316</f>
        <v>45336</v>
      </c>
    </row>
    <row r="317" spans="23:23" x14ac:dyDescent="0.15">
      <c r="W317" s="206">
        <f>Admin!B317</f>
        <v>45337</v>
      </c>
    </row>
    <row r="318" spans="23:23" x14ac:dyDescent="0.15">
      <c r="W318" s="206">
        <f>Admin!B318</f>
        <v>45338</v>
      </c>
    </row>
    <row r="319" spans="23:23" x14ac:dyDescent="0.15">
      <c r="W319" s="206">
        <f>Admin!B319</f>
        <v>45339</v>
      </c>
    </row>
    <row r="320" spans="23:23" x14ac:dyDescent="0.15">
      <c r="W320" s="206">
        <f>Admin!B320</f>
        <v>45340</v>
      </c>
    </row>
    <row r="321" spans="23:23" x14ac:dyDescent="0.15">
      <c r="W321" s="206">
        <f>Admin!B321</f>
        <v>45341</v>
      </c>
    </row>
    <row r="322" spans="23:23" x14ac:dyDescent="0.15">
      <c r="W322" s="206">
        <f>Admin!B322</f>
        <v>45342</v>
      </c>
    </row>
    <row r="323" spans="23:23" x14ac:dyDescent="0.15">
      <c r="W323" s="206">
        <f>Admin!B323</f>
        <v>45343</v>
      </c>
    </row>
    <row r="324" spans="23:23" x14ac:dyDescent="0.15">
      <c r="W324" s="206">
        <f>Admin!B324</f>
        <v>45344</v>
      </c>
    </row>
    <row r="325" spans="23:23" x14ac:dyDescent="0.15">
      <c r="W325" s="206">
        <f>Admin!B325</f>
        <v>45345</v>
      </c>
    </row>
    <row r="326" spans="23:23" x14ac:dyDescent="0.15">
      <c r="W326" s="206">
        <f>Admin!B326</f>
        <v>45346</v>
      </c>
    </row>
    <row r="327" spans="23:23" x14ac:dyDescent="0.15">
      <c r="W327" s="206">
        <f>Admin!B327</f>
        <v>45347</v>
      </c>
    </row>
    <row r="328" spans="23:23" x14ac:dyDescent="0.15">
      <c r="W328" s="206">
        <f>Admin!B328</f>
        <v>45348</v>
      </c>
    </row>
    <row r="329" spans="23:23" x14ac:dyDescent="0.15">
      <c r="W329" s="206">
        <f>Admin!B329</f>
        <v>45349</v>
      </c>
    </row>
    <row r="330" spans="23:23" x14ac:dyDescent="0.15">
      <c r="W330" s="206">
        <f>Admin!B330</f>
        <v>45350</v>
      </c>
    </row>
    <row r="331" spans="23:23" x14ac:dyDescent="0.15">
      <c r="W331" s="206">
        <f>Admin!B331</f>
        <v>45351</v>
      </c>
    </row>
    <row r="332" spans="23:23" x14ac:dyDescent="0.15">
      <c r="W332" s="206">
        <f>Admin!B332</f>
        <v>45352</v>
      </c>
    </row>
    <row r="333" spans="23:23" x14ac:dyDescent="0.15">
      <c r="W333" s="206">
        <f>Admin!B333</f>
        <v>45353</v>
      </c>
    </row>
    <row r="334" spans="23:23" x14ac:dyDescent="0.15">
      <c r="W334" s="206">
        <f>Admin!B334</f>
        <v>45354</v>
      </c>
    </row>
    <row r="335" spans="23:23" x14ac:dyDescent="0.15">
      <c r="W335" s="206">
        <f>Admin!B335</f>
        <v>45355</v>
      </c>
    </row>
    <row r="336" spans="23:23" x14ac:dyDescent="0.15">
      <c r="W336" s="206">
        <f>Admin!B336</f>
        <v>45356</v>
      </c>
    </row>
    <row r="337" spans="23:23" x14ac:dyDescent="0.15">
      <c r="W337" s="206">
        <f>Admin!B337</f>
        <v>45357</v>
      </c>
    </row>
    <row r="338" spans="23:23" x14ac:dyDescent="0.15">
      <c r="W338" s="206">
        <f>Admin!B338</f>
        <v>45358</v>
      </c>
    </row>
    <row r="339" spans="23:23" x14ac:dyDescent="0.15">
      <c r="W339" s="206">
        <f>Admin!B339</f>
        <v>45359</v>
      </c>
    </row>
    <row r="340" spans="23:23" x14ac:dyDescent="0.15">
      <c r="W340" s="206">
        <f>Admin!B340</f>
        <v>45360</v>
      </c>
    </row>
    <row r="341" spans="23:23" x14ac:dyDescent="0.15">
      <c r="W341" s="206">
        <f>Admin!B341</f>
        <v>45361</v>
      </c>
    </row>
    <row r="342" spans="23:23" x14ac:dyDescent="0.15">
      <c r="W342" s="206">
        <f>Admin!B342</f>
        <v>45362</v>
      </c>
    </row>
    <row r="343" spans="23:23" x14ac:dyDescent="0.15">
      <c r="W343" s="206">
        <f>Admin!B343</f>
        <v>45363</v>
      </c>
    </row>
    <row r="344" spans="23:23" x14ac:dyDescent="0.15">
      <c r="W344" s="206">
        <f>Admin!B344</f>
        <v>45364</v>
      </c>
    </row>
    <row r="345" spans="23:23" x14ac:dyDescent="0.15">
      <c r="W345" s="206">
        <f>Admin!B345</f>
        <v>45365</v>
      </c>
    </row>
    <row r="346" spans="23:23" x14ac:dyDescent="0.15">
      <c r="W346" s="206">
        <f>Admin!B346</f>
        <v>45366</v>
      </c>
    </row>
    <row r="347" spans="23:23" x14ac:dyDescent="0.15">
      <c r="W347" s="206">
        <f>Admin!B347</f>
        <v>45367</v>
      </c>
    </row>
    <row r="348" spans="23:23" x14ac:dyDescent="0.15">
      <c r="W348" s="206">
        <f>Admin!B348</f>
        <v>45368</v>
      </c>
    </row>
    <row r="349" spans="23:23" x14ac:dyDescent="0.15">
      <c r="W349" s="206">
        <f>Admin!B349</f>
        <v>45369</v>
      </c>
    </row>
    <row r="350" spans="23:23" x14ac:dyDescent="0.15">
      <c r="W350" s="206">
        <f>Admin!B350</f>
        <v>45370</v>
      </c>
    </row>
    <row r="351" spans="23:23" x14ac:dyDescent="0.15">
      <c r="W351" s="206">
        <f>Admin!B351</f>
        <v>45371</v>
      </c>
    </row>
    <row r="352" spans="23:23" x14ac:dyDescent="0.15">
      <c r="W352" s="206">
        <f>Admin!B352</f>
        <v>45372</v>
      </c>
    </row>
    <row r="353" spans="23:23" x14ac:dyDescent="0.15">
      <c r="W353" s="206">
        <f>Admin!B353</f>
        <v>45373</v>
      </c>
    </row>
    <row r="354" spans="23:23" x14ac:dyDescent="0.15">
      <c r="W354" s="206">
        <f>Admin!B354</f>
        <v>45374</v>
      </c>
    </row>
    <row r="355" spans="23:23" x14ac:dyDescent="0.15">
      <c r="W355" s="206">
        <f>Admin!B355</f>
        <v>45375</v>
      </c>
    </row>
    <row r="356" spans="23:23" x14ac:dyDescent="0.15">
      <c r="W356" s="206">
        <f>Admin!B356</f>
        <v>45376</v>
      </c>
    </row>
    <row r="357" spans="23:23" x14ac:dyDescent="0.15">
      <c r="W357" s="206">
        <f>Admin!B357</f>
        <v>45377</v>
      </c>
    </row>
    <row r="358" spans="23:23" x14ac:dyDescent="0.15">
      <c r="W358" s="206">
        <f>Admin!B358</f>
        <v>45378</v>
      </c>
    </row>
    <row r="359" spans="23:23" x14ac:dyDescent="0.15">
      <c r="W359" s="206">
        <f>Admin!B359</f>
        <v>45379</v>
      </c>
    </row>
    <row r="360" spans="23:23" x14ac:dyDescent="0.15">
      <c r="W360" s="206">
        <f>Admin!B360</f>
        <v>45380</v>
      </c>
    </row>
    <row r="361" spans="23:23" x14ac:dyDescent="0.15">
      <c r="W361" s="206">
        <f>Admin!B361</f>
        <v>45381</v>
      </c>
    </row>
    <row r="362" spans="23:23" x14ac:dyDescent="0.15">
      <c r="W362" s="206">
        <f>Admin!B362</f>
        <v>45382</v>
      </c>
    </row>
    <row r="363" spans="23:23" x14ac:dyDescent="0.15">
      <c r="W363" s="206">
        <f>Admin!B363</f>
        <v>45383</v>
      </c>
    </row>
    <row r="364" spans="23:23" x14ac:dyDescent="0.15">
      <c r="W364" s="206">
        <f>Admin!B364</f>
        <v>45384</v>
      </c>
    </row>
    <row r="365" spans="23:23" x14ac:dyDescent="0.15">
      <c r="W365" s="206">
        <f>Admin!B365</f>
        <v>45385</v>
      </c>
    </row>
    <row r="366" spans="23:23" x14ac:dyDescent="0.15">
      <c r="W366" s="206">
        <f>Admin!B366</f>
        <v>45386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45022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45022</v>
      </c>
      <c r="L49" s="203" t="s">
        <v>76</v>
      </c>
      <c r="M49" s="205">
        <f>Admin!B26</f>
        <v>45046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Jan!M39+1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45047</v>
      </c>
      <c r="L49" s="203" t="s">
        <v>76</v>
      </c>
      <c r="M49" s="205">
        <f>Admin!B57</f>
        <v>45077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IF(T$49="Y",Jan!H51,0)</f>
        <v>0</v>
      </c>
      <c r="I51" s="89">
        <f>IF(T$49="Y",Jan!I51,0)</f>
        <v>0</v>
      </c>
      <c r="J51" s="89">
        <f>IF(T$49="Y",Jan!J51,0)</f>
        <v>0</v>
      </c>
      <c r="K51" s="89">
        <f>IF(T$49="Y",Jan!K51,I51*J51)</f>
        <v>0</v>
      </c>
      <c r="L51" s="110">
        <f>IF(T$49="Y",Jan!L51,0)</f>
        <v>0</v>
      </c>
      <c r="M51" s="99" t="str">
        <f>IF(E51=" "," ",IF(T$49="Y",Jan!M51,IF((H51+K51+L51)&gt;0,H51+K51+L51,"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IF(Employee!H$35=E$49,Employee!D$34+SUM(M51)+Jan!V51,SUM(M51)+Jan!V51)</f>
        <v>0</v>
      </c>
      <c r="W51" s="49">
        <f>IF(Employee!H$35=E$49,Employee!D$35+SUM(N51)+Jan!W51,SUM(N51)+Jan!W51)</f>
        <v>0</v>
      </c>
      <c r="X51" s="49">
        <f>IF(O51=" ",Jan!X51,O51+Jan!X51)</f>
        <v>0</v>
      </c>
      <c r="Y51" s="49">
        <f>IF(P51=" ",Jan!Y51,P51+Jan!Y51)</f>
        <v>0</v>
      </c>
      <c r="Z51" s="49">
        <f>IF(Q51=" ",Jan!Z51,Q51+Jan!Z51)</f>
        <v>0</v>
      </c>
      <c r="AA51" s="49">
        <f>IF(R51=" ",Jan!AA51,R51+Jan!AA51)</f>
        <v>0</v>
      </c>
      <c r="AC51" s="49">
        <f>IF(T51=" ",Jan!AC51,T51+Jan!AC51)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IF(T$49="Y",Jan!H52,0)</f>
        <v>0</v>
      </c>
      <c r="I52" s="92">
        <f>IF(T$49="Y",Jan!I52,0)</f>
        <v>0</v>
      </c>
      <c r="J52" s="92">
        <f>IF(T$49="Y",Jan!J52,0)</f>
        <v>0</v>
      </c>
      <c r="K52" s="92">
        <f>IF(T$49="Y",Jan!K52,I52*J52)</f>
        <v>0</v>
      </c>
      <c r="L52" s="111">
        <f>IF(T$49="Y",Jan!L52,0)</f>
        <v>0</v>
      </c>
      <c r="M52" s="100" t="str">
        <f>IF(E52=" "," ",IF(T$49="Y",Jan!M52,IF((H52+K52+L52)&gt;0,H52+K52+L52,"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IF(Employee!H$61=E$49,Employee!D$60+SUM(M52)+Jan!V52,SUM(M52)+Jan!V52)</f>
        <v>0</v>
      </c>
      <c r="W52" s="49">
        <f>IF(Employee!H$61=E$49,Employee!D$61+SUM(N52)+Jan!W52,SUM(N52)+Jan!W52)</f>
        <v>0</v>
      </c>
      <c r="X52" s="49">
        <f>IF(O52=" ",Jan!X52,O52+Jan!X52)</f>
        <v>0</v>
      </c>
      <c r="Y52" s="49">
        <f>IF(P52=" ",Jan!Y52,P52+Jan!Y52)</f>
        <v>0</v>
      </c>
      <c r="Z52" s="49">
        <f>IF(Q52=" ",Jan!Z52,Q52+Jan!Z52)</f>
        <v>0</v>
      </c>
      <c r="AA52" s="49">
        <f>IF(R52=" ",Jan!AA52,R52+Jan!AA52)</f>
        <v>0</v>
      </c>
      <c r="AC52" s="49">
        <f>IF(T52=" ",Jan!AC52,T52+Jan!AC52)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IF(T$49="Y",Jan!H53,0)</f>
        <v>0</v>
      </c>
      <c r="I53" s="92">
        <f>IF(T$49="Y",Jan!I53,0)</f>
        <v>0</v>
      </c>
      <c r="J53" s="92">
        <f>IF(T$49="Y",Jan!J53,0)</f>
        <v>0</v>
      </c>
      <c r="K53" s="92">
        <f>IF(T$49="Y",Jan!K53,I53*J53)</f>
        <v>0</v>
      </c>
      <c r="L53" s="111">
        <f>IF(T$49="Y",Jan!L53,0)</f>
        <v>0</v>
      </c>
      <c r="M53" s="100" t="str">
        <f>IF(E53=" "," ",IF(T$49="Y",Jan!M53,IF((H53+K53+L53)&gt;0,H53+K53+L53,"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IF(Employee!H$87=E$49,Employee!D$86+SUM(M53)+Jan!V53,SUM(M53)+Jan!V53)</f>
        <v>0</v>
      </c>
      <c r="W53" s="49">
        <f>IF(Employee!H$87=E$49,Employee!D$7+SUM(N53)+Jan!W53,SUM(N53)+Jan!W53)</f>
        <v>0</v>
      </c>
      <c r="X53" s="49">
        <f>IF(O53=" ",Jan!X53,O53+Jan!X53)</f>
        <v>0</v>
      </c>
      <c r="Y53" s="49">
        <f>IF(P53=" ",Jan!Y53,P53+Jan!Y53)</f>
        <v>0</v>
      </c>
      <c r="Z53" s="49">
        <f>IF(Q53=" ",Jan!Z53,Q53+Jan!Z53)</f>
        <v>0</v>
      </c>
      <c r="AA53" s="49">
        <f>IF(R53=" ",Jan!AA53,R53+Jan!AA53)</f>
        <v>0</v>
      </c>
      <c r="AC53" s="49">
        <f>IF(T53=" ",Jan!AC53,T53+Jan!AC53)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IF(T$49="Y",Jan!H54,0)</f>
        <v>0</v>
      </c>
      <c r="I54" s="92">
        <f>IF(T$49="Y",Jan!I54,0)</f>
        <v>0</v>
      </c>
      <c r="J54" s="92">
        <f>IF(T$49="Y",Jan!J54,0)</f>
        <v>0</v>
      </c>
      <c r="K54" s="92">
        <f>IF(T$49="Y",Jan!K54,I54*J54)</f>
        <v>0</v>
      </c>
      <c r="L54" s="111">
        <f>IF(T$49="Y",Jan!L54,0)</f>
        <v>0</v>
      </c>
      <c r="M54" s="100" t="str">
        <f>IF(E54=" "," ",IF(T$49="Y",Jan!M54,IF((H54+K54+L54)&gt;0,H54+K54+L54,"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IF(Employee!H$113=E$49,Employee!D$112+SUM(M54)+Jan!V54,SUM(M54)+Jan!V54)</f>
        <v>0</v>
      </c>
      <c r="W54" s="49">
        <f>IF(Employee!H$113=E$49,Employee!D$113+SUM(N54)+Jan!W54,SUM(N54)+Jan!W54)</f>
        <v>0</v>
      </c>
      <c r="X54" s="49">
        <f>IF(O54=" ",Jan!X54,O54+Jan!X54)</f>
        <v>0</v>
      </c>
      <c r="Y54" s="49">
        <f>IF(P54=" ",Jan!Y54,P54+Jan!Y54)</f>
        <v>0</v>
      </c>
      <c r="Z54" s="49">
        <f>IF(Q54=" ",Jan!Z54,Q54+Jan!Z54)</f>
        <v>0</v>
      </c>
      <c r="AA54" s="49">
        <f>IF(R54=" ",Jan!AA54,R54+Jan!AA54)</f>
        <v>0</v>
      </c>
      <c r="AC54" s="49">
        <f>IF(T54=" ",Jan!AC54,T54+Jan!AC54)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IF(T$49="Y",Jan!H55,0)</f>
        <v>0</v>
      </c>
      <c r="I55" s="245">
        <f>IF(T$49="Y",Jan!I55,0)</f>
        <v>0</v>
      </c>
      <c r="J55" s="245">
        <f>IF(T$49="Y",Jan!J55,0)</f>
        <v>0</v>
      </c>
      <c r="K55" s="245">
        <f>IF(T$49="Y",Jan!K55,I55*J55)</f>
        <v>0</v>
      </c>
      <c r="L55" s="246">
        <f>IF(T$49="Y",Jan!L55,0)</f>
        <v>0</v>
      </c>
      <c r="M55" s="100" t="str">
        <f>IF(E55=" "," ",IF(T$49="Y",Jan!M55,IF((H55+K55+L55)&gt;0,H55+K55+L55,"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IF(Employee!H$139=E$49,Employee!D$138+SUM(M55)+Jan!V55,SUM(M55)+Jan!V55)</f>
        <v>0</v>
      </c>
      <c r="W55" s="49">
        <f>IF(Employee!H$139=E$49,Employee!D$139+SUM(N55)+Jan!W55,SUM(N55)+Jan!W55)</f>
        <v>0</v>
      </c>
      <c r="X55" s="49">
        <f>IF(O55=" ",Jan!X55,O55+Jan!X55)</f>
        <v>0</v>
      </c>
      <c r="Y55" s="49">
        <f>IF(P55=" ",Jan!Y55,P55+Jan!Y55)</f>
        <v>0</v>
      </c>
      <c r="Z55" s="49">
        <f>IF(Q55=" ",Jan!Z55,Q55+Jan!Z55)</f>
        <v>0</v>
      </c>
      <c r="AA55" s="49">
        <f>IF(R55=" ",Jan!AA55,R55+Jan!AA55)</f>
        <v>0</v>
      </c>
      <c r="AC55" s="49">
        <f>IF(T55=" ",Jan!AC55,T55+Jan!AC55)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AD60+Jan!AD65</f>
        <v>0</v>
      </c>
      <c r="AE65" s="158">
        <f>AE60+Jan!AE65</f>
        <v>0</v>
      </c>
      <c r="AF65" s="158">
        <f>AF60+Jan!AF65</f>
        <v>0</v>
      </c>
      <c r="AG65" s="158">
        <f>AG60+Jan!AG65</f>
        <v>0</v>
      </c>
    </row>
    <row r="66" spans="6:33" ht="14" thickTop="1" x14ac:dyDescent="0.15"/>
    <row r="67" spans="6:33" x14ac:dyDescent="0.15">
      <c r="AD67" s="162"/>
      <c r="AE67" s="158">
        <f>AE62+Jan!AE67</f>
        <v>0</v>
      </c>
      <c r="AF67" s="158">
        <f>AF62+Jan!AF67</f>
        <v>0</v>
      </c>
      <c r="AG67" s="158">
        <f>AG62+Jan!AG67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Feb!M39+1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45078</v>
      </c>
      <c r="L59" s="203" t="s">
        <v>76</v>
      </c>
      <c r="M59" s="205">
        <f>Admin!B87</f>
        <v>45107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IF(T$59="Y",Feb!H51,0)</f>
        <v>0</v>
      </c>
      <c r="I61" s="89">
        <f>IF(T$59="Y",Feb!I51,0)</f>
        <v>0</v>
      </c>
      <c r="J61" s="89">
        <f>IF(T$59="Y",Feb!J51,0)</f>
        <v>0</v>
      </c>
      <c r="K61" s="89">
        <f>IF(T$59="Y",Feb!K51,I61*J61)</f>
        <v>0</v>
      </c>
      <c r="L61" s="110">
        <f>IF(T$59="Y",Feb!L51,0)</f>
        <v>0</v>
      </c>
      <c r="M61" s="99" t="str">
        <f>IF(E61=" "," ",IF(T$59="Y",Feb!M51,IF((H61+K61+L61)&gt;0,H61+K61+L61,"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IF(Employee!H$35=E$59,Employee!D$34+SUM(M61)+Feb!V51,SUM(M61)+Feb!V51)</f>
        <v>0</v>
      </c>
      <c r="W61" s="49">
        <f>IF(Employee!H$35=E$59,Employee!D$35+SUM(N61)+Feb!W51,SUM(N61)+Feb!W51)</f>
        <v>0</v>
      </c>
      <c r="X61" s="49">
        <f>IF(O61=" ",Feb!X51,O61+Feb!X51)</f>
        <v>0</v>
      </c>
      <c r="Y61" s="49">
        <f>IF(P61=" ",Feb!Y51,P61+Feb!Y51)</f>
        <v>0</v>
      </c>
      <c r="Z61" s="49">
        <f>IF(Q61=" ",Feb!Z51,Q61+Feb!Z51)</f>
        <v>0</v>
      </c>
      <c r="AA61" s="49">
        <f>IF(R61=" ",Feb!AA51,R61+Feb!AA51)</f>
        <v>0</v>
      </c>
      <c r="AC61" s="49">
        <f>IF(T61=" ",Feb!AC51,T61+Feb!AC51)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IF(T$59="Y",Feb!H52,0)</f>
        <v>0</v>
      </c>
      <c r="I62" s="92">
        <f>IF(T$59="Y",Feb!I52,0)</f>
        <v>0</v>
      </c>
      <c r="J62" s="92">
        <f>IF(T$59="Y",Feb!J52,0)</f>
        <v>0</v>
      </c>
      <c r="K62" s="92">
        <f>IF(T$59="Y",Feb!K52,I62*J62)</f>
        <v>0</v>
      </c>
      <c r="L62" s="111">
        <f>IF(T$59="Y",Feb!L52,0)</f>
        <v>0</v>
      </c>
      <c r="M62" s="100" t="str">
        <f>IF(E62=" "," ",IF(T$59="Y",Feb!M52,IF((H62+K62+L62)&gt;0,H62+K62+L62,"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IF(Employee!H$61=E$59,Employee!D$60+SUM(M62)+Feb!V52,SUM(M62)+Feb!V52)</f>
        <v>0</v>
      </c>
      <c r="W62" s="49">
        <f>IF(Employee!H$61=E$59,Employee!D$61+SUM(N62)+Feb!W52,SUM(N62)+Feb!W52)</f>
        <v>0</v>
      </c>
      <c r="X62" s="49">
        <f>IF(O62=" ",Feb!X52,O62+Feb!X52)</f>
        <v>0</v>
      </c>
      <c r="Y62" s="49">
        <f>IF(P62=" ",Feb!Y52,P62+Feb!Y52)</f>
        <v>0</v>
      </c>
      <c r="Z62" s="49">
        <f>IF(Q62=" ",Feb!Z52,Q62+Feb!Z52)</f>
        <v>0</v>
      </c>
      <c r="AA62" s="49">
        <f>IF(R62=" ",Feb!AA52,R62+Feb!AA52)</f>
        <v>0</v>
      </c>
      <c r="AC62" s="49">
        <f>IF(T62=" ",Feb!AC52,T62+Feb!AC52)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IF(T$59="Y",Feb!H53,0)</f>
        <v>0</v>
      </c>
      <c r="I63" s="92">
        <f>IF(T$59="Y",Feb!I53,0)</f>
        <v>0</v>
      </c>
      <c r="J63" s="92">
        <f>IF(T$59="Y",Feb!J53,0)</f>
        <v>0</v>
      </c>
      <c r="K63" s="92">
        <f>IF(T$59="Y",Feb!K53,I63*J63)</f>
        <v>0</v>
      </c>
      <c r="L63" s="111">
        <f>IF(T$59="Y",Feb!L53,0)</f>
        <v>0</v>
      </c>
      <c r="M63" s="100" t="str">
        <f>IF(E63=" "," ",IF(T$59="Y",Feb!M53,IF((H63+K63+L63)&gt;0,H63+K63+L63,"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IF(Employee!H$87=E$59,Employee!D$86+SUM(M63)+Feb!V53,SUM(M63)+Feb!V53)</f>
        <v>0</v>
      </c>
      <c r="W63" s="49">
        <f>IF(Employee!H$87=E$59,Employee!D$87+SUM(N63)+Feb!W53,SUM(N63)+Feb!W53)</f>
        <v>0</v>
      </c>
      <c r="X63" s="49">
        <f>IF(O63=" ",Feb!X53,O63+Feb!X53)</f>
        <v>0</v>
      </c>
      <c r="Y63" s="49">
        <f>IF(P63=" ",Feb!Y53,P63+Feb!Y53)</f>
        <v>0</v>
      </c>
      <c r="Z63" s="49">
        <f>IF(Q63=" ",Feb!Z53,Q63+Feb!Z53)</f>
        <v>0</v>
      </c>
      <c r="AA63" s="49">
        <f>IF(R63=" ",Feb!AA53,R63+Feb!AA53)</f>
        <v>0</v>
      </c>
      <c r="AC63" s="49">
        <f>IF(T63=" ",Feb!AC53,T63+Feb!AC53)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IF(T$59="Y",Feb!H54,0)</f>
        <v>0</v>
      </c>
      <c r="I64" s="92">
        <f>IF(T$59="Y",Feb!I54,0)</f>
        <v>0</v>
      </c>
      <c r="J64" s="92">
        <f>IF(T$59="Y",Feb!J54,0)</f>
        <v>0</v>
      </c>
      <c r="K64" s="92">
        <f>IF(T$59="Y",Feb!K54,I64*J64)</f>
        <v>0</v>
      </c>
      <c r="L64" s="111">
        <f>IF(T$59="Y",Feb!L54,0)</f>
        <v>0</v>
      </c>
      <c r="M64" s="100" t="str">
        <f>IF(E64=" "," ",IF(T$59="Y",Feb!M54,IF((H64+K64+L64)&gt;0,H64+K64+L64,"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IF(Employee!H$113=E$59,Employee!D$112+SUM(M64)+Feb!V54,SUM(M64)+Feb!V54)</f>
        <v>0</v>
      </c>
      <c r="W64" s="49">
        <f>IF(Employee!H$113=E$59,Employee!D$113+SUM(N64)+Feb!W54,SUM(N64)+Feb!W54)</f>
        <v>0</v>
      </c>
      <c r="X64" s="49">
        <f>IF(O64=" ",Feb!X54,O64+Feb!X54)</f>
        <v>0</v>
      </c>
      <c r="Y64" s="49">
        <f>IF(P64=" ",Feb!Y54,P64+Feb!Y54)</f>
        <v>0</v>
      </c>
      <c r="Z64" s="49">
        <f>IF(Q64=" ",Feb!Z54,Q64+Feb!Z54)</f>
        <v>0</v>
      </c>
      <c r="AA64" s="49">
        <f>IF(R64=" ",Feb!AA54,R64+Feb!AA54)</f>
        <v>0</v>
      </c>
      <c r="AC64" s="49">
        <f>IF(T64=" ",Feb!AC54,T64+Feb!AC54)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IF(T$59="Y",Feb!H55,0)</f>
        <v>0</v>
      </c>
      <c r="I65" s="245">
        <f>IF(T$59="Y",Feb!I55,0)</f>
        <v>0</v>
      </c>
      <c r="J65" s="245">
        <f>IF(T$59="Y",Feb!J55,0)</f>
        <v>0</v>
      </c>
      <c r="K65" s="245">
        <f>IF(T$59="Y",Feb!K55,I65*J65)</f>
        <v>0</v>
      </c>
      <c r="L65" s="246">
        <f>IF(T$59="Y",Feb!L55,0)</f>
        <v>0</v>
      </c>
      <c r="M65" s="100" t="str">
        <f>IF(E65=" "," ",IF(T$59="Y",Feb!M55,IF((H65+K65+L65)&gt;0,H65+K65+L65,"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IF(Employee!H$139=E$59,Employee!D$138+SUM(M65)+Feb!V55,SUM(M65)+Feb!V55)</f>
        <v>0</v>
      </c>
      <c r="W65" s="49">
        <f>IF(Employee!H$139=E$59,Employee!D$139+SUM(N65)+Feb!W55,SUM(N65)+Feb!W55)</f>
        <v>0</v>
      </c>
      <c r="X65" s="49">
        <f>IF(O65=" ",Feb!X55,O65+Feb!X55)</f>
        <v>0</v>
      </c>
      <c r="Y65" s="49">
        <f>IF(P65=" ",Feb!Y55,P65+Feb!Y55)</f>
        <v>0</v>
      </c>
      <c r="Z65" s="49">
        <f>IF(Q65=" ",Feb!Z55,Q65+Feb!Z55)</f>
        <v>0</v>
      </c>
      <c r="AA65" s="49">
        <f>IF(R65=" ",Feb!AA55,R65+Feb!AA55)</f>
        <v>0</v>
      </c>
      <c r="AC65" s="49">
        <f>IF(T65=" ",Feb!AC55,T65+Feb!AC55)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AD70+Feb!AD65</f>
        <v>0</v>
      </c>
      <c r="AE75" s="158">
        <f>AE70+Feb!AE65</f>
        <v>0</v>
      </c>
      <c r="AF75" s="158">
        <f>AF70+Feb!AF65</f>
        <v>0</v>
      </c>
      <c r="AG75" s="158">
        <f>AG70+Feb!AG65</f>
        <v>0</v>
      </c>
    </row>
    <row r="76" spans="1:34" ht="14" thickTop="1" x14ac:dyDescent="0.15"/>
    <row r="77" spans="1:34" x14ac:dyDescent="0.15">
      <c r="AD77" s="162"/>
      <c r="AE77" s="158">
        <f>AE72+Feb!AE67</f>
        <v>0</v>
      </c>
      <c r="AF77" s="158">
        <f>AF72+Feb!AF67</f>
        <v>0</v>
      </c>
      <c r="AG77" s="158">
        <f>AG72+Feb!AG67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45111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89">
        <f>IF(T$9="Y",Mar!L41,0)</f>
        <v>0</v>
      </c>
      <c r="M11" s="99" t="str">
        <f>IF(E11=" "," ",IF(T$9="Y",Mar!M41,IF((H11+K11+L11)&gt;0,H11+K11+L11,"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IF(Employee!H$34=E$9,Employee!D$34+SUM(M11)+Mar!V51,SUM(M11)+Mar!V51)</f>
        <v>0</v>
      </c>
      <c r="W11" s="49">
        <f>IF(Employee!H$34=E$9,Employee!D$35+SUM(N11)+Mar!W51,SUM(N11)+Mar!W51)</f>
        <v>0</v>
      </c>
      <c r="X11" s="49">
        <f>IF(O11=" ",Mar!X51,O11+Mar!X51)</f>
        <v>0</v>
      </c>
      <c r="Y11" s="49">
        <f>IF(P11=" ",Mar!Y51,P11+Mar!Y51)</f>
        <v>0</v>
      </c>
      <c r="Z11" s="49">
        <f>IF(Q11=" ",Mar!Z51,Q11+Mar!Z51)</f>
        <v>0</v>
      </c>
      <c r="AA11" s="49">
        <f>IF(R11=" ",Mar!AA51,R11+Mar!AA51)</f>
        <v>0</v>
      </c>
      <c r="AC11" s="49">
        <f>IF(T11=" ",Mar!AC51,T11+Mar!AC51)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92">
        <f>IF(T$9="Y",Mar!L42,0)</f>
        <v>0</v>
      </c>
      <c r="M12" s="100" t="str">
        <f>IF(E12=" "," ",IF(T$9="Y",Mar!M42,IF((H12+K12+L12)&gt;0,H12+K12+L12,"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IF(Employee!H$60=E$9,Employee!D$60+SUM(M12)+Mar!V52,SUM(M12)+Mar!V52)</f>
        <v>0</v>
      </c>
      <c r="W12" s="49">
        <f>IF(Employee!H$60=E$9,Employee!D$61+SUM(N12)+Mar!W52,SUM(N12)+Mar!W52)</f>
        <v>0</v>
      </c>
      <c r="X12" s="49">
        <f>IF(O12=" ",Mar!X52,O12+Mar!X52)</f>
        <v>0</v>
      </c>
      <c r="Y12" s="49">
        <f>IF(P12=" ",Mar!Y52,P12+Mar!Y52)</f>
        <v>0</v>
      </c>
      <c r="Z12" s="49">
        <f>IF(Q12=" ",Mar!Z52,Q12+Mar!Z52)</f>
        <v>0</v>
      </c>
      <c r="AA12" s="49">
        <f>IF(R12=" ",Mar!AA52,R12+Mar!AA52)</f>
        <v>0</v>
      </c>
      <c r="AC12" s="49">
        <f>IF(T12=" ",Mar!AC52,T12+Mar!AC52)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92">
        <f>IF(T$9="Y",Mar!L43,0)</f>
        <v>0</v>
      </c>
      <c r="M13" s="100" t="str">
        <f>IF(E13=" "," ",IF(T$9="Y",Mar!M43,IF((H13+K13+L13)&gt;0,H13+K13+L13,"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IF(Employee!H$86=E$9,Employee!D$86+SUM(M13)+Mar!V53,SUM(M13)+Mar!V53)</f>
        <v>0</v>
      </c>
      <c r="W13" s="49">
        <f>IF(Employee!H$86=E$9,Employee!D$87+SUM(N13)+Mar!W53,SUM(N13)+Mar!W53)</f>
        <v>0</v>
      </c>
      <c r="X13" s="49">
        <f>IF(O13=" ",Mar!X53,O13+Mar!X53)</f>
        <v>0</v>
      </c>
      <c r="Y13" s="49">
        <f>IF(P13=" ",Mar!Y53,P13+Mar!Y53)</f>
        <v>0</v>
      </c>
      <c r="Z13" s="49">
        <f>IF(Q13=" ",Mar!Z53,Q13+Mar!Z53)</f>
        <v>0</v>
      </c>
      <c r="AA13" s="49">
        <f>IF(R13=" ",Mar!AA53,R13+Mar!AA53)</f>
        <v>0</v>
      </c>
      <c r="AC13" s="49">
        <f>IF(T13=" ",Mar!AC53,T13+Mar!AC53)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92">
        <f>IF(T$9="Y",Mar!L44,0)</f>
        <v>0</v>
      </c>
      <c r="M14" s="100" t="str">
        <f>IF(E14=" "," ",IF(T$9="Y",Mar!M44,IF((H14+K14+L14)&gt;0,H14+K14+L14,"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IF(Employee!H$112=E$9,Employee!D$112+SUM(M14)+Mar!V54,SUM(M14)+Mar!V54)</f>
        <v>0</v>
      </c>
      <c r="W14" s="49">
        <f>IF(Employee!H$112=E$9,Employee!D$113+SUM(N14)+Mar!W54,SUM(N14)+Mar!W54)</f>
        <v>0</v>
      </c>
      <c r="X14" s="49">
        <f>IF(O14=" ",Mar!X54,O14+Mar!X54)</f>
        <v>0</v>
      </c>
      <c r="Y14" s="49">
        <f>IF(P14=" ",Mar!Y54,P14+Mar!Y54)</f>
        <v>0</v>
      </c>
      <c r="Z14" s="49">
        <f>IF(Q14=" ",Mar!Z54,Q14+Mar!Z54)</f>
        <v>0</v>
      </c>
      <c r="AA14" s="49">
        <f>IF(R14=" ",Mar!AA54,R14+Mar!AA54)</f>
        <v>0</v>
      </c>
      <c r="AC14" s="49">
        <f>IF(T14=" ",Mar!AC54,T14+Mar!AC54)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5">
        <f>IF(T$9="Y",Mar!L45,0)</f>
        <v>0</v>
      </c>
      <c r="M15" s="247" t="str">
        <f>IF(E15=" "," ",IF(T$9="Y",Mar!M45,IF((H15+K15+L15)&gt;0,H15+K15+L15,"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IF(Employee!H$138=E$9,Employee!D$138+SUM(M15)+Mar!V55,SUM(M15)+Mar!V55)</f>
        <v>0</v>
      </c>
      <c r="W15" s="49">
        <f>IF(Employee!H$138=E$9,Employee!D$139+SUM(N15)+Mar!W55,SUM(N15)+Mar!W55)</f>
        <v>0</v>
      </c>
      <c r="X15" s="49">
        <f>IF(O15=" ",Mar!X55,O15+Mar!X55)</f>
        <v>0</v>
      </c>
      <c r="Y15" s="49">
        <f>IF(P15=" ",Mar!Y55,P15+Mar!Y55)</f>
        <v>0</v>
      </c>
      <c r="Z15" s="49">
        <f>IF(Q15=" ",Mar!Z55,Q15+Mar!Z55)</f>
        <v>0</v>
      </c>
      <c r="AA15" s="49">
        <f>IF(R15=" ",Mar!AA55,R15+Mar!AA55)</f>
        <v>0</v>
      </c>
      <c r="AC15" s="49">
        <f>IF(T15=" ",Mar!AC55,T15+Mar!AC55)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45108</v>
      </c>
      <c r="L49" s="203" t="s">
        <v>76</v>
      </c>
      <c r="M49" s="205">
        <f>Admin!B118</f>
        <v>45138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IF(T$49="Y",Mar!H61,0)</f>
        <v>0</v>
      </c>
      <c r="I51" s="89">
        <f>IF(T$49="Y",Mar!I61,0)</f>
        <v>0</v>
      </c>
      <c r="J51" s="89">
        <f>IF(T$49="Y",Mar!J61,0)</f>
        <v>0</v>
      </c>
      <c r="K51" s="89">
        <f>IF(T$49="Y",Mar!K61,I51*J51)</f>
        <v>0</v>
      </c>
      <c r="L51" s="110">
        <f>IF(T$49="Y",Mar!L61,0)</f>
        <v>0</v>
      </c>
      <c r="M51" s="99" t="str">
        <f>IF(E51=" "," ",IF(T$49="Y",Mar!M61,IF((H51+K51+L51)&gt;0,H51+K51+L51,"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IF(Employee!H$35=E$49,Employee!D$34+SUM(M51)+Mar!V61,SUM(M51)+Mar!V61)</f>
        <v>0</v>
      </c>
      <c r="W51" s="49">
        <f>IF(Employee!H$35=E$49,Employee!D$35+SUM(N51)+Mar!W61,SUM(N51)+Mar!W61)</f>
        <v>0</v>
      </c>
      <c r="X51" s="49">
        <f>IF(O51=" ",Mar!X61,O51+Mar!X61)</f>
        <v>0</v>
      </c>
      <c r="Y51" s="49">
        <f>IF(P51=" ",Mar!Y61,P51+Mar!Y61)</f>
        <v>0</v>
      </c>
      <c r="Z51" s="49">
        <f>IF(Q51=" ",Mar!Z61,Q51+Mar!Z61)</f>
        <v>0</v>
      </c>
      <c r="AA51" s="49">
        <f>IF(R51=" ",Mar!AA61,R51+Mar!AA61)</f>
        <v>0</v>
      </c>
      <c r="AC51" s="49">
        <f>IF(T51=" ",Mar!AC61,T51+Mar!AC61)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IF(T$49="Y",Mar!H62,0)</f>
        <v>0</v>
      </c>
      <c r="I52" s="92">
        <f>IF(T$49="Y",Mar!I62,0)</f>
        <v>0</v>
      </c>
      <c r="J52" s="92">
        <f>IF(T$49="Y",Mar!J62,0)</f>
        <v>0</v>
      </c>
      <c r="K52" s="92">
        <f>IF(T$49="Y",Mar!K62,I52*J52)</f>
        <v>0</v>
      </c>
      <c r="L52" s="111">
        <f>IF(T$49="Y",Mar!L62,0)</f>
        <v>0</v>
      </c>
      <c r="M52" s="100" t="str">
        <f>IF(E52=" "," ",IF(T$49="Y",Mar!M62,IF((H52+K52+L52)&gt;0,H52+K52+L52,"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IF(Employee!H$61=E$49,Employee!D$60+SUM(M52)+Mar!V62,SUM(M52)+Mar!V62)</f>
        <v>0</v>
      </c>
      <c r="W52" s="49">
        <f>IF(Employee!H$61=E$49,Employee!D$61+SUM(N52)+Mar!W62,SUM(N52)+Mar!W62)</f>
        <v>0</v>
      </c>
      <c r="X52" s="49">
        <f>IF(O52=" ",Mar!X62,O52+Mar!X62)</f>
        <v>0</v>
      </c>
      <c r="Y52" s="49">
        <f>IF(P52=" ",Mar!Y62,P52+Mar!Y62)</f>
        <v>0</v>
      </c>
      <c r="Z52" s="49">
        <f>IF(Q52=" ",Mar!Z62,Q52+Mar!Z62)</f>
        <v>0</v>
      </c>
      <c r="AA52" s="49">
        <f>IF(R52=" ",Mar!AA62,R52+Mar!AA62)</f>
        <v>0</v>
      </c>
      <c r="AC52" s="49">
        <f>IF(T52=" ",Mar!AC62,T52+Mar!AC62)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IF(T$49="Y",Mar!H63,0)</f>
        <v>0</v>
      </c>
      <c r="I53" s="92">
        <f>IF(T$49="Y",Mar!I63,0)</f>
        <v>0</v>
      </c>
      <c r="J53" s="92">
        <f>IF(T$49="Y",Mar!J63,0)</f>
        <v>0</v>
      </c>
      <c r="K53" s="92">
        <f>IF(T$49="Y",Mar!K63,I53*J53)</f>
        <v>0</v>
      </c>
      <c r="L53" s="111">
        <f>IF(T$49="Y",Mar!L63,0)</f>
        <v>0</v>
      </c>
      <c r="M53" s="100" t="str">
        <f>IF(E53=" "," ",IF(T$49="Y",Mar!M63,IF((H53+K53+L53)&gt;0,H53+K53+L53,"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IF(Employee!H$87=E$49,Employee!D$86+SUM(M53)+Mar!V63,SUM(M53)+Mar!V63)</f>
        <v>0</v>
      </c>
      <c r="W53" s="49">
        <f>IF(Employee!H$87=E$49,Employee!D$87+SUM(N53)+Mar!W63,SUM(N53)+Mar!W63)</f>
        <v>0</v>
      </c>
      <c r="X53" s="49">
        <f>IF(O53=" ",Mar!X63,O53+Mar!X63)</f>
        <v>0</v>
      </c>
      <c r="Y53" s="49">
        <f>IF(P53=" ",Mar!Y63,P53+Mar!Y63)</f>
        <v>0</v>
      </c>
      <c r="Z53" s="49">
        <f>IF(Q53=" ",Mar!Z63,Q53+Mar!Z63)</f>
        <v>0</v>
      </c>
      <c r="AA53" s="49">
        <f>IF(R53=" ",Mar!AA63,R53+Mar!AA63)</f>
        <v>0</v>
      </c>
      <c r="AC53" s="49">
        <f>IF(T53=" ",Mar!AC63,T53+Mar!AC63)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IF(T$49="Y",Mar!H64,0)</f>
        <v>0</v>
      </c>
      <c r="I54" s="92">
        <f>IF(T$49="Y",Mar!I64,0)</f>
        <v>0</v>
      </c>
      <c r="J54" s="92">
        <f>IF(T$49="Y",Mar!J64,0)</f>
        <v>0</v>
      </c>
      <c r="K54" s="92">
        <f>IF(T$49="Y",Mar!K64,I54*J54)</f>
        <v>0</v>
      </c>
      <c r="L54" s="111">
        <f>IF(T$49="Y",Mar!L64,0)</f>
        <v>0</v>
      </c>
      <c r="M54" s="100" t="str">
        <f>IF(E54=" "," ",IF(T$49="Y",Mar!M64,IF((H54+K54+L54)&gt;0,H54+K54+L54,"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IF(Employee!H$113=E$49,Employee!D$112+SUM(M54)+Mar!V64,SUM(M54)+Mar!V64)</f>
        <v>0</v>
      </c>
      <c r="W54" s="49">
        <f>IF(Employee!H$113=E$49,Employee!D$113+SUM(N54)+Mar!W64,SUM(N54)+Mar!W64)</f>
        <v>0</v>
      </c>
      <c r="X54" s="49">
        <f>IF(O54=" ",Mar!X64,O54+Mar!X64)</f>
        <v>0</v>
      </c>
      <c r="Y54" s="49">
        <f>IF(P54=" ",Mar!Y64,P54+Mar!Y64)</f>
        <v>0</v>
      </c>
      <c r="Z54" s="49">
        <f>IF(Q54=" ",Mar!Z64,Q54+Mar!Z64)</f>
        <v>0</v>
      </c>
      <c r="AA54" s="49">
        <f>IF(R54=" ",Mar!AA64,R54+Mar!AA64)</f>
        <v>0</v>
      </c>
      <c r="AC54" s="49">
        <f>IF(T54=" ",Mar!AC64,T54+Mar!AC64)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IF(T$49="Y",Mar!H65,0)</f>
        <v>0</v>
      </c>
      <c r="I55" s="245">
        <f>IF(T$49="Y",Mar!I65,0)</f>
        <v>0</v>
      </c>
      <c r="J55" s="245">
        <f>IF(T$49="Y",Mar!J65,0)</f>
        <v>0</v>
      </c>
      <c r="K55" s="245">
        <f>IF(T$49="Y",Mar!K65,I55*J55)</f>
        <v>0</v>
      </c>
      <c r="L55" s="246">
        <f>IF(T$49="Y",Mar!L65,0)</f>
        <v>0</v>
      </c>
      <c r="M55" s="100" t="str">
        <f>IF(E55=" "," ",IF(T$49="Y",Mar!M65,IF((H55+K55+L55)&gt;0,H55+K55+L55,"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IF(Employee!H$139=E$49,Employee!D$138+SUM(M55)+Mar!V65,SUM(M55)+Mar!V65)</f>
        <v>0</v>
      </c>
      <c r="W55" s="49">
        <f>IF(Employee!H$139=E$49,Employee!D$139+SUM(N55)+Mar!W65,SUM(N55)+Mar!W65)</f>
        <v>0</v>
      </c>
      <c r="X55" s="49">
        <f>IF(O55=" ",Mar!X65,O55+Mar!X65)</f>
        <v>0</v>
      </c>
      <c r="Y55" s="49">
        <f>IF(P55=" ",Mar!Y65,P55+Mar!Y65)</f>
        <v>0</v>
      </c>
      <c r="Z55" s="49">
        <f>IF(Q55=" ",Mar!Z65,Q55+Mar!Z65)</f>
        <v>0</v>
      </c>
      <c r="AA55" s="49">
        <f>IF(R55=" ",Mar!AA65,R55+Mar!AA65)</f>
        <v>0</v>
      </c>
      <c r="AC55" s="49">
        <f>IF(T55=" ",Mar!AC65,T55+Mar!AC65)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AD60+Mar!AD75</f>
        <v>0</v>
      </c>
      <c r="AE65" s="158">
        <f>AE60+Mar!AE75</f>
        <v>0</v>
      </c>
      <c r="AF65" s="158">
        <f>AF60+Mar!AF75</f>
        <v>0</v>
      </c>
      <c r="AG65" s="158">
        <f>AG60+Mar!AG75</f>
        <v>0</v>
      </c>
    </row>
    <row r="66" spans="6:33" ht="14" thickTop="1" x14ac:dyDescent="0.15"/>
    <row r="67" spans="6:33" x14ac:dyDescent="0.15">
      <c r="AD67" s="162"/>
      <c r="AE67" s="158">
        <f>AE62+Mar!AE77</f>
        <v>0</v>
      </c>
      <c r="AF67" s="158">
        <f>AF62+Mar!AF77</f>
        <v>0</v>
      </c>
      <c r="AG67" s="158">
        <f>AG62+Mar!AG77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45139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IF(T$9="Y",Apr!H41,0)</f>
        <v>0</v>
      </c>
      <c r="I12" s="92">
        <f>IF(T$9="Y",Apr!I41,0)</f>
        <v>0</v>
      </c>
      <c r="J12" s="92">
        <f>IF(T$9="Y",Apr!J41,0)</f>
        <v>0</v>
      </c>
      <c r="K12" s="92">
        <f>IF(T$9="Y",Apr!K41,I12*J12)</f>
        <v>0</v>
      </c>
      <c r="L12" s="111">
        <f>IF(T$9="Y",Apr!L41,0)</f>
        <v>0</v>
      </c>
      <c r="M12" s="111" t="str">
        <f>IF(E12=" "," ",IF(T$9="Y",Apr!M41,IF((H12+K12+L12)&gt;0,H12+K12+L12,"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IF(T$9="Y",Apr!H41,0)</f>
        <v>0</v>
      </c>
      <c r="I13" s="92">
        <f>IF(T$9="Y",Apr!I41,0)</f>
        <v>0</v>
      </c>
      <c r="J13" s="92">
        <f>IF(T$9="Y",Apr!J41,0)</f>
        <v>0</v>
      </c>
      <c r="K13" s="92">
        <f>IF(T$9="Y",Apr!K41,I13*J13)</f>
        <v>0</v>
      </c>
      <c r="L13" s="111">
        <f>IF(T$9="Y",Apr!L41,0)</f>
        <v>0</v>
      </c>
      <c r="M13" s="111" t="str">
        <f>IF(E13=" "," ",IF(T$9="Y",Apr!M41,IF((H13+K13+L13)&gt;0,H13+K13+L13,"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IF(T$9="Y",Apr!H41,0)</f>
        <v>0</v>
      </c>
      <c r="I14" s="92">
        <f>IF(T$9="Y",Apr!I41,0)</f>
        <v>0</v>
      </c>
      <c r="J14" s="92">
        <f>IF(T$9="Y",Apr!J41,0)</f>
        <v>0</v>
      </c>
      <c r="K14" s="92">
        <f>IF(T$9="Y",Apr!K41,I14*J14)</f>
        <v>0</v>
      </c>
      <c r="L14" s="111">
        <f>IF(T$9="Y",Apr!L41,0)</f>
        <v>0</v>
      </c>
      <c r="M14" s="111" t="str">
        <f>IF(E14=" "," ",IF(T$9="Y",Apr!M41,IF((H14+K14+L14)&gt;0,H14+K14+L14,"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IF(T$9="Y",Apr!H41,0)</f>
        <v>0</v>
      </c>
      <c r="I15" s="245">
        <f>IF(T$9="Y",Apr!I41,0)</f>
        <v>0</v>
      </c>
      <c r="J15" s="245">
        <f>IF(T$9="Y",Apr!J41,0)</f>
        <v>0</v>
      </c>
      <c r="K15" s="245">
        <f>IF(T$9="Y",Apr!K41,I15*J15)</f>
        <v>0</v>
      </c>
      <c r="L15" s="246">
        <f>IF(T$9="Y",Apr!L41,0)</f>
        <v>0</v>
      </c>
      <c r="M15" s="246" t="str">
        <f>IF(E15=" "," ",IF(T$9="Y",Apr!M41,IF((H15+K15+L15)&gt;0,H15+K15+L15,"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45139</v>
      </c>
      <c r="L49" s="203" t="s">
        <v>76</v>
      </c>
      <c r="M49" s="205">
        <f>Admin!B149</f>
        <v>45169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IF(T$49="Y",Apr!H51,0)</f>
        <v>0</v>
      </c>
      <c r="I51" s="89">
        <f>IF(T$49="Y",Apr!I51,0)</f>
        <v>0</v>
      </c>
      <c r="J51" s="89">
        <f>IF(T$49="Y",Apr!J51,0)</f>
        <v>0</v>
      </c>
      <c r="K51" s="89">
        <f>IF(T$49="Y",Apr!K51,I51*J51)</f>
        <v>0</v>
      </c>
      <c r="L51" s="89">
        <f>IF(T$49="Y",Apr!L51,0)</f>
        <v>0</v>
      </c>
      <c r="M51" s="99" t="str">
        <f>IF(E51=" "," ",IF(T$49="Y",Apr!M51,IF((H51+K51+L51)&gt;0,H51+K51+L51,"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IF(Employee!H$35=E$49,Employee!D$34+SUM(M51)+Apr!V51,SUM(M51)+Apr!V51)</f>
        <v>0</v>
      </c>
      <c r="W51" s="49">
        <f>IF(Employee!H$35=E$49,Employee!D$35+SUM(N51)+Apr!W51,SUM(N51)+Apr!W51)</f>
        <v>0</v>
      </c>
      <c r="X51" s="49">
        <f>IF(O51=" ",Apr!X51,O51+Apr!X51)</f>
        <v>0</v>
      </c>
      <c r="Y51" s="49">
        <f>IF(P51=" ",Apr!Y51,P51+Apr!Y51)</f>
        <v>0</v>
      </c>
      <c r="Z51" s="49">
        <f>IF(Q51=" ",Apr!Z51,Q51+Apr!Z51)</f>
        <v>0</v>
      </c>
      <c r="AA51" s="49">
        <f>IF(R51=" ",Apr!AA51,R51+Apr!AA51)</f>
        <v>0</v>
      </c>
      <c r="AC51" s="49">
        <f>IF(T51=" ",Apr!AC51,T51+Apr!AC51)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IF(T$49="Y",Apr!H52,0)</f>
        <v>0</v>
      </c>
      <c r="I52" s="92">
        <f>IF(T$49="Y",Apr!I52,0)</f>
        <v>0</v>
      </c>
      <c r="J52" s="92">
        <f>IF(T$49="Y",Apr!J52,0)</f>
        <v>0</v>
      </c>
      <c r="K52" s="92">
        <f>IF(T$49="Y",Apr!K52,I52*J52)</f>
        <v>0</v>
      </c>
      <c r="L52" s="92">
        <f>IF(T$49="Y",Apr!L52,0)</f>
        <v>0</v>
      </c>
      <c r="M52" s="100" t="str">
        <f>IF(E52=" "," ",IF(T$49="Y",Apr!M52,IF((H52+K52+L52)&gt;0,H52+K52+L52,"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IF(Employee!H$61=E$49,Employee!D$60+SUM(M52)+Apr!V52,SUM(M52)+Apr!V52)</f>
        <v>0</v>
      </c>
      <c r="W52" s="49">
        <f>IF(Employee!H$61=E$49,Employee!D$61+SUM(N52)+Apr!W52,SUM(N52)+Apr!W52)</f>
        <v>0</v>
      </c>
      <c r="X52" s="49">
        <f>IF(O52=" ",Apr!X52,O52+Apr!X52)</f>
        <v>0</v>
      </c>
      <c r="Y52" s="49">
        <f>IF(P52=" ",Apr!Y52,P52+Apr!Y52)</f>
        <v>0</v>
      </c>
      <c r="Z52" s="49">
        <f>IF(Q52=" ",Apr!Z52,Q52+Apr!Z52)</f>
        <v>0</v>
      </c>
      <c r="AA52" s="49">
        <f>IF(R52=" ",Apr!AA52,R52+Apr!AA52)</f>
        <v>0</v>
      </c>
      <c r="AC52" s="49">
        <f>IF(T52=" ",Apr!AC52,T52+Apr!AC52)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IF(T$49="Y",Apr!H53,0)</f>
        <v>0</v>
      </c>
      <c r="I53" s="92">
        <f>IF(T$49="Y",Apr!I53,0)</f>
        <v>0</v>
      </c>
      <c r="J53" s="92">
        <f>IF(T$49="Y",Apr!J53,0)</f>
        <v>0</v>
      </c>
      <c r="K53" s="92">
        <f>IF(T$49="Y",Apr!K53,I53*J53)</f>
        <v>0</v>
      </c>
      <c r="L53" s="92">
        <f>IF(T$49="Y",Apr!L53,0)</f>
        <v>0</v>
      </c>
      <c r="M53" s="100" t="str">
        <f>IF(E53=" "," ",IF(T$49="Y",Apr!M53,IF((H53+K53+L53)&gt;0,H53+K53+L53,"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IF(Employee!H$87=E$49,Employee!D$86+SUM(M53)+Apr!V53,SUM(M53)+Apr!V53)</f>
        <v>0</v>
      </c>
      <c r="W53" s="49">
        <f>IF(Employee!H$87=E$49,Employee!D$87+SUM(N53)+Apr!W53,SUM(N53)+Apr!W53)</f>
        <v>0</v>
      </c>
      <c r="X53" s="49">
        <f>IF(O53=" ",Apr!X53,O53+Apr!X53)</f>
        <v>0</v>
      </c>
      <c r="Y53" s="49">
        <f>IF(P53=" ",Apr!Y53,P53+Apr!Y53)</f>
        <v>0</v>
      </c>
      <c r="Z53" s="49">
        <f>IF(Q53=" ",Apr!Z53,Q53+Apr!Z53)</f>
        <v>0</v>
      </c>
      <c r="AA53" s="49">
        <f>IF(R53=" ",Apr!AA53,R53+Apr!AA53)</f>
        <v>0</v>
      </c>
      <c r="AC53" s="49">
        <f>IF(T53=" ",Apr!AC53,T53+Apr!AC53)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IF(T$49="Y",Apr!H54,0)</f>
        <v>0</v>
      </c>
      <c r="I54" s="92">
        <f>IF(T$49="Y",Apr!I54,0)</f>
        <v>0</v>
      </c>
      <c r="J54" s="92">
        <f>IF(T$49="Y",Apr!J54,0)</f>
        <v>0</v>
      </c>
      <c r="K54" s="92">
        <f>IF(T$49="Y",Apr!K54,I54*J54)</f>
        <v>0</v>
      </c>
      <c r="L54" s="92">
        <f>IF(T$49="Y",Apr!L54,0)</f>
        <v>0</v>
      </c>
      <c r="M54" s="100" t="str">
        <f>IF(E54=" "," ",IF(T$49="Y",Apr!M54,IF((H54+K54+L54)&gt;0,H54+K54+L54,"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IF(Employee!H$113=E$49,Employee!D$112+SUM(M54)+Apr!V54,SUM(M54)+Apr!V54)</f>
        <v>0</v>
      </c>
      <c r="W54" s="49">
        <f>IF(Employee!H$113=E$49,Employee!D$113+SUM(N54)+Apr!W54,SUM(N54)+Apr!W54)</f>
        <v>0</v>
      </c>
      <c r="X54" s="49">
        <f>IF(O54=" ",Apr!X54,O54+Apr!X54)</f>
        <v>0</v>
      </c>
      <c r="Y54" s="49">
        <f>IF(P54=" ",Apr!Y54,P54+Apr!Y54)</f>
        <v>0</v>
      </c>
      <c r="Z54" s="49">
        <f>IF(Q54=" ",Apr!Z54,Q54+Apr!Z54)</f>
        <v>0</v>
      </c>
      <c r="AA54" s="49">
        <f>IF(R54=" ",Apr!AA54,R54+Apr!AA54)</f>
        <v>0</v>
      </c>
      <c r="AC54" s="49">
        <f>IF(T54=" ",Apr!AC54,T54+Apr!AC54)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IF(T$49="Y",Apr!H55,0)</f>
        <v>0</v>
      </c>
      <c r="I55" s="92">
        <f>IF(T$49="Y",Apr!I55,0)</f>
        <v>0</v>
      </c>
      <c r="J55" s="92">
        <f>IF(T$49="Y",Apr!J55,0)</f>
        <v>0</v>
      </c>
      <c r="K55" s="92">
        <f>IF(T$49="Y",Apr!K55,I55*J55)</f>
        <v>0</v>
      </c>
      <c r="L55" s="92">
        <f>IF(T$49="Y",Apr!L55,0)</f>
        <v>0</v>
      </c>
      <c r="M55" s="100" t="str">
        <f>IF(E55=" "," ",IF(T$49="Y",Apr!M55,IF((H55+K55+L55)&gt;0,H55+K55+L55,"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IF(Employee!H$139=E$49,Employee!D$138+SUM(M55)+Apr!V55,SUM(M55)+Apr!V55)</f>
        <v>0</v>
      </c>
      <c r="W55" s="49">
        <f>IF(Employee!H$139=E$49,Employee!D$139+SUM(N55)+Apr!W55,SUM(N55)+Apr!W55)</f>
        <v>0</v>
      </c>
      <c r="X55" s="49">
        <f>IF(O55=" ",Apr!X55,O55+Apr!X55)</f>
        <v>0</v>
      </c>
      <c r="Y55" s="49">
        <f>IF(P55=" ",Apr!Y55,P55+Apr!Y55)</f>
        <v>0</v>
      </c>
      <c r="Z55" s="49">
        <f>IF(Q55=" ",Apr!Z55,Q55+Apr!Z55)</f>
        <v>0</v>
      </c>
      <c r="AA55" s="49">
        <f>IF(R55=" ",Apr!AA55,R55+Apr!AA55)</f>
        <v>0</v>
      </c>
      <c r="AC55" s="49">
        <f>IF(T55=" ",Apr!AC55,T55+Apr!AC55)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AD60+Apr!AD65</f>
        <v>0</v>
      </c>
      <c r="AE65" s="158">
        <f>AE60+Apr!AE65</f>
        <v>0</v>
      </c>
      <c r="AF65" s="158">
        <f>AF60+Apr!AF65</f>
        <v>0</v>
      </c>
      <c r="AG65" s="158">
        <f>AG60+Apr!AG65</f>
        <v>0</v>
      </c>
    </row>
    <row r="66" spans="6:33" ht="14" thickTop="1" x14ac:dyDescent="0.15"/>
    <row r="67" spans="6:33" x14ac:dyDescent="0.15">
      <c r="AD67" s="162"/>
      <c r="AE67" s="158">
        <f>AE62+Apr!AE67</f>
        <v>0</v>
      </c>
      <c r="AF67" s="158">
        <f>AF62+Apr!AF67</f>
        <v>0</v>
      </c>
      <c r="AG67" s="158">
        <f>AG62+Apr!AG67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May!M39+1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45195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45170</v>
      </c>
      <c r="L59" s="203" t="s">
        <v>76</v>
      </c>
      <c r="M59" s="205">
        <f>Admin!B179</f>
        <v>45199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IF(T$59="Y",May!H51,0)</f>
        <v>0</v>
      </c>
      <c r="I61" s="89">
        <f>IF(T$59="Y",May!I51,0)</f>
        <v>0</v>
      </c>
      <c r="J61" s="89">
        <f>IF(T$59="Y",May!J51,0)</f>
        <v>0</v>
      </c>
      <c r="K61" s="89">
        <f>IF(T$59="Y",May!K51,I61*J61)</f>
        <v>0</v>
      </c>
      <c r="L61" s="110">
        <f>IF(T$59="Y",May!L51,0)</f>
        <v>0</v>
      </c>
      <c r="M61" s="99" t="str">
        <f>IF(E61=" "," ",IF(T$59="Y",May!M51,IF((H61+K61+L61)&gt;0,H61+K61+L61,"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IF(Employee!H$35=E$59,Employee!D$34+SUM(M61)+May!V51,SUM(M61)+May!V51)</f>
        <v>0</v>
      </c>
      <c r="W61" s="49">
        <f>IF(Employee!H$35=E$59,Employee!D$35+SUM(N61)+May!W51,SUM(N61)+May!W51)</f>
        <v>0</v>
      </c>
      <c r="X61" s="49">
        <f>IF(O61=" ",May!X51,O61+May!X51)</f>
        <v>0</v>
      </c>
      <c r="Y61" s="49">
        <f>IF(P61=" ",May!Y51,P61+May!Y51)</f>
        <v>0</v>
      </c>
      <c r="Z61" s="49">
        <f>IF(Q61=" ",May!Z51,Q61+May!Z51)</f>
        <v>0</v>
      </c>
      <c r="AA61" s="49">
        <f>IF(R61=" ",May!AA51,R61+May!AA51)</f>
        <v>0</v>
      </c>
      <c r="AC61" s="49">
        <f>IF(T61=" ",May!AC51,T61+May!AC51)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IF(T$59="Y",May!H52,0)</f>
        <v>0</v>
      </c>
      <c r="I62" s="92">
        <f>IF(T$59="Y",May!I52,0)</f>
        <v>0</v>
      </c>
      <c r="J62" s="92">
        <f>IF(T$59="Y",May!J52,0)</f>
        <v>0</v>
      </c>
      <c r="K62" s="92">
        <f>IF(T$59="Y",May!K52,I62*J62)</f>
        <v>0</v>
      </c>
      <c r="L62" s="111">
        <f>IF(T$59="Y",May!L52,0)</f>
        <v>0</v>
      </c>
      <c r="M62" s="100" t="str">
        <f>IF(E62=" "," ",IF(T$59="Y",May!M52,IF((H62+K62+L62)&gt;0,H62+K62+L62,"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IF(Employee!H$61=E$59,Employee!D$60+SUM(M62)+May!V52,SUM(M62)+May!V52)</f>
        <v>0</v>
      </c>
      <c r="W62" s="49">
        <f>IF(Employee!H$61=E$59,Employee!D$61+SUM(N62)+May!W52,SUM(N62)+May!W52)</f>
        <v>0</v>
      </c>
      <c r="X62" s="49">
        <f>IF(O62=" ",May!X52,O62+May!X52)</f>
        <v>0</v>
      </c>
      <c r="Y62" s="49">
        <f>IF(P62=" ",May!Y52,P62+May!Y52)</f>
        <v>0</v>
      </c>
      <c r="Z62" s="49">
        <f>IF(Q62=" ",May!Z52,Q62+May!Z52)</f>
        <v>0</v>
      </c>
      <c r="AA62" s="49">
        <f>IF(R62=" ",May!AA52,R62+May!AA52)</f>
        <v>0</v>
      </c>
      <c r="AC62" s="49">
        <f>IF(T62=" ",May!AC52,T62+May!AC52)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IF(T$59="Y",May!H53,0)</f>
        <v>0</v>
      </c>
      <c r="I63" s="92">
        <f>IF(T$59="Y",May!I53,0)</f>
        <v>0</v>
      </c>
      <c r="J63" s="92">
        <f>IF(T$59="Y",May!J53,0)</f>
        <v>0</v>
      </c>
      <c r="K63" s="92">
        <f>IF(T$59="Y",May!K53,I63*J63)</f>
        <v>0</v>
      </c>
      <c r="L63" s="111">
        <f>IF(T$59="Y",May!L53,0)</f>
        <v>0</v>
      </c>
      <c r="M63" s="100" t="str">
        <f>IF(E63=" "," ",IF(T$59="Y",May!M53,IF((H63+K63+L63)&gt;0,H63+K63+L63,"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IF(Employee!H$87=E$59,Employee!D$86+SUM(M63)+May!V53,SUM(M63)+May!V53)</f>
        <v>0</v>
      </c>
      <c r="W63" s="49">
        <f>IF(Employee!H$87=E$59,Employee!D$87+SUM(N63)+May!W53,SUM(N63)+May!W53)</f>
        <v>0</v>
      </c>
      <c r="X63" s="49">
        <f>IF(O63=" ",May!X53,O63+May!X53)</f>
        <v>0</v>
      </c>
      <c r="Y63" s="49">
        <f>IF(P63=" ",May!Y53,P63+May!Y53)</f>
        <v>0</v>
      </c>
      <c r="Z63" s="49">
        <f>IF(Q63=" ",May!Z53,Q63+May!Z53)</f>
        <v>0</v>
      </c>
      <c r="AA63" s="49">
        <f>IF(R63=" ",May!AA53,R63+May!AA53)</f>
        <v>0</v>
      </c>
      <c r="AC63" s="49">
        <f>IF(T63=" ",May!AC53,T63+May!AC53)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IF(T$59="Y",May!H54,0)</f>
        <v>0</v>
      </c>
      <c r="I64" s="92">
        <f>IF(T$59="Y",May!I54,0)</f>
        <v>0</v>
      </c>
      <c r="J64" s="92">
        <f>IF(T$59="Y",May!J54,0)</f>
        <v>0</v>
      </c>
      <c r="K64" s="92">
        <f>IF(T$59="Y",May!K54,I64*J64)</f>
        <v>0</v>
      </c>
      <c r="L64" s="111">
        <f>IF(T$59="Y",May!L54,0)</f>
        <v>0</v>
      </c>
      <c r="M64" s="100" t="str">
        <f>IF(E64=" "," ",IF(T$59="Y",May!M54,IF((H64+K64+L64)&gt;0,H64+K64+L64,"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IF(Employee!H$113=E$59,Employee!D$112+SUM(M64)+May!V54,SUM(M64)+May!V54)</f>
        <v>0</v>
      </c>
      <c r="W64" s="49">
        <f>IF(Employee!H$113=E$59,Employee!D$113+SUM(N64)+May!W54,SUM(N64)+May!W54)</f>
        <v>0</v>
      </c>
      <c r="X64" s="49">
        <f>IF(O64=" ",May!X54,O64+May!X54)</f>
        <v>0</v>
      </c>
      <c r="Y64" s="49">
        <f>IF(P64=" ",May!Y54,P64+May!Y54)</f>
        <v>0</v>
      </c>
      <c r="Z64" s="49">
        <f>IF(Q64=" ",May!Z54,Q64+May!Z54)</f>
        <v>0</v>
      </c>
      <c r="AA64" s="49">
        <f>IF(R64=" ",May!AA54,R64+May!AA54)</f>
        <v>0</v>
      </c>
      <c r="AC64" s="49">
        <f>IF(T64=" ",May!AC54,T64+May!AC54)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IF(T$59="Y",May!H55,0)</f>
        <v>0</v>
      </c>
      <c r="I65" s="245">
        <f>IF(T$59="Y",May!I55,0)</f>
        <v>0</v>
      </c>
      <c r="J65" s="245">
        <f>IF(T$59="Y",May!J55,0)</f>
        <v>0</v>
      </c>
      <c r="K65" s="245">
        <f>IF(T$59="Y",May!K55,I65*J65)</f>
        <v>0</v>
      </c>
      <c r="L65" s="246">
        <f>IF(T$59="Y",May!L55,0)</f>
        <v>0</v>
      </c>
      <c r="M65" s="100" t="str">
        <f>IF(E65=" "," ",IF(T$59="Y",May!M55,IF((H65+K65+L65)&gt;0,H65+K65+L65,"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IF(Employee!H$139=E$59,Employee!D$138+SUM(M65)+May!V55,SUM(M65)+May!V55)</f>
        <v>0</v>
      </c>
      <c r="W65" s="49">
        <f>IF(Employee!H$139=E$59,Employee!D$139+SUM(N65)+May!W55,SUM(N65)+May!W55)</f>
        <v>0</v>
      </c>
      <c r="X65" s="49">
        <f>IF(O65=" ",May!X55,O65+May!X55)</f>
        <v>0</v>
      </c>
      <c r="Y65" s="49">
        <f>IF(P65=" ",May!Y55,P65+May!Y55)</f>
        <v>0</v>
      </c>
      <c r="Z65" s="49">
        <f>IF(Q65=" ",May!Z55,Q65+May!Z55)</f>
        <v>0</v>
      </c>
      <c r="AA65" s="49">
        <f>IF(R65=" ",May!AA55,R65+May!AA55)</f>
        <v>0</v>
      </c>
      <c r="AC65" s="49">
        <f>IF(T65=" ",May!AC55,T65+May!AC55)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AD70+May!AD65</f>
        <v>0</v>
      </c>
      <c r="AE75" s="158">
        <f>AE70+May!AE65</f>
        <v>0</v>
      </c>
      <c r="AF75" s="158">
        <f>AF70+May!AF65</f>
        <v>0</v>
      </c>
      <c r="AG75" s="158">
        <f>AG70+May!AG65</f>
        <v>0</v>
      </c>
    </row>
    <row r="76" spans="1:34" ht="14" thickTop="1" x14ac:dyDescent="0.15"/>
    <row r="77" spans="1:34" x14ac:dyDescent="0.15">
      <c r="AD77" s="162"/>
      <c r="AE77" s="158">
        <f>AE72+May!AE67</f>
        <v>0</v>
      </c>
      <c r="AF77" s="158">
        <f>AF72+May!AF67</f>
        <v>0</v>
      </c>
      <c r="AG77" s="158">
        <f>AG72+May!AG67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45202</v>
      </c>
      <c r="L9" s="203" t="s">
        <v>76</v>
      </c>
      <c r="M9" s="205">
        <f>Admin!B188</f>
        <v>45208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IF(T$9="Y",Jun!H51,0)</f>
        <v>0</v>
      </c>
      <c r="I11" s="89">
        <f>IF(T$9="Y",Jun!I51,0)</f>
        <v>0</v>
      </c>
      <c r="J11" s="89">
        <f>IF(T$9="Y",Jun!J51,0)</f>
        <v>0</v>
      </c>
      <c r="K11" s="89">
        <f>IF(T$9="Y",Jun!K51,I11*J11)</f>
        <v>0</v>
      </c>
      <c r="L11" s="110">
        <f>IF(T$9="Y",Jun!L51,0)</f>
        <v>0</v>
      </c>
      <c r="M11" s="99" t="str">
        <f>IF(E11=" "," ",IF(T$9="Y",Jun!M51,IF((H11+K11+L11)&gt;0,H11+K11+L11,"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IF(Employee!H$34=E$9,Employee!D$34+SUM(M11)+Jun!V51,SUM(M11)+Jun!V51)</f>
        <v>0</v>
      </c>
      <c r="W11" s="49">
        <f>IF(Employee!H$34=E$9,Employee!D$35+SUM(N11)+Jun!W51,SUM(N11)+Jun!W51)</f>
        <v>0</v>
      </c>
      <c r="X11" s="49">
        <f>IF(O11=" ",Jun!X51,O11+Jun!X51)</f>
        <v>0</v>
      </c>
      <c r="Y11" s="49">
        <f>IF(P11=" ",Jun!Y51,P11+Jun!Y51)</f>
        <v>0</v>
      </c>
      <c r="Z11" s="49">
        <f>IF(Q11=" ",Jun!Z51,Q11+Jun!Z51)</f>
        <v>0</v>
      </c>
      <c r="AA11" s="49">
        <f>IF(R11=" ",Jun!AA51,R11+Jun!AA51)</f>
        <v>0</v>
      </c>
      <c r="AC11" s="49">
        <f>IF(T11=" ",Jun!AC51,T11+Jun!AC51)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IF(T$9="Y",Jun!H52,0)</f>
        <v>0</v>
      </c>
      <c r="I12" s="92">
        <f>IF(T$9="Y",Jun!I52,0)</f>
        <v>0</v>
      </c>
      <c r="J12" s="92">
        <f>IF(T$9="Y",Jun!J52,0)</f>
        <v>0</v>
      </c>
      <c r="K12" s="92">
        <f>IF(T$9="Y",Jun!K52,I12*J12)</f>
        <v>0</v>
      </c>
      <c r="L12" s="111">
        <f>IF(T$9="Y",Jun!L52,0)</f>
        <v>0</v>
      </c>
      <c r="M12" s="100" t="str">
        <f>IF(E12=" "," ",IF(T$9="Y",Jun!M52,IF((H12+K12+L12)&gt;0,H12+K12+L12,"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IF(Employee!H$60=E$9,Employee!D$60+SUM(M12)+Jun!V52,SUM(M12)+Jun!V52)</f>
        <v>0</v>
      </c>
      <c r="W12" s="49">
        <f>IF(Employee!H$60=E$9,Employee!D$61+SUM(N12)+Jun!W52,SUM(N12)+Jun!W52)</f>
        <v>0</v>
      </c>
      <c r="X12" s="49">
        <f>IF(O12=" ",Jun!X52,O12+Jun!X52)</f>
        <v>0</v>
      </c>
      <c r="Y12" s="49">
        <f>IF(P12=" ",Jun!Y52,P12+Jun!Y52)</f>
        <v>0</v>
      </c>
      <c r="Z12" s="49">
        <f>IF(Q12=" ",Jun!Z52,Q12+Jun!Z52)</f>
        <v>0</v>
      </c>
      <c r="AA12" s="49">
        <f>IF(R12=" ",Jun!AA52,R12+Jun!AA52)</f>
        <v>0</v>
      </c>
      <c r="AC12" s="49">
        <f>IF(T12=" ",Jun!AC52,T12+Jun!AC52)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IF(T$9="Y",Jun!H53,0)</f>
        <v>0</v>
      </c>
      <c r="I13" s="92">
        <f>IF(T$9="Y",Jun!I53,0)</f>
        <v>0</v>
      </c>
      <c r="J13" s="92">
        <f>IF(T$9="Y",Jun!J53,0)</f>
        <v>0</v>
      </c>
      <c r="K13" s="92">
        <f>IF(T$9="Y",Jun!K53,I13*J13)</f>
        <v>0</v>
      </c>
      <c r="L13" s="111">
        <f>IF(T$9="Y",Jun!L53,0)</f>
        <v>0</v>
      </c>
      <c r="M13" s="100" t="str">
        <f>IF(E13=" "," ",IF(T$9="Y",Jun!M53,IF((H13+K13+L13)&gt;0,H13+K13+L13,"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IF(Employee!H$86=E$9,Employee!D$86+SUM(M13)+Jun!V53,SUM(M13)+Jun!V53)</f>
        <v>0</v>
      </c>
      <c r="W13" s="49">
        <f>IF(Employee!H$86=E$9,Employee!D$87+SUM(N13)+Jun!W53,SUM(N13)+Jun!W53)</f>
        <v>0</v>
      </c>
      <c r="X13" s="49">
        <f>IF(O13=" ",Jun!X53,O13+Jun!X53)</f>
        <v>0</v>
      </c>
      <c r="Y13" s="49">
        <f>IF(P13=" ",Jun!Y53,P13+Jun!Y53)</f>
        <v>0</v>
      </c>
      <c r="Z13" s="49">
        <f>IF(Q13=" ",Jun!Z53,Q13+Jun!Z53)</f>
        <v>0</v>
      </c>
      <c r="AA13" s="49">
        <f>IF(R13=" ",Jun!AA53,R13+Jun!AA53)</f>
        <v>0</v>
      </c>
      <c r="AC13" s="49">
        <f>IF(T13=" ",Jun!AC53,T13+Jun!AC53)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IF(T$9="Y",Jun!H54,0)</f>
        <v>0</v>
      </c>
      <c r="I14" s="92">
        <f>IF(T$9="Y",Jun!I54,0)</f>
        <v>0</v>
      </c>
      <c r="J14" s="92">
        <f>IF(T$9="Y",Jun!J54,0)</f>
        <v>0</v>
      </c>
      <c r="K14" s="92">
        <f>IF(T$9="Y",Jun!K54,I14*J14)</f>
        <v>0</v>
      </c>
      <c r="L14" s="111">
        <f>IF(T$9="Y",Jun!L54,0)</f>
        <v>0</v>
      </c>
      <c r="M14" s="100" t="str">
        <f>IF(E14=" "," ",IF(T$9="Y",Jun!M54,IF((H14+K14+L14)&gt;0,H14+K14+L14,"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IF(Employee!H$112=E$9,Employee!D$112+SUM(M14)+Jun!V54,SUM(M14)+Jun!V54)</f>
        <v>0</v>
      </c>
      <c r="W14" s="49">
        <f>IF(Employee!H$112=E$9,Employee!D$113+SUM(N14)+Jun!W54,SUM(N14)+Jun!W54)</f>
        <v>0</v>
      </c>
      <c r="X14" s="49">
        <f>IF(O14=" ",Jun!X54,O14+Jun!X54)</f>
        <v>0</v>
      </c>
      <c r="Y14" s="49">
        <f>IF(P14=" ",Jun!Y54,P14+Jun!Y54)</f>
        <v>0</v>
      </c>
      <c r="Z14" s="49">
        <f>IF(Q14=" ",Jun!Z54,Q14+Jun!Z54)</f>
        <v>0</v>
      </c>
      <c r="AA14" s="49">
        <f>IF(R14=" ",Jun!AA54,R14+Jun!AA54)</f>
        <v>0</v>
      </c>
      <c r="AC14" s="49">
        <f>IF(T14=" ",Jun!AC54,T14+Jun!AC54)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IF(T$9="Y",Jun!H55,0)</f>
        <v>0</v>
      </c>
      <c r="I15" s="245">
        <f>IF(T$9="Y",Jun!I55,0)</f>
        <v>0</v>
      </c>
      <c r="J15" s="245">
        <f>IF(T$9="Y",Jun!J55,0)</f>
        <v>0</v>
      </c>
      <c r="K15" s="245">
        <f>IF(T$9="Y",Jun!K55,I15*J15)</f>
        <v>0</v>
      </c>
      <c r="L15" s="246">
        <f>IF(T$9="Y",Jun!L55,0)</f>
        <v>0</v>
      </c>
      <c r="M15" s="247" t="str">
        <f>IF(E15=" "," ",IF(T$9="Y",Jun!M55,IF((H15+K15+L15)&gt;0,H15+K15+L15,"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IF(Employee!H$138=E$9,Employee!D$138+SUM(M15)+Jun!V55,SUM(M15)+Jun!V55)</f>
        <v>0</v>
      </c>
      <c r="W15" s="49">
        <f>IF(Employee!H$138=E$9,Employee!D$139+SUM(N15)+Jun!W55,SUM(N15)+Jun!W55)</f>
        <v>0</v>
      </c>
      <c r="X15" s="49">
        <f>IF(O15=" ",Jun!X55,O15+Jun!X55)</f>
        <v>0</v>
      </c>
      <c r="Y15" s="49">
        <f>IF(P15=" ",Jun!Y55,P15+Jun!Y55)</f>
        <v>0</v>
      </c>
      <c r="Z15" s="49">
        <f>IF(Q15=" ",Jun!Z55,Q15+Jun!Z55)</f>
        <v>0</v>
      </c>
      <c r="AA15" s="49">
        <f>IF(R15=" ",Jun!AA55,R15+Jun!AA55)</f>
        <v>0</v>
      </c>
      <c r="AC15" s="49">
        <f>IF(T15=" ",Jun!AC55,T15+Jun!AC55)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45200</v>
      </c>
      <c r="L49" s="203" t="s">
        <v>76</v>
      </c>
      <c r="M49" s="205">
        <f>Admin!B210</f>
        <v>45230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IF(T$49="Y",Jun!H61,0)</f>
        <v>0</v>
      </c>
      <c r="I51" s="89">
        <f>IF(T$49="Y",Jun!I61,0)</f>
        <v>0</v>
      </c>
      <c r="J51" s="89">
        <f>IF(T$49="Y",Jun!J61,0)</f>
        <v>0</v>
      </c>
      <c r="K51" s="89">
        <f>IF(T$49="Y",Jun!K61,I51*J51)</f>
        <v>0</v>
      </c>
      <c r="L51" s="110">
        <f>IF(T$49="Y",Jun!L61,0)</f>
        <v>0</v>
      </c>
      <c r="M51" s="99" t="str">
        <f>IF(E51=" "," ",IF(T$49="Y",Jun!M61,IF((H51+K51+L51)&gt;0,H51+K51+L51,"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IF(Employee!H$35=E$49,Employee!D$34+SUM(M51)+Jun!V61,SUM(M51)+Jun!V61)</f>
        <v>0</v>
      </c>
      <c r="W51" s="49">
        <f>IF(Employee!H$35=E$49,Employee!D$35+SUM(N51)+Jun!W61,SUM(N51)+Jun!W61)</f>
        <v>0</v>
      </c>
      <c r="X51" s="49">
        <f>IF(O51=" ",Jun!X61,O51+Jun!X61)</f>
        <v>0</v>
      </c>
      <c r="Y51" s="49">
        <f>IF(P51=" ",Jun!Y61,P51+Jun!Y61)</f>
        <v>0</v>
      </c>
      <c r="Z51" s="49">
        <f>IF(Q51=" ",Jun!Z61,Q51+Jun!Z61)</f>
        <v>0</v>
      </c>
      <c r="AA51" s="49">
        <f>IF(R51=" ",Jun!AA61,R51+Jun!AA61)</f>
        <v>0</v>
      </c>
      <c r="AC51" s="49">
        <f>IF(T51=" ",Jun!AC61,T51+Jun!AC61)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IF(T$49="Y",Jun!H62,0)</f>
        <v>0</v>
      </c>
      <c r="I52" s="92">
        <f>IF(T$49="Y",Jun!I62,0)</f>
        <v>0</v>
      </c>
      <c r="J52" s="92">
        <f>IF(T$49="Y",Jun!J62,0)</f>
        <v>0</v>
      </c>
      <c r="K52" s="92">
        <f>IF(T$49="Y",Jun!K62,I52*J52)</f>
        <v>0</v>
      </c>
      <c r="L52" s="111">
        <f>IF(T$49="Y",Jun!L62,0)</f>
        <v>0</v>
      </c>
      <c r="M52" s="100" t="str">
        <f>IF(E52=" "," ",IF(T$49="Y",Jun!M62,IF((H52+K52+L52)&gt;0,H52+K52+L52,"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IF(Employee!H$61=E$49,Employee!D$60+SUM(M52)+Jun!V62,SUM(M52)+Jun!V62)</f>
        <v>0</v>
      </c>
      <c r="W52" s="49">
        <f>IF(Employee!H$61=E$49,Employee!D$61+SUM(N52)+Jun!W62,SUM(N52)+Jun!W62)</f>
        <v>0</v>
      </c>
      <c r="X52" s="49">
        <f>IF(O52=" ",Jun!X62,O52+Jun!X62)</f>
        <v>0</v>
      </c>
      <c r="Y52" s="49">
        <f>IF(P52=" ",Jun!Y62,P52+Jun!Y62)</f>
        <v>0</v>
      </c>
      <c r="Z52" s="49">
        <f>IF(Q52=" ",Jun!Z62,Q52+Jun!Z62)</f>
        <v>0</v>
      </c>
      <c r="AA52" s="49">
        <f>IF(R52=" ",Jun!AA62,R52+Jun!AA62)</f>
        <v>0</v>
      </c>
      <c r="AC52" s="49">
        <f>IF(T52=" ",Jun!AC62,T52+Jun!AC62)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IF(T$49="Y",Jun!H63,0)</f>
        <v>0</v>
      </c>
      <c r="I53" s="92">
        <f>IF(T$49="Y",Jun!I63,0)</f>
        <v>0</v>
      </c>
      <c r="J53" s="92">
        <f>IF(T$49="Y",Jun!J63,0)</f>
        <v>0</v>
      </c>
      <c r="K53" s="92">
        <f>IF(T$49="Y",Jun!K63,I53*J53)</f>
        <v>0</v>
      </c>
      <c r="L53" s="111">
        <f>IF(T$49="Y",Jun!L63,0)</f>
        <v>0</v>
      </c>
      <c r="M53" s="100" t="str">
        <f>IF(E53=" "," ",IF(T$49="Y",Jun!M63,IF((H53+K53+L53)&gt;0,H53+K53+L53,"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IF(Employee!H$87=E$49,Employee!D$86+SUM(M53)+Jun!V63,SUM(M53)+Jun!V63)</f>
        <v>0</v>
      </c>
      <c r="W53" s="49">
        <f>IF(Employee!H$87=E$49,Employee!D$87+SUM(N53)+Jun!W63,SUM(N53)+Jun!W63)</f>
        <v>0</v>
      </c>
      <c r="X53" s="49">
        <f>IF(O53=" ",Jun!X63,O53+Jun!X63)</f>
        <v>0</v>
      </c>
      <c r="Y53" s="49">
        <f>IF(P53=" ",Jun!Y63,P53+Jun!Y63)</f>
        <v>0</v>
      </c>
      <c r="Z53" s="49">
        <f>IF(Q53=" ",Jun!Z63,Q53+Jun!Z63)</f>
        <v>0</v>
      </c>
      <c r="AA53" s="49">
        <f>IF(R53=" ",Jun!AA63,R53+Jun!AA63)</f>
        <v>0</v>
      </c>
      <c r="AC53" s="49">
        <f>IF(T53=" ",Jun!AC63,T53+Jun!AC63)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IF(T$49="Y",Jun!H64,0)</f>
        <v>0</v>
      </c>
      <c r="I54" s="92">
        <f>IF(T$49="Y",Jun!I64,0)</f>
        <v>0</v>
      </c>
      <c r="J54" s="92">
        <f>IF(T$49="Y",Jun!J64,0)</f>
        <v>0</v>
      </c>
      <c r="K54" s="92">
        <f>IF(T$49="Y",Jun!K64,I54*J54)</f>
        <v>0</v>
      </c>
      <c r="L54" s="111">
        <f>IF(T$49="Y",Jun!L64,0)</f>
        <v>0</v>
      </c>
      <c r="M54" s="100" t="str">
        <f>IF(E54=" "," ",IF(T$49="Y",Jun!M64,IF((H54+K54+L54)&gt;0,H54+K54+L54,"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IF(Employee!H$113=E$49,Employee!D$112+SUM(M54)+Jun!V64,SUM(M54)+Jun!V64)</f>
        <v>0</v>
      </c>
      <c r="W54" s="49">
        <f>IF(Employee!H$113=E$49,Employee!D$113+SUM(N54)+Jun!W64,SUM(N54)+Jun!W64)</f>
        <v>0</v>
      </c>
      <c r="X54" s="49">
        <f>IF(O54=" ",Jun!X64,O54+Jun!X64)</f>
        <v>0</v>
      </c>
      <c r="Y54" s="49">
        <f>IF(P54=" ",Jun!Y64,P54+Jun!Y64)</f>
        <v>0</v>
      </c>
      <c r="Z54" s="49">
        <f>IF(Q54=" ",Jun!Z64,Q54+Jun!Z64)</f>
        <v>0</v>
      </c>
      <c r="AA54" s="49">
        <f>IF(R54=" ",Jun!AA64,R54+Jun!AA64)</f>
        <v>0</v>
      </c>
      <c r="AC54" s="49">
        <f>IF(T54=" ",Jun!AC64,T54+Jun!AC64)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IF(T$49="Y",Jun!H65,0)</f>
        <v>0</v>
      </c>
      <c r="I55" s="245">
        <f>IF(T$49="Y",Jun!I65,0)</f>
        <v>0</v>
      </c>
      <c r="J55" s="245">
        <f>IF(T$49="Y",Jun!J65,0)</f>
        <v>0</v>
      </c>
      <c r="K55" s="245">
        <f>IF(T$49="Y",Jun!K65,I55*J55)</f>
        <v>0</v>
      </c>
      <c r="L55" s="246">
        <f>IF(T$49="Y",Jun!L65,0)</f>
        <v>0</v>
      </c>
      <c r="M55" s="100" t="str">
        <f>IF(E55=" "," ",IF(T$49="Y",Jun!M65,IF((H55+K55+L55)&gt;0,H55+K55+L55,"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IF(Employee!H$139=E$49,Employee!D$138+SUM(M55)+Jun!V65,SUM(M55)+Jun!V65)</f>
        <v>0</v>
      </c>
      <c r="W55" s="49">
        <f>IF(Employee!H$139=E$49,Employee!D$139+SUM(N55)+Jun!W65,SUM(N55)+Jun!W65)</f>
        <v>0</v>
      </c>
      <c r="X55" s="49">
        <f>IF(O55=" ",Jun!X65,O55+Jun!X65)</f>
        <v>0</v>
      </c>
      <c r="Y55" s="49">
        <f>IF(P55=" ",Jun!Y65,P55+Jun!Y65)</f>
        <v>0</v>
      </c>
      <c r="Z55" s="49">
        <f>IF(Q55=" ",Jun!Z65,Q55+Jun!Z65)</f>
        <v>0</v>
      </c>
      <c r="AA55" s="49">
        <f>IF(R55=" ",Jun!AA65,R55+Jun!AA65)</f>
        <v>0</v>
      </c>
      <c r="AC55" s="49">
        <f>IF(T55=" ",Jun!AC65,T55+Jun!AC65)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AD60+Jun!AD75</f>
        <v>0</v>
      </c>
      <c r="AE65" s="158">
        <f>AE60+Jun!AE75</f>
        <v>0</v>
      </c>
      <c r="AF65" s="158">
        <f>AF60+Jun!AF75</f>
        <v>0</v>
      </c>
      <c r="AG65" s="158">
        <f>AG60+Jun!AG75</f>
        <v>0</v>
      </c>
    </row>
    <row r="66" spans="6:33" ht="14" thickTop="1" x14ac:dyDescent="0.15"/>
    <row r="67" spans="6:33" x14ac:dyDescent="0.15">
      <c r="AD67" s="162"/>
      <c r="AE67" s="158">
        <f>AE62+Jun!AE77</f>
        <v>0</v>
      </c>
      <c r="AF67" s="158">
        <f>AF62+Jun!AF77</f>
        <v>0</v>
      </c>
      <c r="AG67" s="158">
        <f>AG62+Jun!AG77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45230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99" t="str">
        <f>IF(E11=" "," ",IF(T$9="Y",Jul!M41,IF((H11+K11+L11)&gt;0,H11+K11+L11,"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00" t="str">
        <f>IF(E12=" "," ",IF(T$9="Y",Jul!M42,IF((H12+K12+L12)&gt;0,H12+K12+L12,"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00" t="str">
        <f>IF(E13=" "," ",IF(T$9="Y",Jul!M43,IF((H13+K13+L13)&gt;0,H13+K13+L13,"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00" t="str">
        <f>IF(E14=" "," ",IF(T$9="Y",Jul!M44,IF((H14+K14+L14)&gt;0,H14+K14+L14,"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IF(T$9="Y",Jul!L45,0)</f>
        <v>0</v>
      </c>
      <c r="M15" s="247" t="str">
        <f>IF(E15=" "," ",IF(T$9="Y",Jul!M45,IF((H15+K15+L15)&gt;0,H15+K15+L15,"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45231</v>
      </c>
      <c r="L49" s="203" t="s">
        <v>76</v>
      </c>
      <c r="M49" s="205">
        <f>Admin!B240</f>
        <v>45260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IF(T$49="Y",Jul!H51,0)</f>
        <v>0</v>
      </c>
      <c r="I51" s="89">
        <f>IF(T$49="Y",Jul!I51,0)</f>
        <v>0</v>
      </c>
      <c r="J51" s="89">
        <f>IF(T$49="Y",Jul!J51,0)</f>
        <v>0</v>
      </c>
      <c r="K51" s="89">
        <f>IF(T$49="Y",Jul!K51,I51*J51)</f>
        <v>0</v>
      </c>
      <c r="L51" s="110">
        <f>IF(T$49="Y",Jul!L51,0)</f>
        <v>0</v>
      </c>
      <c r="M51" s="99" t="str">
        <f>IF(E51=" "," ",IF(T$49="Y",Jul!M51,IF((H51+K51+L51)&gt;0,H51+K51+L51,"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IF(Employee!H$35=E$49,Employee!D$34+SUM(M51)+Jul!V51,SUM(M51)+Jul!V51)</f>
        <v>0</v>
      </c>
      <c r="W51" s="49">
        <f>IF(Employee!H$35=E$49,Employee!D$35+SUM(N51)+Jul!W51,SUM(N51)+Jul!W51)</f>
        <v>0</v>
      </c>
      <c r="X51" s="49">
        <f>IF(O51=" ",Jul!X51,O51+Jul!X51)</f>
        <v>0</v>
      </c>
      <c r="Y51" s="49">
        <f>IF(P51=" ",Jul!Y51,P51+Jul!Y51)</f>
        <v>0</v>
      </c>
      <c r="Z51" s="49">
        <f>IF(Q51=" ",Jul!Z51,Q51+Jul!Z51)</f>
        <v>0</v>
      </c>
      <c r="AA51" s="49">
        <f>IF(R51=" ",Jul!AA51,R51+Jul!AA51)</f>
        <v>0</v>
      </c>
      <c r="AC51" s="49">
        <f>IF(T51=" ",Jul!AC51,T51+Jul!AC51)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IF(T$49="Y",Jul!H52,0)</f>
        <v>0</v>
      </c>
      <c r="I52" s="92">
        <f>IF(T$49="Y",Jul!I52,0)</f>
        <v>0</v>
      </c>
      <c r="J52" s="92">
        <f>IF(T$49="Y",Jul!J52,0)</f>
        <v>0</v>
      </c>
      <c r="K52" s="92">
        <f>IF(T$49="Y",Jul!K52,I52*J52)</f>
        <v>0</v>
      </c>
      <c r="L52" s="111">
        <f>IF(T$49="Y",Jul!L52,0)</f>
        <v>0</v>
      </c>
      <c r="M52" s="100" t="str">
        <f>IF(E52=" "," ",IF(T$49="Y",Jul!M52,IF((H52+K52+L52)&gt;0,H52+K52+L52,"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IF(Employee!H$61=E$49,Employee!D$60+SUM(M52)+Jul!V52,SUM(M52)+Jul!V52)</f>
        <v>0</v>
      </c>
      <c r="W52" s="49">
        <f>IF(Employee!H$61=E$49,Employee!D$61+SUM(N52)+Jul!W52,SUM(N52)+Jul!W52)</f>
        <v>0</v>
      </c>
      <c r="X52" s="49">
        <f>IF(O52=" ",Jul!X52,O52+Jul!X52)</f>
        <v>0</v>
      </c>
      <c r="Y52" s="49">
        <f>IF(P52=" ",Jul!Y52,P52+Jul!Y52)</f>
        <v>0</v>
      </c>
      <c r="Z52" s="49">
        <f>IF(Q52=" ",Jul!Z52,Q52+Jul!Z52)</f>
        <v>0</v>
      </c>
      <c r="AA52" s="49">
        <f>IF(R52=" ",Jul!AA52,R52+Jul!AA52)</f>
        <v>0</v>
      </c>
      <c r="AC52" s="49">
        <f>IF(T52=" ",Jul!AC52,T52+Jul!AC52)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IF(T$49="Y",Jul!H53,0)</f>
        <v>0</v>
      </c>
      <c r="I53" s="92">
        <f>IF(T$49="Y",Jul!I53,0)</f>
        <v>0</v>
      </c>
      <c r="J53" s="92">
        <f>IF(T$49="Y",Jul!J53,0)</f>
        <v>0</v>
      </c>
      <c r="K53" s="92">
        <f>IF(T$49="Y",Jul!K53,I53*J53)</f>
        <v>0</v>
      </c>
      <c r="L53" s="111">
        <f>IF(T$49="Y",Jul!L53,0)</f>
        <v>0</v>
      </c>
      <c r="M53" s="100" t="str">
        <f>IF(E53=" "," ",IF(T$49="Y",Jul!M53,IF((H53+K53+L53)&gt;0,H53+K53+L53,"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IF(Employee!H$87=E$49,Employee!D$86+SUM(M53)+Jul!V53,SUM(M53)+Jul!V53)</f>
        <v>0</v>
      </c>
      <c r="W53" s="49">
        <f>IF(Employee!H$87=E$49,Employee!D$87+SUM(N53)+Jul!W53,SUM(N53)+Jul!W53)</f>
        <v>0</v>
      </c>
      <c r="X53" s="49">
        <f>IF(O53=" ",Jul!X53,O53+Jul!X53)</f>
        <v>0</v>
      </c>
      <c r="Y53" s="49">
        <f>IF(P53=" ",Jul!Y53,P53+Jul!Y53)</f>
        <v>0</v>
      </c>
      <c r="Z53" s="49">
        <f>IF(Q53=" ",Jul!Z53,Q53+Jul!Z53)</f>
        <v>0</v>
      </c>
      <c r="AA53" s="49">
        <f>IF(R53=" ",Jul!AA53,R53+Jul!AA53)</f>
        <v>0</v>
      </c>
      <c r="AC53" s="49">
        <f>IF(T53=" ",Jul!AC53,T53+Jul!AC53)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IF(T$49="Y",Jul!H54,0)</f>
        <v>0</v>
      </c>
      <c r="I54" s="92">
        <f>IF(T$49="Y",Jul!I54,0)</f>
        <v>0</v>
      </c>
      <c r="J54" s="92">
        <f>IF(T$49="Y",Jul!J54,0)</f>
        <v>0</v>
      </c>
      <c r="K54" s="92">
        <f>IF(T$49="Y",Jul!K54,I54*J54)</f>
        <v>0</v>
      </c>
      <c r="L54" s="111">
        <f>IF(T$49="Y",Jul!L54,0)</f>
        <v>0</v>
      </c>
      <c r="M54" s="100" t="str">
        <f>IF(E54=" "," ",IF(T$49="Y",Jul!M54,IF((H54+K54+L54)&gt;0,H54+K54+L54,"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IF(Employee!H$113=E$49,Employee!D$112+SUM(M54)+Jul!V54,SUM(M54)+Jul!V54)</f>
        <v>0</v>
      </c>
      <c r="W54" s="49">
        <f>IF(Employee!H$113=E$49,Employee!D$113+SUM(N54)+Jul!W54,SUM(N54)+Jul!W54)</f>
        <v>0</v>
      </c>
      <c r="X54" s="49">
        <f>IF(O54=" ",Jul!X54,O54+Jul!X54)</f>
        <v>0</v>
      </c>
      <c r="Y54" s="49">
        <f>IF(P54=" ",Jul!Y54,P54+Jul!Y54)</f>
        <v>0</v>
      </c>
      <c r="Z54" s="49">
        <f>IF(Q54=" ",Jul!Z54,Q54+Jul!Z54)</f>
        <v>0</v>
      </c>
      <c r="AA54" s="49">
        <f>IF(R54=" ",Jul!AA54,R54+Jul!AA54)</f>
        <v>0</v>
      </c>
      <c r="AC54" s="49">
        <f>IF(T54=" ",Jul!AC54,T54+Jul!AC54)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IF(T$49="Y",Jul!H55,0)</f>
        <v>0</v>
      </c>
      <c r="I55" s="245">
        <f>IF(T$49="Y",Jul!I55,0)</f>
        <v>0</v>
      </c>
      <c r="J55" s="245">
        <f>IF(T$49="Y",Jul!J55,0)</f>
        <v>0</v>
      </c>
      <c r="K55" s="245">
        <f>IF(T$49="Y",Jul!K55,I55*J55)</f>
        <v>0</v>
      </c>
      <c r="L55" s="246">
        <f>IF(T$49="Y",Jul!L55,0)</f>
        <v>0</v>
      </c>
      <c r="M55" s="100" t="str">
        <f>IF(E55=" "," ",IF(T$49="Y",Jul!M55,IF((H55+K55+L55)&gt;0,H55+K55+L55,"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IF(Employee!H$139=E$49,Employee!D$138+SUM(M55)+Jul!V55,SUM(M55)+Jul!V55)</f>
        <v>0</v>
      </c>
      <c r="W55" s="49">
        <f>IF(Employee!H$139=E$49,Employee!D$139+SUM(N55)+Jul!W55,SUM(N55)+Jul!W55)</f>
        <v>0</v>
      </c>
      <c r="X55" s="49">
        <f>IF(O55=" ",Jul!X55,O55+Jul!X55)</f>
        <v>0</v>
      </c>
      <c r="Y55" s="49">
        <f>IF(P55=" ",Jul!Y55,P55+Jul!Y55)</f>
        <v>0</v>
      </c>
      <c r="Z55" s="49">
        <f>IF(Q55=" ",Jul!Z55,Q55+Jul!Z55)</f>
        <v>0</v>
      </c>
      <c r="AA55" s="49">
        <f>IF(R55=" ",Jul!AA55,R55+Jul!AA55)</f>
        <v>0</v>
      </c>
      <c r="AC55" s="49">
        <f>IF(T55=" ",Jul!AC55,T55+Jul!AC55)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AD60+Jul!AD65</f>
        <v>0</v>
      </c>
      <c r="AE65" s="158">
        <f>AE60+Jul!AE65</f>
        <v>0</v>
      </c>
      <c r="AF65" s="158">
        <f>AF60+Jul!AF65</f>
        <v>0</v>
      </c>
      <c r="AG65" s="158">
        <f>AG60+Jul!AG65</f>
        <v>0</v>
      </c>
    </row>
    <row r="66" spans="6:33" ht="14" thickTop="1" x14ac:dyDescent="0.15"/>
    <row r="67" spans="6:33" x14ac:dyDescent="0.15">
      <c r="AD67" s="162"/>
      <c r="AE67" s="158">
        <f>AE62+Jul!AE67</f>
        <v>0</v>
      </c>
      <c r="AF67" s="158">
        <f>AF62+Jul!AF67</f>
        <v>0</v>
      </c>
      <c r="AG67" s="158">
        <f>AG62+Jul!AG67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Aug!M39+1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45261</v>
      </c>
      <c r="L59" s="203" t="s">
        <v>76</v>
      </c>
      <c r="M59" s="205">
        <f>Admin!B271</f>
        <v>45291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IF(T$59="Y",Aug!H51,0)</f>
        <v>0</v>
      </c>
      <c r="I61" s="89">
        <f>IF(T$59="Y",Aug!I51,0)</f>
        <v>0</v>
      </c>
      <c r="J61" s="89">
        <f>IF(T$59="Y",Aug!J51,0)</f>
        <v>0</v>
      </c>
      <c r="K61" s="89">
        <f>IF(T$59="Y",Aug!K51,I61*J61)</f>
        <v>0</v>
      </c>
      <c r="L61" s="110">
        <f>IF(T$59="Y",Aug!L51,0)</f>
        <v>0</v>
      </c>
      <c r="M61" s="99" t="str">
        <f>IF(E61=" "," ",IF(T$59="Y",Aug!M51,IF((H61+K61+L61)&gt;0,H61+K61+L61,"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IF(Employee!H$35=E$59,Employee!D$34+SUM(M61)+Aug!V51,SUM(M61)+Aug!V51)</f>
        <v>0</v>
      </c>
      <c r="W61" s="49">
        <f>IF(Employee!H$35=E$59,Employee!D$35+SUM(N61)+Aug!W51,SUM(N61)+Aug!W51)</f>
        <v>0</v>
      </c>
      <c r="X61" s="49">
        <f>IF(O61=" ",Aug!X51,O61+Aug!X51)</f>
        <v>0</v>
      </c>
      <c r="Y61" s="49">
        <f>IF(P61=" ",Aug!Y51,P61+Aug!Y51)</f>
        <v>0</v>
      </c>
      <c r="Z61" s="49">
        <f>IF(Q61=" ",Aug!Z51,Q61+Aug!Z51)</f>
        <v>0</v>
      </c>
      <c r="AA61" s="49">
        <f>IF(R61=" ",Aug!AA51,R61+Aug!AA51)</f>
        <v>0</v>
      </c>
      <c r="AC61" s="49">
        <f>IF(T61=" ",Aug!AC51,T61+Aug!AC51)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IF(T$59="Y",Aug!H52,0)</f>
        <v>0</v>
      </c>
      <c r="I62" s="92">
        <f>IF(T$59="Y",Aug!I52,0)</f>
        <v>0</v>
      </c>
      <c r="J62" s="92">
        <f>IF(T$59="Y",Aug!J52,0)</f>
        <v>0</v>
      </c>
      <c r="K62" s="92">
        <f>IF(T$59="Y",Aug!K52,I62*J62)</f>
        <v>0</v>
      </c>
      <c r="L62" s="111">
        <f>IF(T$59="Y",Aug!L52,0)</f>
        <v>0</v>
      </c>
      <c r="M62" s="100" t="str">
        <f>IF(E62=" "," ",IF(T$59="Y",Aug!M52,IF((H62+K62+L62)&gt;0,H62+K62+L62,"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IF(Employee!H$61=E$59,Employee!D$60+SUM(M62)+Aug!V52,SUM(M62)+Aug!V52)</f>
        <v>0</v>
      </c>
      <c r="W62" s="49">
        <f>IF(Employee!H$61=E$59,Employee!D$61+SUM(N62)+Aug!W52,SUM(N62)+Aug!W52)</f>
        <v>0</v>
      </c>
      <c r="X62" s="49">
        <f>IF(O62=" ",Aug!X52,O62+Aug!X52)</f>
        <v>0</v>
      </c>
      <c r="Y62" s="49">
        <f>IF(P62=" ",Aug!Y52,P62+Aug!Y52)</f>
        <v>0</v>
      </c>
      <c r="Z62" s="49">
        <f>IF(Q62=" ",Aug!Z52,Q62+Aug!Z52)</f>
        <v>0</v>
      </c>
      <c r="AA62" s="49">
        <f>IF(R62=" ",Aug!AA52,R62+Aug!AA52)</f>
        <v>0</v>
      </c>
      <c r="AC62" s="49">
        <f>IF(T62=" ",Aug!AC52,T62+Aug!AC52)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IF(T$59="Y",Aug!H53,0)</f>
        <v>0</v>
      </c>
      <c r="I63" s="92">
        <f>IF(T$59="Y",Aug!I53,0)</f>
        <v>0</v>
      </c>
      <c r="J63" s="92">
        <f>IF(T$59="Y",Aug!J53,0)</f>
        <v>0</v>
      </c>
      <c r="K63" s="92">
        <f>IF(T$59="Y",Aug!K53,I63*J63)</f>
        <v>0</v>
      </c>
      <c r="L63" s="111">
        <f>IF(T$59="Y",Aug!L53,0)</f>
        <v>0</v>
      </c>
      <c r="M63" s="100" t="str">
        <f>IF(E63=" "," ",IF(T$59="Y",Aug!M53,IF((H63+K63+L63)&gt;0,H63+K63+L63,"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IF(Employee!H$87=E$59,Employee!D$86+SUM(M63)+Aug!V53,SUM(M63)+Aug!V53)</f>
        <v>0</v>
      </c>
      <c r="W63" s="49">
        <f>IF(Employee!H$87=E$59,Employee!D$87+SUM(N63)+Aug!W53,SUM(N63)+Aug!W53)</f>
        <v>0</v>
      </c>
      <c r="X63" s="49">
        <f>IF(O63=" ",Aug!X53,O63+Aug!X53)</f>
        <v>0</v>
      </c>
      <c r="Y63" s="49">
        <f>IF(P63=" ",Aug!Y53,P63+Aug!Y53)</f>
        <v>0</v>
      </c>
      <c r="Z63" s="49">
        <f>IF(Q63=" ",Aug!Z53,Q63+Aug!Z53)</f>
        <v>0</v>
      </c>
      <c r="AA63" s="49">
        <f>IF(R63=" ",Aug!AA53,R63+Aug!AA53)</f>
        <v>0</v>
      </c>
      <c r="AC63" s="49">
        <f>IF(T63=" ",Aug!AC53,T63+Aug!AC53)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IF(T$59="Y",Aug!H54,0)</f>
        <v>0</v>
      </c>
      <c r="I64" s="92">
        <f>IF(T$59="Y",Aug!I54,0)</f>
        <v>0</v>
      </c>
      <c r="J64" s="92">
        <f>IF(T$59="Y",Aug!J54,0)</f>
        <v>0</v>
      </c>
      <c r="K64" s="92">
        <f>IF(T$59="Y",Aug!K54,I64*J64)</f>
        <v>0</v>
      </c>
      <c r="L64" s="111">
        <f>IF(T$59="Y",Aug!L54,0)</f>
        <v>0</v>
      </c>
      <c r="M64" s="100" t="str">
        <f>IF(E64=" "," ",IF(T$59="Y",Aug!M54,IF((H64+K64+L64)&gt;0,H64+K64+L64,"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IF(Employee!H$113=E$59,Employee!D$112+SUM(M64)+Aug!V54,SUM(M64)+Aug!V54)</f>
        <v>0</v>
      </c>
      <c r="W64" s="49">
        <f>IF(Employee!H$113=E$59,Employee!D$113+SUM(N64)+Aug!W54,SUM(N64)+Aug!W54)</f>
        <v>0</v>
      </c>
      <c r="X64" s="49">
        <f>IF(O64=" ",Aug!X54,O64+Aug!X54)</f>
        <v>0</v>
      </c>
      <c r="Y64" s="49">
        <f>IF(P64=" ",Aug!Y54,P64+Aug!Y54)</f>
        <v>0</v>
      </c>
      <c r="Z64" s="49">
        <f>IF(Q64=" ",Aug!Z54,Q64+Aug!Z54)</f>
        <v>0</v>
      </c>
      <c r="AA64" s="49">
        <f>IF(R64=" ",Aug!AA54,R64+Aug!AA54)</f>
        <v>0</v>
      </c>
      <c r="AC64" s="49">
        <f>IF(T64=" ",Aug!AC54,T64+Aug!AC54)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IF(T$59="Y",Aug!H55,0)</f>
        <v>0</v>
      </c>
      <c r="I65" s="245">
        <f>IF(T$59="Y",Aug!I55,0)</f>
        <v>0</v>
      </c>
      <c r="J65" s="245">
        <f>IF(T$59="Y",Aug!J55,0)</f>
        <v>0</v>
      </c>
      <c r="K65" s="245">
        <f>IF(T$59="Y",Aug!K55,I65*J65)</f>
        <v>0</v>
      </c>
      <c r="L65" s="246">
        <f>IF(T$59="Y",Aug!L55,0)</f>
        <v>0</v>
      </c>
      <c r="M65" s="100" t="str">
        <f>IF(E65=" "," ",IF(T$59="Y",Aug!M55,IF((H65+K65+L65)&gt;0,H65+K65+L65,"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IF(Employee!H$139=E$59,Employee!D$138+SUM(M65)+Aug!V55,SUM(M65)+Aug!V55)</f>
        <v>0</v>
      </c>
      <c r="W65" s="49">
        <f>IF(Employee!H$139=E$59,Employee!D$139+SUM(N65)+Aug!W55,SUM(N65)+Aug!W55)</f>
        <v>0</v>
      </c>
      <c r="X65" s="49">
        <f>IF(O65=" ",Aug!X55,O65+Aug!X55)</f>
        <v>0</v>
      </c>
      <c r="Y65" s="49">
        <f>IF(P65=" ",Aug!Y55,P65+Aug!Y55)</f>
        <v>0</v>
      </c>
      <c r="Z65" s="49">
        <f>IF(Q65=" ",Aug!Z55,Q65+Aug!Z55)</f>
        <v>0</v>
      </c>
      <c r="AA65" s="49">
        <f>IF(R65=" ",Aug!AA55,R65+Aug!AA55)</f>
        <v>0</v>
      </c>
      <c r="AC65" s="49">
        <f>IF(T65=" ",Aug!AC55,T65+Aug!AC55)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AD70+Aug!AD65</f>
        <v>0</v>
      </c>
      <c r="AE75" s="158">
        <f>AE70+Aug!AE65</f>
        <v>0</v>
      </c>
      <c r="AF75" s="158">
        <f>AF70+Aug!AF65</f>
        <v>0</v>
      </c>
      <c r="AG75" s="158">
        <f>AG70+Aug!AG65</f>
        <v>0</v>
      </c>
    </row>
    <row r="76" spans="1:34" ht="14" thickTop="1" x14ac:dyDescent="0.15"/>
    <row r="77" spans="1:34" x14ac:dyDescent="0.15">
      <c r="AD77" s="162"/>
      <c r="AE77" s="158">
        <f>AE72+Aug!AE67</f>
        <v>0</v>
      </c>
      <c r="AF77" s="158">
        <f>AF72+Aug!AF67</f>
        <v>0</v>
      </c>
      <c r="AG77" s="158">
        <f>AG72+Aug!AG67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Sep!M49+1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IF(T$9="Y",Sep!H51,0)</f>
        <v>0</v>
      </c>
      <c r="I11" s="89">
        <f>IF(T$9="Y",Sep!I51,0)</f>
        <v>0</v>
      </c>
      <c r="J11" s="89">
        <f>IF(T$9="Y",Sep!J51,0)</f>
        <v>0</v>
      </c>
      <c r="K11" s="89">
        <f>IF(T$9="Y",Sep!K51,I11*J11)</f>
        <v>0</v>
      </c>
      <c r="L11" s="110">
        <f>IF(T$9="Y",Sep!L51,0)</f>
        <v>0</v>
      </c>
      <c r="M11" s="110" t="str">
        <f>IF(E11=" "," ",IF(T$9="Y",Sep!M51,IF((H11+K11+L11)&gt;0,H11+K11+L11,"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IF(Employee!H$34=E$9,Employee!D$34+SUM(M11)+Sep!V51,SUM(M11)+Sep!V51)</f>
        <v>0</v>
      </c>
      <c r="W11" s="49">
        <f>IF(Employee!H$34=E$9,Employee!D$35+SUM(N11)+Sep!W51,SUM(N11)+Sep!W51)</f>
        <v>0</v>
      </c>
      <c r="X11" s="49">
        <f>IF(O11=" ",Sep!X51,O11+Sep!X51)</f>
        <v>0</v>
      </c>
      <c r="Y11" s="49">
        <f>IF(P11=" ",Sep!Y51,P11+Sep!Y51)</f>
        <v>0</v>
      </c>
      <c r="Z11" s="49">
        <f>IF(Q11=" ",Sep!Z51,Q11+Sep!Z51)</f>
        <v>0</v>
      </c>
      <c r="AA11" s="49">
        <f>IF(R11=" ",Sep!AA51,R11+Sep!AA51)</f>
        <v>0</v>
      </c>
      <c r="AC11" s="49">
        <f>IF(T11=" ",Sep!AC51,T11+Sep!AC51)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IF(T$9="Y",Sep!H52,0)</f>
        <v>0</v>
      </c>
      <c r="I12" s="92">
        <f>IF(T$9="Y",Sep!I52,0)</f>
        <v>0</v>
      </c>
      <c r="J12" s="92">
        <f>IF(T$9="Y",Sep!J52,0)</f>
        <v>0</v>
      </c>
      <c r="K12" s="92">
        <f>IF(T$9="Y",Sep!K52,I12*J12)</f>
        <v>0</v>
      </c>
      <c r="L12" s="111">
        <f>IF(T$9="Y",Sep!L52,0)</f>
        <v>0</v>
      </c>
      <c r="M12" s="111" t="str">
        <f>IF(E12=" "," ",IF(T$9="Y",Sep!M52,IF((H12+K12+L12)&gt;0,H12+K12+L12,"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IF(Employee!H$60=E$9,Employee!D$60+SUM(M12)+Sep!V52,SUM(M12)+Sep!V52)</f>
        <v>0</v>
      </c>
      <c r="W12" s="49">
        <f>IF(Employee!H$60=E$9,Employee!D$61+SUM(N12)+Sep!W52,SUM(N12)+Sep!W52)</f>
        <v>0</v>
      </c>
      <c r="X12" s="49">
        <f>IF(O12=" ",Sep!X52,O12+Sep!X52)</f>
        <v>0</v>
      </c>
      <c r="Y12" s="49">
        <f>IF(P12=" ",Sep!Y52,P12+Sep!Y52)</f>
        <v>0</v>
      </c>
      <c r="Z12" s="49">
        <f>IF(Q12=" ",Sep!Z52,Q12+Sep!Z52)</f>
        <v>0</v>
      </c>
      <c r="AA12" s="49">
        <f>IF(R12=" ",Sep!AA52,R12+Sep!AA52)</f>
        <v>0</v>
      </c>
      <c r="AC12" s="49">
        <f>IF(T12=" ",Sep!AC52,T12+Sep!AC52)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IF(T$9="Y",Sep!H53,0)</f>
        <v>0</v>
      </c>
      <c r="I13" s="92">
        <f>IF(T$9="Y",Sep!I53,0)</f>
        <v>0</v>
      </c>
      <c r="J13" s="92">
        <f>IF(T$9="Y",Sep!J53,0)</f>
        <v>0</v>
      </c>
      <c r="K13" s="92">
        <f>IF(T$9="Y",Sep!K53,I13*J13)</f>
        <v>0</v>
      </c>
      <c r="L13" s="111">
        <f>IF(T$9="Y",Sep!L53,0)</f>
        <v>0</v>
      </c>
      <c r="M13" s="111" t="str">
        <f>IF(E13=" "," ",IF(T$9="Y",Sep!M53,IF((H13+K13+L13)&gt;0,H13+K13+L13,"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IF(Employee!H$86=E$9,Employee!D$86+SUM(M13)+Sep!V53,SUM(M13)+Sep!V53)</f>
        <v>0</v>
      </c>
      <c r="W13" s="49">
        <f>IF(Employee!H$86=E$9,Employee!D$87+SUM(N13)+Sep!W53,SUM(N13)+Sep!W53)</f>
        <v>0</v>
      </c>
      <c r="X13" s="49">
        <f>IF(O13=" ",Sep!X53,O13+Sep!X53)</f>
        <v>0</v>
      </c>
      <c r="Y13" s="49">
        <f>IF(P13=" ",Sep!Y53,P13+Sep!Y53)</f>
        <v>0</v>
      </c>
      <c r="Z13" s="49">
        <f>IF(Q13=" ",Sep!Z53,Q13+Sep!Z53)</f>
        <v>0</v>
      </c>
      <c r="AA13" s="49">
        <f>IF(R13=" ",Sep!AA53,R13+Sep!AA53)</f>
        <v>0</v>
      </c>
      <c r="AC13" s="49">
        <f>IF(T13=" ",Sep!AC53,T13+Sep!AC53)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IF(T$9="Y",Sep!H54,0)</f>
        <v>0</v>
      </c>
      <c r="I14" s="92">
        <f>IF(T$9="Y",Sep!I54,0)</f>
        <v>0</v>
      </c>
      <c r="J14" s="92">
        <f>IF(T$9="Y",Sep!J54,0)</f>
        <v>0</v>
      </c>
      <c r="K14" s="92">
        <f>IF(T$9="Y",Sep!K54,I14*J14)</f>
        <v>0</v>
      </c>
      <c r="L14" s="111">
        <f>IF(T$9="Y",Sep!L54,0)</f>
        <v>0</v>
      </c>
      <c r="M14" s="111" t="str">
        <f>IF(E14=" "," ",IF(T$9="Y",Sep!M54,IF((H14+K14+L14)&gt;0,H14+K14+L14,"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IF(Employee!H$112=E$9,Employee!D$112+SUM(M14)+Sep!V54,SUM(M14)+Sep!V54)</f>
        <v>0</v>
      </c>
      <c r="W14" s="49">
        <f>IF(Employee!H$112=E$9,Employee!D$113+SUM(N14)+Sep!W54,SUM(N14)+Sep!W54)</f>
        <v>0</v>
      </c>
      <c r="X14" s="49">
        <f>IF(O14=" ",Sep!X54,O14+Sep!X54)</f>
        <v>0</v>
      </c>
      <c r="Y14" s="49">
        <f>IF(P14=" ",Sep!Y54,P14+Sep!Y54)</f>
        <v>0</v>
      </c>
      <c r="Z14" s="49">
        <f>IF(Q14=" ",Sep!Z54,Q14+Sep!Z54)</f>
        <v>0</v>
      </c>
      <c r="AA14" s="49">
        <f>IF(R14=" ",Sep!AA54,R14+Sep!AA54)</f>
        <v>0</v>
      </c>
      <c r="AC14" s="49">
        <f>IF(T14=" ",Sep!AC54,T14+Sep!AC54)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IF(T$9="Y",Sep!H55,0)</f>
        <v>0</v>
      </c>
      <c r="I15" s="245">
        <f>IF(T$9="Y",Sep!I55,0)</f>
        <v>0</v>
      </c>
      <c r="J15" s="245">
        <f>IF(T$9="Y",Sep!J55,0)</f>
        <v>0</v>
      </c>
      <c r="K15" s="245">
        <f>IF(T$9="Y",Sep!K55,I15*J15)</f>
        <v>0</v>
      </c>
      <c r="L15" s="246">
        <f>IF(T$9="Y",Sep!L55,0)</f>
        <v>0</v>
      </c>
      <c r="M15" s="111" t="str">
        <f>IF(E15=" "," ",IF(T$9="Y",Sep!M55,IF((H15+K15+L15)&gt;0,H15+K15+L15,"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IF(Employee!H$138=E$9,Employee!D$138+SUM(M15)+Sep!V55,SUM(M15)+Sep!V55)</f>
        <v>0</v>
      </c>
      <c r="W15" s="49">
        <f>IF(Employee!H$138=E$9,Employee!D$139+SUM(N15)+Sep!W55,SUM(N15)+Sep!W55)</f>
        <v>0</v>
      </c>
      <c r="X15" s="49">
        <f>IF(O15=" ",Sep!X55,O15+Sep!X55)</f>
        <v>0</v>
      </c>
      <c r="Y15" s="49">
        <f>IF(P15=" ",Sep!Y55,P15+Sep!Y55)</f>
        <v>0</v>
      </c>
      <c r="Z15" s="49">
        <f>IF(Q15=" ",Sep!Z55,Q15+Sep!Z55)</f>
        <v>0</v>
      </c>
      <c r="AA15" s="49">
        <f>IF(R15=" ",Sep!AA55,R15+Sep!AA55)</f>
        <v>0</v>
      </c>
      <c r="AC15" s="49">
        <f>IF(T15=" ",Sep!AC55,T15+Sep!AC55)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45292</v>
      </c>
      <c r="L49" s="203" t="s">
        <v>76</v>
      </c>
      <c r="M49" s="205">
        <f>Admin!B302</f>
        <v>45322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IF(T$49="Y",Sep!H61,0)</f>
        <v>0</v>
      </c>
      <c r="I51" s="89">
        <f>IF(T$49="Y",Sep!I61,0)</f>
        <v>0</v>
      </c>
      <c r="J51" s="89">
        <f>IF(T$49="Y",Sep!J61,0)</f>
        <v>0</v>
      </c>
      <c r="K51" s="89">
        <f>IF(T$49="Y",Sep!K61,I51*J51)</f>
        <v>0</v>
      </c>
      <c r="L51" s="110">
        <f>IF(T$49="Y",Sep!L61,0)</f>
        <v>0</v>
      </c>
      <c r="M51" s="99" t="str">
        <f>IF(E51=" "," ",IF(T$49="Y",Sep!M61,IF((H51+K51+L51)&gt;0,H51+K51+L51,"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IF(Employee!H$35=E$49,Employee!D$34+SUM(M51)+Sep!V61,SUM(M51)+Sep!V61)</f>
        <v>0</v>
      </c>
      <c r="W51" s="49">
        <f>IF(Employee!H$35=E$49,Employee!D$35+SUM(N51)+Sep!W61,SUM(N51)+Sep!W61)</f>
        <v>0</v>
      </c>
      <c r="X51" s="49">
        <f>IF(O51=" ",Sep!X61,O51+Sep!X61)</f>
        <v>0</v>
      </c>
      <c r="Y51" s="49">
        <f>IF(P51=" ",Sep!Y61,P51+Sep!Y61)</f>
        <v>0</v>
      </c>
      <c r="Z51" s="49">
        <f>IF(Q51=" ",Sep!Z61,Q51+Sep!Z61)</f>
        <v>0</v>
      </c>
      <c r="AA51" s="49">
        <f>IF(R51=" ",Sep!AA61,R51+Sep!AA61)</f>
        <v>0</v>
      </c>
      <c r="AC51" s="49">
        <f>IF(T51=" ",Sep!AC61,T51+Sep!AC61)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IF(T$49="Y",Sep!H62,0)</f>
        <v>0</v>
      </c>
      <c r="I52" s="92">
        <f>IF(T$49="Y",Sep!I62,0)</f>
        <v>0</v>
      </c>
      <c r="J52" s="92">
        <f>IF(T$49="Y",Sep!J62,0)</f>
        <v>0</v>
      </c>
      <c r="K52" s="92">
        <f>IF(T$49="Y",Sep!K62,I52*J52)</f>
        <v>0</v>
      </c>
      <c r="L52" s="111">
        <f>IF(T$49="Y",Sep!L62,0)</f>
        <v>0</v>
      </c>
      <c r="M52" s="100" t="str">
        <f>IF(E52=" "," ",IF(T$49="Y",Sep!M62,IF((H52+K52+L52)&gt;0,H52+K52+L52,"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IF(Employee!H$61=E$49,Employee!D$60+SUM(M52)+Sep!V62,SUM(M52)+Sep!V62)</f>
        <v>0</v>
      </c>
      <c r="W52" s="49">
        <f>IF(Employee!H$61=E$49,Employee!D$61+SUM(N52)+Sep!W62,SUM(N52)+Sep!W62)</f>
        <v>0</v>
      </c>
      <c r="X52" s="49">
        <f>IF(O52=" ",Sep!X62,O52+Sep!X62)</f>
        <v>0</v>
      </c>
      <c r="Y52" s="49">
        <f>IF(P52=" ",Sep!Y62,P52+Sep!Y62)</f>
        <v>0</v>
      </c>
      <c r="Z52" s="49">
        <f>IF(Q52=" ",Sep!Z62,Q52+Sep!Z62)</f>
        <v>0</v>
      </c>
      <c r="AA52" s="49">
        <f>IF(R52=" ",Sep!AA62,R52+Sep!AA62)</f>
        <v>0</v>
      </c>
      <c r="AC52" s="49">
        <f>IF(T52=" ",Sep!AC62,T52+Sep!AC62)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IF(T$49="Y",Sep!H63,0)</f>
        <v>0</v>
      </c>
      <c r="I53" s="92">
        <f>IF(T$49="Y",Sep!I63,0)</f>
        <v>0</v>
      </c>
      <c r="J53" s="92">
        <f>IF(T$49="Y",Sep!J63,0)</f>
        <v>0</v>
      </c>
      <c r="K53" s="92">
        <f>IF(T$49="Y",Sep!K63,I53*J53)</f>
        <v>0</v>
      </c>
      <c r="L53" s="111">
        <f>IF(T$49="Y",Sep!L63,0)</f>
        <v>0</v>
      </c>
      <c r="M53" s="100" t="str">
        <f>IF(E53=" "," ",IF(T$49="Y",Sep!M63,IF((H53+K53+L53)&gt;0,H53+K53+L53,"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IF(Employee!H$87=E$49,Employee!D$86+SUM(M53)+Sep!V63,SUM(M53)+Sep!V63)</f>
        <v>0</v>
      </c>
      <c r="W53" s="49">
        <f>IF(Employee!H$87=E$49,Employee!D$87+SUM(N53)+Sep!W63,SUM(N53)+Sep!W63)</f>
        <v>0</v>
      </c>
      <c r="X53" s="49">
        <f>IF(O53=" ",Sep!X63,O53+Sep!X63)</f>
        <v>0</v>
      </c>
      <c r="Y53" s="49">
        <f>IF(P53=" ",Sep!Y63,P53+Sep!Y63)</f>
        <v>0</v>
      </c>
      <c r="Z53" s="49">
        <f>IF(Q53=" ",Sep!Z63,Q53+Sep!Z63)</f>
        <v>0</v>
      </c>
      <c r="AA53" s="49">
        <f>IF(R53=" ",Sep!AA63,R53+Sep!AA63)</f>
        <v>0</v>
      </c>
      <c r="AC53" s="49">
        <f>IF(T53=" ",Sep!AC63,T53+Sep!AC63)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IF(T$49="Y",Sep!H64,0)</f>
        <v>0</v>
      </c>
      <c r="I54" s="92">
        <f>IF(T$49="Y",Sep!I64,0)</f>
        <v>0</v>
      </c>
      <c r="J54" s="92">
        <f>IF(T$49="Y",Sep!J64,0)</f>
        <v>0</v>
      </c>
      <c r="K54" s="92">
        <f>IF(T$49="Y",Sep!K64,I54*J54)</f>
        <v>0</v>
      </c>
      <c r="L54" s="111">
        <f>IF(T$49="Y",Sep!L64,0)</f>
        <v>0</v>
      </c>
      <c r="M54" s="100" t="str">
        <f>IF(E54=" "," ",IF(T$49="Y",Sep!M64,IF((H54+K54+L54)&gt;0,H54+K54+L54,"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IF(Employee!H$113=E$49,Employee!D$112+SUM(M54)+Sep!V64,SUM(M54)+Sep!V64)</f>
        <v>0</v>
      </c>
      <c r="W54" s="49">
        <f>IF(Employee!H$113=E$49,Employee!D$113+SUM(N54)+Sep!W64,SUM(N54)+Sep!W64)</f>
        <v>0</v>
      </c>
      <c r="X54" s="49">
        <f>IF(O54=" ",Sep!X64,O54+Sep!X64)</f>
        <v>0</v>
      </c>
      <c r="Y54" s="49">
        <f>IF(P54=" ",Sep!Y64,P54+Sep!Y64)</f>
        <v>0</v>
      </c>
      <c r="Z54" s="49">
        <f>IF(Q54=" ",Sep!Z64,Q54+Sep!Z64)</f>
        <v>0</v>
      </c>
      <c r="AA54" s="49">
        <f>IF(R54=" ",Sep!AA64,R54+Sep!AA64)</f>
        <v>0</v>
      </c>
      <c r="AC54" s="49">
        <f>IF(T54=" ",Sep!AC64,T54+Sep!AC64)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IF(T$49="Y",Sep!H65,0)</f>
        <v>0</v>
      </c>
      <c r="I55" s="245">
        <f>IF(T$49="Y",Sep!I65,0)</f>
        <v>0</v>
      </c>
      <c r="J55" s="245">
        <f>IF(T$49="Y",Sep!J65,0)</f>
        <v>0</v>
      </c>
      <c r="K55" s="245">
        <f>IF(T$49="Y",Sep!K65,I55*J55)</f>
        <v>0</v>
      </c>
      <c r="L55" s="246">
        <f>IF(T$49="Y",Sep!L65,0)</f>
        <v>0</v>
      </c>
      <c r="M55" s="100" t="str">
        <f>IF(E55=" "," ",IF(T$49="Y",Sep!M65,IF((H55+K55+L55)&gt;0,H55+K55+L55,"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IF(Employee!H$139=E$49,Employee!D$138+SUM(M55)+Sep!V65,SUM(M55)+Sep!V65)</f>
        <v>0</v>
      </c>
      <c r="W55" s="49">
        <f>IF(Employee!H$139=E$49,Employee!D$139+SUM(N55)+Sep!W65,SUM(N55)+Sep!W65)</f>
        <v>0</v>
      </c>
      <c r="X55" s="49">
        <f>IF(O55=" ",Sep!X65,O55+Sep!X65)</f>
        <v>0</v>
      </c>
      <c r="Y55" s="49">
        <f>IF(P55=" ",Sep!Y65,P55+Sep!Y65)</f>
        <v>0</v>
      </c>
      <c r="Z55" s="49">
        <f>IF(Q55=" ",Sep!Z65,Q55+Sep!Z65)</f>
        <v>0</v>
      </c>
      <c r="AA55" s="49">
        <f>IF(R55=" ",Sep!AA65,R55+Sep!AA65)</f>
        <v>0</v>
      </c>
      <c r="AC55" s="49">
        <f>IF(T55=" ",Sep!AC65,T55+Sep!AC65)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AD60+Sep!AD75</f>
        <v>0</v>
      </c>
      <c r="AE65" s="158">
        <f>AE60+Sep!AE75</f>
        <v>0</v>
      </c>
      <c r="AF65" s="158">
        <f>AF60+Sep!AF75</f>
        <v>0</v>
      </c>
      <c r="AG65" s="158">
        <f>AG60+Sep!AG75</f>
        <v>0</v>
      </c>
    </row>
    <row r="66" spans="6:33" ht="14" thickTop="1" x14ac:dyDescent="0.15"/>
    <row r="67" spans="6:33" x14ac:dyDescent="0.15">
      <c r="AD67" s="162"/>
      <c r="AE67" s="158">
        <f>AE62+Sep!AE77</f>
        <v>0</v>
      </c>
      <c r="AF67" s="158">
        <f>AF62+Sep!AF77</f>
        <v>0</v>
      </c>
      <c r="AG67" s="158">
        <f>AG62+Sep!AG77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Oct!M39+1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110" t="str">
        <f>IF(E11=" "," ",IF(T$9="Y",Oct!M41,IF((H11+K11+L11)&gt;0,H11+K11+L11,"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11" t="str">
        <f>IF(E12=" "," ",IF(T$9="Y",Oct!M42,IF((H12+K12+L12)&gt;0,H12+K12+L12,"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11" t="str">
        <f>IF(E13=" "," ",IF(T$9="Y",Oct!M43,IF((H13+K13+L13)&gt;0,H13+K13+L13,"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11" t="str">
        <f>IF(E14=" "," ",IF(T$9="Y",Oct!M44,IF((H14+K14+L14)&gt;0,H14+K14+L14,"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IF(T$19="Y",Oct!L45,0)</f>
        <v>0</v>
      </c>
      <c r="M15" s="111" t="str">
        <f>IF(E15=" "," ",IF(T$9="Y",Oct!M45,IF((H15+K15+L15)&gt;0,H15+K15+L15,"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45323</v>
      </c>
      <c r="L49" s="203" t="s">
        <v>76</v>
      </c>
      <c r="M49" s="205">
        <f>Admin!B330</f>
        <v>45350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IF(T$49="Y",Oct!H51,0)</f>
        <v>0</v>
      </c>
      <c r="I51" s="89">
        <f>IF(T$49="Y",Oct!I51,0)</f>
        <v>0</v>
      </c>
      <c r="J51" s="89">
        <f>IF(T$49="Y",Oct!J51,0)</f>
        <v>0</v>
      </c>
      <c r="K51" s="89">
        <f>IF(T$49="Y",Oct!K51,I51*J51)</f>
        <v>0</v>
      </c>
      <c r="L51" s="110">
        <f>IF(T$49="Y",Oct!L51,0)</f>
        <v>0</v>
      </c>
      <c r="M51" s="99" t="str">
        <f>IF(E51=" "," ",IF(T$49="Y",Oct!M51,IF((H51+K51+L51)&gt;0,H51+K51+L51,"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IF(Employee!H$35=E$49,Employee!D$34+SUM(M51)+Oct!V51,SUM(M51)+Oct!V51)</f>
        <v>0</v>
      </c>
      <c r="W51" s="49">
        <f>IF(Employee!H$35=E$49,Employee!D$35+SUM(N51)+Oct!W51,SUM(N51)+Oct!W51)</f>
        <v>0</v>
      </c>
      <c r="X51" s="49">
        <f>IF(O51=" ",Oct!X51,O51+Oct!X51)</f>
        <v>0</v>
      </c>
      <c r="Y51" s="49">
        <f>IF(P51=" ",Oct!Y51,P51+Oct!Y51)</f>
        <v>0</v>
      </c>
      <c r="Z51" s="49">
        <f>IF(Q51=" ",Oct!Z51,Q51+Oct!Z51)</f>
        <v>0</v>
      </c>
      <c r="AA51" s="49">
        <f>IF(R51=" ",Oct!AA51,R51+Oct!AA51)</f>
        <v>0</v>
      </c>
      <c r="AC51" s="49">
        <f>IF(T51=" ",Oct!AC51,T51+Oct!AC51)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IF(T$49="Y",Oct!H52,0)</f>
        <v>0</v>
      </c>
      <c r="I52" s="92">
        <f>IF(T$49="Y",Oct!I52,0)</f>
        <v>0</v>
      </c>
      <c r="J52" s="92">
        <f>IF(T$49="Y",Oct!J52,0)</f>
        <v>0</v>
      </c>
      <c r="K52" s="92">
        <f>IF(T$49="Y",Oct!K52,I52*J52)</f>
        <v>0</v>
      </c>
      <c r="L52" s="111">
        <f>IF(T$49="Y",Oct!L52,0)</f>
        <v>0</v>
      </c>
      <c r="M52" s="100" t="str">
        <f>IF(E52=" "," ",IF(T$49="Y",Oct!M52,IF((H52+K52+L52)&gt;0,H52+K52+L52,"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IF(Employee!H$61=E$49,Employee!D$60+SUM(M52)+Oct!V52,SUM(M52)+Oct!V52)</f>
        <v>0</v>
      </c>
      <c r="W52" s="49">
        <f>IF(Employee!H$61=E$49,Employee!D$61+SUM(N52)+Oct!W52,SUM(N52)+Oct!W52)</f>
        <v>0</v>
      </c>
      <c r="X52" s="49">
        <f>IF(O52=" ",Oct!X52,O52+Oct!X52)</f>
        <v>0</v>
      </c>
      <c r="Y52" s="49">
        <f>IF(P52=" ",Oct!Y52,P52+Oct!Y52)</f>
        <v>0</v>
      </c>
      <c r="Z52" s="49">
        <f>IF(Q52=" ",Oct!Z52,Q52+Oct!Z52)</f>
        <v>0</v>
      </c>
      <c r="AA52" s="49">
        <f>IF(R52=" ",Oct!AA52,R52+Oct!AA52)</f>
        <v>0</v>
      </c>
      <c r="AC52" s="49">
        <f>IF(T52=" ",Oct!AC52,T52+Oct!AC52)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IF(T$49="Y",Oct!H53,0)</f>
        <v>0</v>
      </c>
      <c r="I53" s="92">
        <f>IF(T$49="Y",Oct!I53,0)</f>
        <v>0</v>
      </c>
      <c r="J53" s="92">
        <f>IF(T$49="Y",Oct!J53,0)</f>
        <v>0</v>
      </c>
      <c r="K53" s="92">
        <f>IF(T$49="Y",Oct!K53,I53*J53)</f>
        <v>0</v>
      </c>
      <c r="L53" s="111">
        <f>IF(T$49="Y",Oct!L53,0)</f>
        <v>0</v>
      </c>
      <c r="M53" s="100" t="str">
        <f>IF(E53=" "," ",IF(T$49="Y",Oct!M53,IF((H53+K53+L53)&gt;0,H53+K53+L53,"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IF(Employee!H$87=E$49,Employee!D$86+SUM(M53)+Oct!V53,SUM(M53)+Oct!V53)</f>
        <v>0</v>
      </c>
      <c r="W53" s="49">
        <f>IF(Employee!H$87=E$49,Employee!D$87+SUM(N53)+Oct!W53,SUM(N53)+Oct!W53)</f>
        <v>0</v>
      </c>
      <c r="X53" s="49">
        <f>IF(O53=" ",Oct!X53,O53+Oct!X53)</f>
        <v>0</v>
      </c>
      <c r="Y53" s="49">
        <f>IF(P53=" ",Oct!Y53,P53+Oct!Y53)</f>
        <v>0</v>
      </c>
      <c r="Z53" s="49">
        <f>IF(Q53=" ",Oct!Z53,Q53+Oct!Z53)</f>
        <v>0</v>
      </c>
      <c r="AA53" s="49">
        <f>IF(R53=" ",Oct!AA53,R53+Oct!AA53)</f>
        <v>0</v>
      </c>
      <c r="AC53" s="49">
        <f>IF(T53=" ",Oct!AC53,T53+Oct!AC53)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IF(T$49="Y",Oct!H54,0)</f>
        <v>0</v>
      </c>
      <c r="I54" s="92">
        <f>IF(T$49="Y",Oct!I54,0)</f>
        <v>0</v>
      </c>
      <c r="J54" s="92">
        <f>IF(T$49="Y",Oct!J54,0)</f>
        <v>0</v>
      </c>
      <c r="K54" s="92">
        <f>IF(T$49="Y",Oct!K54,I54*J54)</f>
        <v>0</v>
      </c>
      <c r="L54" s="111">
        <f>IF(T$49="Y",Oct!L54,0)</f>
        <v>0</v>
      </c>
      <c r="M54" s="100" t="str">
        <f>IF(E54=" "," ",IF(T$49="Y",Oct!M54,IF((H54+K54+L54)&gt;0,H54+K54+L54,"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IF(Employee!H$113=E$49,Employee!D$112+SUM(M54)+Oct!V54,SUM(M54)+Oct!V54)</f>
        <v>0</v>
      </c>
      <c r="W54" s="49">
        <f>IF(Employee!H$113=E$49,Employee!D$113+SUM(N54)+Oct!W54,SUM(N54)+Oct!W54)</f>
        <v>0</v>
      </c>
      <c r="X54" s="49">
        <f>IF(O54=" ",Oct!X54,O54+Oct!X54)</f>
        <v>0</v>
      </c>
      <c r="Y54" s="49">
        <f>IF(P54=" ",Oct!Y54,P54+Oct!Y54)</f>
        <v>0</v>
      </c>
      <c r="Z54" s="49">
        <f>IF(Q54=" ",Oct!Z54,Q54+Oct!Z54)</f>
        <v>0</v>
      </c>
      <c r="AA54" s="49">
        <f>IF(R54=" ",Oct!AA54,R54+Oct!AA54)</f>
        <v>0</v>
      </c>
      <c r="AC54" s="49">
        <f>IF(T54=" ",Oct!AC54,T54+Oct!AC54)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IF(T$49="Y",Oct!H55,0)</f>
        <v>0</v>
      </c>
      <c r="I55" s="245">
        <f>IF(T$49="Y",Oct!I55,0)</f>
        <v>0</v>
      </c>
      <c r="J55" s="245">
        <f>IF(T$49="Y",Oct!J55,0)</f>
        <v>0</v>
      </c>
      <c r="K55" s="245">
        <f>IF(T$49="Y",Oct!K55,I55*J55)</f>
        <v>0</v>
      </c>
      <c r="L55" s="246">
        <f>IF(T$49="Y",Oct!L55,0)</f>
        <v>0</v>
      </c>
      <c r="M55" s="100" t="str">
        <f>IF(E55=" "," ",IF(T$49="Y",Oct!M55,IF((H55+K55+L55)&gt;0,H55+K55+L55,"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IF(Employee!H$139=E$49,Employee!D$138+SUM(M55)+Oct!V55,SUM(M55)+Oct!V55)</f>
        <v>0</v>
      </c>
      <c r="W55" s="49">
        <f>IF(Employee!H$139=E$49,Employee!D$139+SUM(N55)+Oct!W55,SUM(N55)+Oct!W55)</f>
        <v>0</v>
      </c>
      <c r="X55" s="49">
        <f>IF(O55=" ",Oct!X55,O55+Oct!X55)</f>
        <v>0</v>
      </c>
      <c r="Y55" s="49">
        <f>IF(P55=" ",Oct!Y55,P55+Oct!Y55)</f>
        <v>0</v>
      </c>
      <c r="Z55" s="49">
        <f>IF(Q55=" ",Oct!Z55,Q55+Oct!Z55)</f>
        <v>0</v>
      </c>
      <c r="AA55" s="49">
        <f>IF(R55=" ",Oct!AA55,R55+Oct!AA55)</f>
        <v>0</v>
      </c>
      <c r="AC55" s="49">
        <f>IF(T55=" ",Oct!AC55,T55+Oct!AC55)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AD60+Oct!AD65</f>
        <v>0</v>
      </c>
      <c r="AE65" s="158">
        <f>AE60+Oct!AE65</f>
        <v>0</v>
      </c>
      <c r="AF65" s="158">
        <f>AF60+Oct!AF65</f>
        <v>0</v>
      </c>
      <c r="AG65" s="158">
        <f>AG60+Oct!AG65</f>
        <v>0</v>
      </c>
    </row>
    <row r="66" spans="6:33" ht="14" thickTop="1" x14ac:dyDescent="0.15"/>
    <row r="67" spans="6:33" x14ac:dyDescent="0.15">
      <c r="AD67" s="162"/>
      <c r="AE67" s="158">
        <f>AE62+Oct!AE67</f>
        <v>0</v>
      </c>
      <c r="AF67" s="158">
        <f>AF62+Oct!AF67</f>
        <v>0</v>
      </c>
      <c r="AG67" s="158">
        <f>AG62+Oct!AG67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Nov!M39+1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45351</v>
      </c>
      <c r="L69" s="203" t="s">
        <v>76</v>
      </c>
      <c r="M69" s="205">
        <f>Admin!B361</f>
        <v>45381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IF(T$69="Y",Nov!H51,0)</f>
        <v>0</v>
      </c>
      <c r="I71" s="89">
        <f>IF(T$69="Y",Nov!I51,0)</f>
        <v>0</v>
      </c>
      <c r="J71" s="89">
        <f>IF(T$69="Y",Nov!J51,0)</f>
        <v>0</v>
      </c>
      <c r="K71" s="89">
        <f>IF(T$69="Y",Nov!K51,I71*J71)</f>
        <v>0</v>
      </c>
      <c r="L71" s="110">
        <f>IF(T$69="Y",Nov!L51,0)</f>
        <v>0</v>
      </c>
      <c r="M71" s="99" t="str">
        <f>IF(E71=" "," ",IF(T$69="Y",Nov!M51,IF((H71+K71+L71)&gt;0,H71+K71+L71,"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IF(Employee!H$35=E$69,Employee!D$34+SUM(M71)+Nov!V51,SUM(M71)+Nov!V51)</f>
        <v>0</v>
      </c>
      <c r="W71" s="49">
        <f>IF(Employee!H$35=E$69,Employee!D$35+SUM(N71)+Nov!W51,SUM(N71)+Nov!W51)</f>
        <v>0</v>
      </c>
      <c r="X71" s="49">
        <f>IF(O71=" ",Nov!X51,O71+Nov!X51)</f>
        <v>0</v>
      </c>
      <c r="Y71" s="49">
        <f>IF(P71=" ",Nov!Y51,P71+Nov!Y51)</f>
        <v>0</v>
      </c>
      <c r="Z71" s="49">
        <f>IF(Q71=" ",Nov!Z51,Q71+Nov!Z51)</f>
        <v>0</v>
      </c>
      <c r="AA71" s="49">
        <f>IF(R71=" ",Nov!AA51,R71+Nov!AA51)</f>
        <v>0</v>
      </c>
      <c r="AC71" s="49">
        <f>IF(T71=" ",Nov!AC51,T71+Nov!AC51)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IF(T$69="Y",Nov!H52,0)</f>
        <v>0</v>
      </c>
      <c r="I72" s="92">
        <f>IF(T$69="Y",Nov!I52,0)</f>
        <v>0</v>
      </c>
      <c r="J72" s="92">
        <f>IF(T$69="Y",Nov!J52,0)</f>
        <v>0</v>
      </c>
      <c r="K72" s="92">
        <f>IF(T$69="Y",Nov!K52,I72*J72)</f>
        <v>0</v>
      </c>
      <c r="L72" s="111">
        <f>IF(T$69="Y",Nov!L52,0)</f>
        <v>0</v>
      </c>
      <c r="M72" s="100" t="str">
        <f>IF(E72=" "," ",IF(T$69="Y",Nov!M52,IF((H72+K72+L72)&gt;0,H72+K72+L72,"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IF(Employee!H$61=E$69,Employee!D$60+SUM(M72)+Nov!V52,SUM(M72)+Nov!V52)</f>
        <v>0</v>
      </c>
      <c r="W72" s="49">
        <f>IF(Employee!H$61=E$69,Employee!D$61+SUM(N72)+Nov!W52,SUM(N72)+Nov!W52)</f>
        <v>0</v>
      </c>
      <c r="X72" s="49">
        <f>IF(O72=" ",Nov!X52,O72+Nov!X52)</f>
        <v>0</v>
      </c>
      <c r="Y72" s="49">
        <f>IF(P72=" ",Nov!Y52,P72+Nov!Y52)</f>
        <v>0</v>
      </c>
      <c r="Z72" s="49">
        <f>IF(Q72=" ",Nov!Z52,Q72+Nov!Z52)</f>
        <v>0</v>
      </c>
      <c r="AA72" s="49">
        <f>IF(R72=" ",Nov!AA52,R72+Nov!AA52)</f>
        <v>0</v>
      </c>
      <c r="AC72" s="49">
        <f>IF(T72=" ",Nov!AC52,T72+Nov!AC52)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IF(T$69="Y",Nov!H53,0)</f>
        <v>0</v>
      </c>
      <c r="I73" s="92">
        <f>IF(T$69="Y",Nov!I53,0)</f>
        <v>0</v>
      </c>
      <c r="J73" s="92">
        <f>IF(T$69="Y",Nov!J53,0)</f>
        <v>0</v>
      </c>
      <c r="K73" s="92">
        <f>IF(T$69="Y",Nov!K53,I73*J73)</f>
        <v>0</v>
      </c>
      <c r="L73" s="111">
        <f>IF(T$69="Y",Nov!L53,0)</f>
        <v>0</v>
      </c>
      <c r="M73" s="100" t="str">
        <f>IF(E73=" "," ",IF(T$69="Y",Nov!M53,IF((H73+K73+L73)&gt;0,H73+K73+L73,"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IF(Employee!H$87=E$69,Employee!D$86+SUM(M73)+Nov!V53,SUM(M73)+Nov!V53)</f>
        <v>0</v>
      </c>
      <c r="W73" s="49">
        <f>IF(Employee!H$87=E$69,Employee!D$87+SUM(N73)+Nov!W53,SUM(N73)+Nov!W53)</f>
        <v>0</v>
      </c>
      <c r="X73" s="49">
        <f>IF(O73=" ",Nov!X53,O73+Nov!X53)</f>
        <v>0</v>
      </c>
      <c r="Y73" s="49">
        <f>IF(P73=" ",Nov!Y53,P73+Nov!Y53)</f>
        <v>0</v>
      </c>
      <c r="Z73" s="49">
        <f>IF(Q73=" ",Nov!Z53,Q73+Nov!Z53)</f>
        <v>0</v>
      </c>
      <c r="AA73" s="49">
        <f>IF(R73=" ",Nov!AA53,R73+Nov!AA53)</f>
        <v>0</v>
      </c>
      <c r="AC73" s="49">
        <f>IF(T73=" ",Nov!AC53,T73+Nov!AC53)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IF(T$69="Y",Nov!H54,0)</f>
        <v>0</v>
      </c>
      <c r="I74" s="92">
        <f>IF(T$69="Y",Nov!I54,0)</f>
        <v>0</v>
      </c>
      <c r="J74" s="92">
        <f>IF(T$69="Y",Nov!J54,0)</f>
        <v>0</v>
      </c>
      <c r="K74" s="92">
        <f>IF(T$69="Y",Nov!K54,I74*J74)</f>
        <v>0</v>
      </c>
      <c r="L74" s="111">
        <f>IF(T$69="Y",Nov!L54,0)</f>
        <v>0</v>
      </c>
      <c r="M74" s="100" t="str">
        <f>IF(E74=" "," ",IF(T$69="Y",Nov!M54,IF((H74+K74+L74)&gt;0,H74+K74+L74,"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IF(Employee!H$113=E$69,Employee!D$112+SUM(M74)+Nov!V54,SUM(M74)+Nov!V54)</f>
        <v>0</v>
      </c>
      <c r="W74" s="49">
        <f>IF(Employee!H$113=E$69,Employee!D$113+SUM(N74)+Nov!W54,SUM(N74)+Nov!W54)</f>
        <v>0</v>
      </c>
      <c r="X74" s="49">
        <f>IF(O74=" ",Nov!X54,O74+Nov!X54)</f>
        <v>0</v>
      </c>
      <c r="Y74" s="49">
        <f>IF(P74=" ",Nov!Y54,P74+Nov!Y54)</f>
        <v>0</v>
      </c>
      <c r="Z74" s="49">
        <f>IF(Q74=" ",Nov!Z54,Q74+Nov!Z54)</f>
        <v>0</v>
      </c>
      <c r="AA74" s="49">
        <f>IF(R74=" ",Nov!AA54,R74+Nov!AA54)</f>
        <v>0</v>
      </c>
      <c r="AC74" s="49">
        <f>IF(T74=" ",Nov!AC54,T74+Nov!AC54)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IF(T$69="Y",Nov!H55,0)</f>
        <v>0</v>
      </c>
      <c r="I75" s="245">
        <f>IF(T$69="Y",Nov!I55,0)</f>
        <v>0</v>
      </c>
      <c r="J75" s="245">
        <f>IF(T$69="Y",Nov!J55,0)</f>
        <v>0</v>
      </c>
      <c r="K75" s="245">
        <f>IF(T$69="Y",Nov!K55,I75*J75)</f>
        <v>0</v>
      </c>
      <c r="L75" s="246">
        <f>IF(T$69="Y",Nov!L55,0)</f>
        <v>0</v>
      </c>
      <c r="M75" s="100" t="str">
        <f>IF(E75=" "," ",IF(T$69="Y",Nov!M55,IF((H75+K75+L75)&gt;0,H75+K75+L75,"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IF(Employee!H$139=E$69,Employee!D$138+SUM(M75)+Nov!V55,SUM(M75)+Nov!V55)</f>
        <v>0</v>
      </c>
      <c r="W75" s="49">
        <f>IF(Employee!H$139=E$69,Employee!D$139+SUM(N75)+Nov!W55,SUM(N75)+Nov!W55)</f>
        <v>0</v>
      </c>
      <c r="X75" s="49">
        <f>IF(O75=" ",Nov!X55,O75+Nov!X55)</f>
        <v>0</v>
      </c>
      <c r="Y75" s="49">
        <f>IF(P75=" ",Nov!Y55,P75+Nov!Y55)</f>
        <v>0</v>
      </c>
      <c r="Z75" s="49">
        <f>IF(Q75=" ",Nov!Z55,Q75+Nov!Z55)</f>
        <v>0</v>
      </c>
      <c r="AA75" s="49">
        <f>IF(R75=" ",Nov!AA55,R75+Nov!AA55)</f>
        <v>0</v>
      </c>
      <c r="AC75" s="49">
        <f>IF(T75=" ",Nov!AC55,T75+Nov!AC55)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AD80+Nov!AD65</f>
        <v>0</v>
      </c>
      <c r="AE85" s="158">
        <f>AE80+Nov!AE65</f>
        <v>0</v>
      </c>
      <c r="AF85" s="158">
        <f>AF80+Nov!AF65</f>
        <v>0</v>
      </c>
      <c r="AG85" s="158">
        <f>AG80+Nov!AG65</f>
        <v>0</v>
      </c>
    </row>
    <row r="86" spans="6:33" ht="14" thickTop="1" x14ac:dyDescent="0.15"/>
    <row r="87" spans="6:33" x14ac:dyDescent="0.15">
      <c r="AD87" s="162"/>
      <c r="AE87" s="158">
        <f>AE82+Nov!AE67</f>
        <v>0</v>
      </c>
      <c r="AF87" s="158">
        <f>AF82+Nov!AF67</f>
        <v>0</v>
      </c>
      <c r="AG87" s="158">
        <f>AG82+Nov!AG67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Jan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INDIRECT(ADDRESS($H$4,2,1,TRUE,$H$3))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INDIRECT(ADDRESS($H$4+2+C10,5,1,TRUE,$H$3))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INDIRECT(ADDRESS($H$4+1,13,1,TRUE,$H$3))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INDIRECT(ADDRESS($H$4+1,5,1,TRUE,$H$3))</f>
        <v>1</v>
      </c>
      <c r="J10" s="477" t="str">
        <f ca="1">IF(M8=" "," ",INDIRECT(ADDRESS($H$4+2+C10,4,1,TRUE,$H$3)))</f>
        <v xml:space="preserve"> </v>
      </c>
      <c r="K10" s="477"/>
      <c r="L10" s="249" t="s">
        <v>123</v>
      </c>
      <c r="M10" s="261" t="str">
        <f ca="1">IF(M8=" "," ",INDIRECT(ADDRESS($H$4+2+C10,3,1,TRUE,$H$3)))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",INDIRECT(ADDRESS($H$4+2+C10,8,1,TRUE,$H$3)))</f>
        <v xml:space="preserve"> </v>
      </c>
      <c r="C14" s="271" t="str">
        <f ca="1">IF(M8=" "," ",INDIRECT(ADDRESS($H$4+2+C10,9,1,TRUE,$H$3)))</f>
        <v xml:space="preserve"> </v>
      </c>
      <c r="D14" s="271" t="str">
        <f ca="1">IF(M8=" "," ",INDIRECT(ADDRESS($H$4+2+C10,10,1,TRUE,$H$3)))</f>
        <v xml:space="preserve"> </v>
      </c>
      <c r="E14" s="271" t="str">
        <f ca="1">IF(M8=" "," ",INDIRECT(ADDRESS($H$4+2+C10,11,1,TRUE,$H$3)))</f>
        <v xml:space="preserve"> </v>
      </c>
      <c r="F14" s="272" t="str">
        <f ca="1">IF(M8=" "," ",INDIRECT(ADDRESS($H$4+2+C10,12,1,TRUE,$H$3)))</f>
        <v xml:space="preserve"> </v>
      </c>
      <c r="G14" s="273" t="str">
        <f ca="1">IF(M8=" "," ",INDIRECT(ADDRESS($H$4+2+C10,13,1,TRUE,$H$3)))</f>
        <v xml:space="preserve"> </v>
      </c>
      <c r="H14" s="274" t="str">
        <f ca="1">IF(M8=" "," ",INDIRECT(ADDRESS($H$4+2+C10,14,1,TRUE,$H$3)))</f>
        <v xml:space="preserve"> </v>
      </c>
      <c r="I14" s="271" t="str">
        <f ca="1">IF(M8=" "," ",INDIRECT(ADDRESS($H$4+2+C10,15,1,TRUE,$H$3)))</f>
        <v xml:space="preserve"> </v>
      </c>
      <c r="J14" s="457" t="str">
        <f ca="1">IF(M8=" "," ",INDIRECT(ADDRESS($H$4+2+C10,16,1,TRUE,$H$3)))</f>
        <v xml:space="preserve"> </v>
      </c>
      <c r="K14" s="457"/>
      <c r="L14" s="272" t="str">
        <f ca="1">IF(M8=" "," ",INDIRECT(ADDRESS($H$4+2+C10,17,1,TRUE,$H$3)))</f>
        <v xml:space="preserve"> </v>
      </c>
      <c r="M14" s="275" t="str">
        <f ca="1">IF(M8=" "," ",INDIRECT(ADDRESS($H$4+2+C10,18,1,TRUE,$H$3)))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",INDIRECT(ADDRESS($H$4+2+C10,22,1,TRUE,$H$3)))</f>
        <v xml:space="preserve"> </v>
      </c>
      <c r="H16" s="271" t="str">
        <f ca="1">IF(M8=" "," ",INDIRECT(ADDRESS($H$4+2+C10,23,1,TRUE,$H$3)))</f>
        <v xml:space="preserve"> </v>
      </c>
      <c r="I16" s="271" t="str">
        <f ca="1">IF(M8=" "," ",INDIRECT(ADDRESS($H$4+2+C10,24,1,TRUE,$H$3)))</f>
        <v xml:space="preserve"> </v>
      </c>
      <c r="J16" s="457" t="str">
        <f ca="1">IF(M8=" "," ",INDIRECT(ADDRESS($H$4+2+C10,25,1,TRUE,$H$3)))</f>
        <v xml:space="preserve"> </v>
      </c>
      <c r="K16" s="457"/>
      <c r="L16" s="271" t="str">
        <f ca="1">IF(M8=" "," ",INDIRECT(ADDRESS($H$4+2+C10,26,1,TRUE,$H$3)))</f>
        <v xml:space="preserve"> </v>
      </c>
      <c r="M16" s="271" t="str">
        <f ca="1">IF(M8=" "," ",INDIRECT(ADDRESS($H$4+2+C10,27,1,TRUE,$H$3)))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",INDIRECT(ADDRESS($H$4,18,1,TRUE,$H$3)))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INDIRECT(ADDRESS($H$4+2+C24,5,1,TRUE,$H$3))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",INDIRECT(ADDRESS($H$4+2+C24,4,1,TRUE,$H$3)))</f>
        <v xml:space="preserve"> </v>
      </c>
      <c r="K24" s="477"/>
      <c r="L24" s="249" t="s">
        <v>123</v>
      </c>
      <c r="M24" s="261" t="str">
        <f ca="1">IF(M22=" "," ",INDIRECT(ADDRESS($H$4+2+C24,3,1,TRUE,$H$3)))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",INDIRECT(ADDRESS($H$4+2+C24,8,1,TRUE,$H$3)))</f>
        <v xml:space="preserve"> </v>
      </c>
      <c r="C28" s="271" t="str">
        <f ca="1">IF(M22=" "," ",INDIRECT(ADDRESS($H$4+2+C24,9,1,TRUE,$H$3)))</f>
        <v xml:space="preserve"> </v>
      </c>
      <c r="D28" s="271" t="str">
        <f ca="1">IF(M22=" "," ",INDIRECT(ADDRESS($H$4+2+C24,10,1,TRUE,$H$3)))</f>
        <v xml:space="preserve"> </v>
      </c>
      <c r="E28" s="271" t="str">
        <f ca="1">IF(M22=" "," ",INDIRECT(ADDRESS($H$4+2+C24,11,1,TRUE,$H$3)))</f>
        <v xml:space="preserve"> </v>
      </c>
      <c r="F28" s="272" t="str">
        <f ca="1">IF(M22=" "," ",INDIRECT(ADDRESS($H$4+2+C24,12,1,TRUE,$H$3)))</f>
        <v xml:space="preserve"> </v>
      </c>
      <c r="G28" s="273" t="str">
        <f ca="1">IF(M22=" "," ",INDIRECT(ADDRESS($H$4+2+C24,13,1,TRUE,$H$3)))</f>
        <v xml:space="preserve"> </v>
      </c>
      <c r="H28" s="274" t="str">
        <f ca="1">IF(M22=" "," ",INDIRECT(ADDRESS($H$4+2+C24,14,1,TRUE,$H$3)))</f>
        <v xml:space="preserve"> </v>
      </c>
      <c r="I28" s="271" t="str">
        <f ca="1">IF(M22=" "," ",INDIRECT(ADDRESS($H$4+2+C24,15,1,TRUE,$H$3)))</f>
        <v xml:space="preserve"> </v>
      </c>
      <c r="J28" s="457" t="str">
        <f ca="1">IF(M22=" "," ",INDIRECT(ADDRESS($H$4+2+C24,16,1,TRUE,$H$3)))</f>
        <v xml:space="preserve"> </v>
      </c>
      <c r="K28" s="457"/>
      <c r="L28" s="272" t="str">
        <f ca="1">IF(M22=" "," ",INDIRECT(ADDRESS($H$4+2+C24,17,1,TRUE,$H$3)))</f>
        <v xml:space="preserve"> </v>
      </c>
      <c r="M28" s="275" t="str">
        <f ca="1">IF(M22=" "," ",INDIRECT(ADDRESS($H$4+2+C24,18,1,TRUE,$H$3)))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",INDIRECT(ADDRESS($H$4+2+C24,22,1,TRUE,$H$3)))</f>
        <v xml:space="preserve"> </v>
      </c>
      <c r="H30" s="271" t="str">
        <f ca="1">IF(M22=" "," ",INDIRECT(ADDRESS($H$4+2+C24,23,1,TRUE,$H$3)))</f>
        <v xml:space="preserve"> </v>
      </c>
      <c r="I30" s="271" t="str">
        <f ca="1">IF(M22=" "," ",INDIRECT(ADDRESS($H$4+2+C24,24,1,TRUE,$H$3)))</f>
        <v xml:space="preserve"> </v>
      </c>
      <c r="J30" s="457" t="str">
        <f ca="1">IF(M22=" "," ",INDIRECT(ADDRESS($H$4+2+C24,25,1,TRUE,$H$3)))</f>
        <v xml:space="preserve"> </v>
      </c>
      <c r="K30" s="457"/>
      <c r="L30" s="271" t="str">
        <f ca="1">IF(M22=" "," ",INDIRECT(ADDRESS($H$4+2+C24,26,1,TRUE,$H$3)))</f>
        <v xml:space="preserve"> </v>
      </c>
      <c r="M30" s="271" t="str">
        <f ca="1">IF(M22=" "," ",INDIRECT(ADDRESS($H$4+2+C24,27,1,TRUE,$H$3)))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INDIRECT(ADDRESS($H$4+2+C39,5,1,TRUE,$H$3))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",INDIRECT(ADDRESS($H$4+2+C39,4,1,TRUE,$H$3)))</f>
        <v xml:space="preserve"> </v>
      </c>
      <c r="K39" s="477"/>
      <c r="L39" s="249" t="s">
        <v>123</v>
      </c>
      <c r="M39" s="261" t="str">
        <f ca="1">IF(M37=" "," ",INDIRECT(ADDRESS($H$4+2+C39,3,1,TRUE,$H$3)))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",INDIRECT(ADDRESS($H$4+2+C39,8,1,TRUE,$H$3)))</f>
        <v xml:space="preserve"> </v>
      </c>
      <c r="C43" s="271" t="str">
        <f ca="1">IF(M37=" "," ",INDIRECT(ADDRESS($H$4+2+C39,9,1,TRUE,$H$3)))</f>
        <v xml:space="preserve"> </v>
      </c>
      <c r="D43" s="271" t="str">
        <f ca="1">IF(M37=" "," ",INDIRECT(ADDRESS($H$4+2+C39,10,1,TRUE,$H$3)))</f>
        <v xml:space="preserve"> </v>
      </c>
      <c r="E43" s="271" t="str">
        <f ca="1">IF(M37=" "," ",INDIRECT(ADDRESS($H$4+2+C39,11,1,TRUE,$H$3)))</f>
        <v xml:space="preserve"> </v>
      </c>
      <c r="F43" s="272" t="str">
        <f ca="1">IF(M37=" "," ",INDIRECT(ADDRESS($H$4+2+C39,12,1,TRUE,$H$3)))</f>
        <v xml:space="preserve"> </v>
      </c>
      <c r="G43" s="273" t="str">
        <f ca="1">IF(M37=" "," ",INDIRECT(ADDRESS($H$4+2+C39,13,1,TRUE,$H$3)))</f>
        <v xml:space="preserve"> </v>
      </c>
      <c r="H43" s="274" t="str">
        <f ca="1">IF(M37=" "," ",INDIRECT(ADDRESS($H$4+2+C39,14,1,TRUE,$H$3)))</f>
        <v xml:space="preserve"> </v>
      </c>
      <c r="I43" s="271" t="str">
        <f ca="1">IF(M37=" "," ",INDIRECT(ADDRESS($H$4+2+C39,15,1,TRUE,$H$3)))</f>
        <v xml:space="preserve"> </v>
      </c>
      <c r="J43" s="457" t="str">
        <f ca="1">IF(M37=" "," ",INDIRECT(ADDRESS($H$4+2+C39,16,1,TRUE,$H$3)))</f>
        <v xml:space="preserve"> </v>
      </c>
      <c r="K43" s="457"/>
      <c r="L43" s="272" t="str">
        <f ca="1">IF(M37=" "," ",INDIRECT(ADDRESS($H$4+2+C39,17,1,TRUE,$H$3)))</f>
        <v xml:space="preserve"> </v>
      </c>
      <c r="M43" s="275" t="str">
        <f ca="1">IF(M37=" "," ",INDIRECT(ADDRESS($H$4+2+C39,18,1,TRUE,$H$3)))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",INDIRECT(ADDRESS($H$4+2+C39,22,1,TRUE,$H$3)))</f>
        <v xml:space="preserve"> </v>
      </c>
      <c r="H45" s="271" t="str">
        <f ca="1">IF(M37=" "," ",INDIRECT(ADDRESS($H$4+2+C39,23,1,TRUE,$H$3)))</f>
        <v xml:space="preserve"> </v>
      </c>
      <c r="I45" s="271" t="str">
        <f ca="1">IF(M37=" "," ",INDIRECT(ADDRESS($H$4+2+C39,24,1,TRUE,$H$3)))</f>
        <v xml:space="preserve"> </v>
      </c>
      <c r="J45" s="457" t="str">
        <f ca="1">IF(M37=" "," ",INDIRECT(ADDRESS($H$4+2+C39,25,1,TRUE,$H$3)))</f>
        <v xml:space="preserve"> </v>
      </c>
      <c r="K45" s="457"/>
      <c r="L45" s="271" t="str">
        <f ca="1">IF(M37=" "," ",INDIRECT(ADDRESS($H$4+2+C39,26,1,TRUE,$H$3)))</f>
        <v xml:space="preserve"> </v>
      </c>
      <c r="M45" s="271" t="str">
        <f ca="1">IF(M37=" "," ",INDIRECT(ADDRESS($H$4+2+C39,27,1,TRUE,$H$3)))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INDIRECT(ADDRESS($H$4+2+C53,5,1,TRUE,$H$3))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",INDIRECT(ADDRESS($H$4+2+C53,4,1,TRUE,$H$3)))</f>
        <v xml:space="preserve"> </v>
      </c>
      <c r="K53" s="477"/>
      <c r="L53" s="249" t="s">
        <v>123</v>
      </c>
      <c r="M53" s="261" t="str">
        <f ca="1">IF(M51=" "," ",INDIRECT(ADDRESS($H$4+2+C53,3,1,TRUE,$H$3)))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",INDIRECT(ADDRESS($H$4+2+C53,8,1,TRUE,$H$3)))</f>
        <v xml:space="preserve"> </v>
      </c>
      <c r="C57" s="271" t="str">
        <f ca="1">IF(M51=" "," ",INDIRECT(ADDRESS($H$4+2+C53,9,1,TRUE,$H$3)))</f>
        <v xml:space="preserve"> </v>
      </c>
      <c r="D57" s="271" t="str">
        <f ca="1">IF(M51=" "," ",INDIRECT(ADDRESS($H$4+2+C53,10,1,TRUE,$H$3)))</f>
        <v xml:space="preserve"> </v>
      </c>
      <c r="E57" s="271" t="str">
        <f ca="1">IF(M51=" "," ",INDIRECT(ADDRESS($H$4+2+C53,11,1,TRUE,$H$3)))</f>
        <v xml:space="preserve"> </v>
      </c>
      <c r="F57" s="272" t="str">
        <f ca="1">IF(M51=" "," ",INDIRECT(ADDRESS($H$4+2+C53,12,1,TRUE,$H$3)))</f>
        <v xml:space="preserve"> </v>
      </c>
      <c r="G57" s="273" t="str">
        <f ca="1">IF(M51=" "," ",INDIRECT(ADDRESS($H$4+2+C53,13,1,TRUE,$H$3)))</f>
        <v xml:space="preserve"> </v>
      </c>
      <c r="H57" s="274" t="str">
        <f ca="1">IF(M51=" "," ",INDIRECT(ADDRESS($H$4+2+C53,14,1,TRUE,$H$3)))</f>
        <v xml:space="preserve"> </v>
      </c>
      <c r="I57" s="271" t="str">
        <f ca="1">IF(M51=" "," ",INDIRECT(ADDRESS($H$4+2+C53,15,1,TRUE,$H$3)))</f>
        <v xml:space="preserve"> </v>
      </c>
      <c r="J57" s="457" t="str">
        <f ca="1">IF(M51=" "," ",INDIRECT(ADDRESS($H$4+2+C53,16,1,TRUE,$H$3)))</f>
        <v xml:space="preserve"> </v>
      </c>
      <c r="K57" s="457"/>
      <c r="L57" s="272" t="str">
        <f ca="1">IF(M51=" "," ",INDIRECT(ADDRESS($H$4+2+C53,17,1,TRUE,$H$3)))</f>
        <v xml:space="preserve"> </v>
      </c>
      <c r="M57" s="275" t="str">
        <f ca="1">IF(M51=" "," ",INDIRECT(ADDRESS($H$4+2+C53,18,1,TRUE,$H$3)))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",INDIRECT(ADDRESS($H$4+2+C53,22,1,TRUE,$H$3)))</f>
        <v xml:space="preserve"> </v>
      </c>
      <c r="H59" s="271" t="str">
        <f ca="1">IF(M51=" "," ",INDIRECT(ADDRESS($H$4+2+C53,23,1,TRUE,$H$3)))</f>
        <v xml:space="preserve"> </v>
      </c>
      <c r="I59" s="271" t="str">
        <f ca="1">IF(M51=" "," ",INDIRECT(ADDRESS($H$4+2+C53,24,1,TRUE,$H$3)))</f>
        <v xml:space="preserve"> </v>
      </c>
      <c r="J59" s="457" t="str">
        <f ca="1">IF(M51=" "," ",INDIRECT(ADDRESS($H$4+2+C53,25,1,TRUE,$H$3)))</f>
        <v xml:space="preserve"> </v>
      </c>
      <c r="K59" s="457"/>
      <c r="L59" s="271" t="str">
        <f ca="1">IF(M51=" "," ",INDIRECT(ADDRESS($H$4+2+C53,26,1,TRUE,$H$3)))</f>
        <v xml:space="preserve"> </v>
      </c>
      <c r="M59" s="271" t="str">
        <f ca="1">IF(M51=" "," ",INDIRECT(ADDRESS($H$4+2+C53,27,1,TRUE,$H$3)))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INDIRECT(ADDRESS($H$4+2+C68,5,1,TRUE,$H$3))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",INDIRECT(ADDRESS($H$4+2+C68,4,1,TRUE,$H$3)))</f>
        <v xml:space="preserve"> </v>
      </c>
      <c r="K68" s="477"/>
      <c r="L68" s="249" t="s">
        <v>123</v>
      </c>
      <c r="M68" s="261" t="str">
        <f ca="1">IF(M66=" "," ",INDIRECT(ADDRESS($H$4+2+C68,3,1,TRUE,$H$3)))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",INDIRECT(ADDRESS($H$4+2+C68,8,1,TRUE,$H$3)))</f>
        <v xml:space="preserve"> </v>
      </c>
      <c r="C72" s="271" t="str">
        <f ca="1">IF(M66=" "," ",INDIRECT(ADDRESS($H$4+2+C68,9,1,TRUE,$H$3)))</f>
        <v xml:space="preserve"> </v>
      </c>
      <c r="D72" s="271" t="str">
        <f ca="1">IF(M66=" "," ",INDIRECT(ADDRESS($H$4+2+C68,10,1,TRUE,$H$3)))</f>
        <v xml:space="preserve"> </v>
      </c>
      <c r="E72" s="271" t="str">
        <f ca="1">IF(M66=" "," ",INDIRECT(ADDRESS($H$4+2+C68,11,1,TRUE,$H$3)))</f>
        <v xml:space="preserve"> </v>
      </c>
      <c r="F72" s="272" t="str">
        <f ca="1">IF(M66=" "," ",INDIRECT(ADDRESS($H$4+2+C68,12,1,TRUE,$H$3)))</f>
        <v xml:space="preserve"> </v>
      </c>
      <c r="G72" s="273" t="str">
        <f ca="1">IF(M66=" "," ",INDIRECT(ADDRESS($H$4+2+C68,13,1,TRUE,$H$3)))</f>
        <v xml:space="preserve"> </v>
      </c>
      <c r="H72" s="274" t="str">
        <f ca="1">IF(M66=" "," ",INDIRECT(ADDRESS($H$4+2+C68,14,1,TRUE,$H$3)))</f>
        <v xml:space="preserve"> </v>
      </c>
      <c r="I72" s="271" t="str">
        <f ca="1">IF(M66=" "," ",INDIRECT(ADDRESS($H$4+2+C68,15,1,TRUE,$H$3)))</f>
        <v xml:space="preserve"> </v>
      </c>
      <c r="J72" s="457" t="str">
        <f ca="1">IF(M66=" "," ",INDIRECT(ADDRESS($H$4+2+C68,16,1,TRUE,$H$3)))</f>
        <v xml:space="preserve"> </v>
      </c>
      <c r="K72" s="457"/>
      <c r="L72" s="272" t="str">
        <f ca="1">IF(M66=" "," ",INDIRECT(ADDRESS($H$4+2+C68,17,1,TRUE,$H$3)))</f>
        <v xml:space="preserve"> </v>
      </c>
      <c r="M72" s="275" t="str">
        <f ca="1">IF(M66=" "," ",INDIRECT(ADDRESS($H$4+2+C68,18,1,TRUE,$H$3)))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",INDIRECT(ADDRESS($H$4+2+C68,22,1,TRUE,$H$3)))</f>
        <v xml:space="preserve"> </v>
      </c>
      <c r="H74" s="271" t="str">
        <f ca="1">IF(M66=" "," ",INDIRECT(ADDRESS($H$4+2+C68,23,1,TRUE,$H$3)))</f>
        <v xml:space="preserve"> </v>
      </c>
      <c r="I74" s="271" t="str">
        <f ca="1">IF(M66=" "," ",INDIRECT(ADDRESS($H$4+2+C68,24,1,TRUE,$H$3)))</f>
        <v xml:space="preserve"> </v>
      </c>
      <c r="J74" s="457" t="str">
        <f ca="1">IF(M66=" "," ",INDIRECT(ADDRESS($H$4+2+C68,25,1,TRUE,$H$3)))</f>
        <v xml:space="preserve"> </v>
      </c>
      <c r="K74" s="457"/>
      <c r="L74" s="271" t="str">
        <f ca="1">IF(M66=" "," ",INDIRECT(ADDRESS($H$4+2+C68,26,1,TRUE,$H$3)))</f>
        <v xml:space="preserve"> </v>
      </c>
      <c r="M74" s="271" t="str">
        <f ca="1">IF(M66=" "," ",INDIRECT(ADDRESS($H$4+2+C68,27,1,TRUE,$H$3)))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45046</v>
      </c>
      <c r="C4" s="229">
        <f>Admin!$B$45</f>
        <v>45065</v>
      </c>
      <c r="D4" s="227">
        <f>Jan!T1+Jan!O1</f>
        <v>0</v>
      </c>
      <c r="E4" s="228">
        <f>Jan!N1</f>
        <v>0</v>
      </c>
      <c r="F4" s="228">
        <f>Jan!AD60+Jan!AE60+Jan!AF60+Jan!AG60</f>
        <v>0</v>
      </c>
      <c r="G4" s="228">
        <f>Jan!AE62+Jan!AF62+Jan!AG62</f>
        <v>0</v>
      </c>
      <c r="H4" s="228">
        <f>Jan!P1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45077</v>
      </c>
      <c r="C5" s="229">
        <f>Admin!$B$76</f>
        <v>45096</v>
      </c>
      <c r="D5" s="227">
        <f>Feb!T1+Feb!O1</f>
        <v>0</v>
      </c>
      <c r="E5" s="228">
        <f>Feb!N1</f>
        <v>0</v>
      </c>
      <c r="F5" s="228">
        <f>Feb!AD60+Feb!AE60+Feb!AF60+Feb!AG60</f>
        <v>0</v>
      </c>
      <c r="G5" s="228">
        <f>Feb!AE62+Feb!AF62+Feb!AG62</f>
        <v>0</v>
      </c>
      <c r="H5" s="228">
        <f>Feb!P1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45107</v>
      </c>
      <c r="C6" s="229">
        <f>Admin!$B$106</f>
        <v>45126</v>
      </c>
      <c r="D6" s="227">
        <f>Mar!T1+Mar!O1</f>
        <v>0</v>
      </c>
      <c r="E6" s="228">
        <f>Mar!N1</f>
        <v>0</v>
      </c>
      <c r="F6" s="228">
        <f>Mar!AD70+Mar!AE70+Mar!AF70+Mar!AG70</f>
        <v>0</v>
      </c>
      <c r="G6" s="228">
        <f>Mar!AE72+Mar!AF72+Mar!AG72</f>
        <v>0</v>
      </c>
      <c r="H6" s="228">
        <f>Mar!P1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45138</v>
      </c>
      <c r="C7" s="229">
        <f>Admin!$B$137</f>
        <v>45157</v>
      </c>
      <c r="D7" s="227">
        <f>Apr!T1+Apr!O1</f>
        <v>0</v>
      </c>
      <c r="E7" s="228">
        <f>Apr!N1</f>
        <v>0</v>
      </c>
      <c r="F7" s="228">
        <f>Apr!AD60+Apr!AE60+Apr!AF60+Apr!AG60</f>
        <v>0</v>
      </c>
      <c r="G7" s="228">
        <f>Apr!AE62+Apr!AF62+Apr!AG62</f>
        <v>0</v>
      </c>
      <c r="H7" s="228">
        <f>Apr!P1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45169</v>
      </c>
      <c r="C8" s="229">
        <f>Admin!$B$168</f>
        <v>45188</v>
      </c>
      <c r="D8" s="227">
        <f>May!T1+May!O1</f>
        <v>0</v>
      </c>
      <c r="E8" s="228">
        <f>May!N1</f>
        <v>0</v>
      </c>
      <c r="F8" s="228">
        <f>May!AD60+May!AE60+May!AF60+May!AG60</f>
        <v>0</v>
      </c>
      <c r="G8" s="228">
        <f>May!AE62+May!AF62+May!AG62</f>
        <v>0</v>
      </c>
      <c r="H8" s="228">
        <f>May!P1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45199</v>
      </c>
      <c r="C9" s="229">
        <f>Admin!$B$198</f>
        <v>45218</v>
      </c>
      <c r="D9" s="227">
        <f>Jun!T1+Jun!O1</f>
        <v>0</v>
      </c>
      <c r="E9" s="228">
        <f>Jun!N1</f>
        <v>0</v>
      </c>
      <c r="F9" s="228">
        <f>Jun!AD70+Jun!AE70+Jun!AF70+Jun!AG70</f>
        <v>0</v>
      </c>
      <c r="G9" s="228">
        <f>Jun!AE72+Jun!AF72+Jun!AG72</f>
        <v>0</v>
      </c>
      <c r="H9" s="228">
        <f>Jun!P1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45230</v>
      </c>
      <c r="C10" s="229">
        <f>Admin!$B$229</f>
        <v>45249</v>
      </c>
      <c r="D10" s="227">
        <f>Jul!T1+Jul!O1</f>
        <v>0</v>
      </c>
      <c r="E10" s="228">
        <f>Jul!N1</f>
        <v>0</v>
      </c>
      <c r="F10" s="228">
        <f>Jul!AD60+Jul!AE60+Jul!AF60+Jul!AG60</f>
        <v>0</v>
      </c>
      <c r="G10" s="228">
        <f>Jul!AE62+Jul!AF62+Jul!AG62</f>
        <v>0</v>
      </c>
      <c r="H10" s="228">
        <f>Jul!P1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45260</v>
      </c>
      <c r="C11" s="229">
        <f>Admin!$B$259</f>
        <v>45279</v>
      </c>
      <c r="D11" s="227">
        <f>Aug!T1+Aug!O1</f>
        <v>0</v>
      </c>
      <c r="E11" s="228">
        <f>Aug!N1</f>
        <v>0</v>
      </c>
      <c r="F11" s="228">
        <f>Aug!AD60+Aug!AE60+Aug!AF60+Aug!AG60</f>
        <v>0</v>
      </c>
      <c r="G11" s="228">
        <f>Aug!AE62+Aug!AF62+Aug!AG62</f>
        <v>0</v>
      </c>
      <c r="H11" s="228">
        <f>Aug!P1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45291</v>
      </c>
      <c r="C12" s="229">
        <f>Admin!$B$290</f>
        <v>45310</v>
      </c>
      <c r="D12" s="227">
        <f>Sep!T1+Sep!O1</f>
        <v>0</v>
      </c>
      <c r="E12" s="228">
        <f>Sep!N1</f>
        <v>0</v>
      </c>
      <c r="F12" s="228">
        <f>Sep!AD70+Sep!AE70+Sep!AF70+Sep!AG70</f>
        <v>0</v>
      </c>
      <c r="G12" s="228">
        <f>Sep!AE72+Sep!AF72+Sep!AG72</f>
        <v>0</v>
      </c>
      <c r="H12" s="228">
        <f>Sep!P1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45322</v>
      </c>
      <c r="C13" s="229">
        <f>Admin!$B$321</f>
        <v>45341</v>
      </c>
      <c r="D13" s="227">
        <f>Oct!T1+Oct!O1</f>
        <v>0</v>
      </c>
      <c r="E13" s="228">
        <f>Oct!N1</f>
        <v>0</v>
      </c>
      <c r="F13" s="228">
        <f>Oct!AD60+Oct!AE60+Oct!AF60+Oct!AG60</f>
        <v>0</v>
      </c>
      <c r="G13" s="228">
        <f>Oct!AE62+Oct!AF62+Oct!AG62</f>
        <v>0</v>
      </c>
      <c r="H13" s="228">
        <f>Oct!P1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45350</v>
      </c>
      <c r="C14" s="229">
        <f>Admin!$B$350</f>
        <v>45370</v>
      </c>
      <c r="D14" s="227">
        <f>Nov!T1+Nov!O1</f>
        <v>0</v>
      </c>
      <c r="E14" s="228">
        <f>Nov!N1</f>
        <v>0</v>
      </c>
      <c r="F14" s="228">
        <f>Nov!AD60+Nov!AE60+Nov!AF60+Nov!AG60</f>
        <v>0</v>
      </c>
      <c r="G14" s="228">
        <f>Nov!AE62+Nov!AF62+Nov!AG62</f>
        <v>0</v>
      </c>
      <c r="H14" s="228">
        <f>Nov!P1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45381</v>
      </c>
      <c r="C15" s="229">
        <f>Admin!$B$381</f>
        <v>45401</v>
      </c>
      <c r="D15" s="227">
        <f>Dec!T1+Dec!O1</f>
        <v>0</v>
      </c>
      <c r="E15" s="228">
        <f>Dec!N1</f>
        <v>0</v>
      </c>
      <c r="F15" s="228">
        <f>Dec!AD80+Dec!AE80+Dec!AF80+Dec!AG80</f>
        <v>0</v>
      </c>
      <c r="G15" s="228">
        <f>Dec!AE82+Dec!AF82+Dec!AG82</f>
        <v>0</v>
      </c>
      <c r="H15" s="228">
        <f>Dec!P1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45387</v>
      </c>
      <c r="J1" s="493"/>
      <c r="K1" s="303"/>
      <c r="L1" s="303"/>
      <c r="M1" s="304"/>
      <c r="N1" s="305" t="str">
        <f>TEXT(YEAR(I1)-1,"0") &amp; "-" &amp; TEXT(YEAR(I1)-2000,"0")</f>
        <v>2023-24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TEXT(DATE(YEAR(B$2),MONTH(B$2)+(D2-1)+9,1),"Mmm")</f>
        <v>Jan</v>
      </c>
      <c r="B2" s="308">
        <v>45022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TEXT(DATE(YEAR(B$2),MONTH(B$2)+(D3-1)+9,1),"Mmm")</f>
        <v>Jan</v>
      </c>
      <c r="B3" s="308">
        <f>B2+1</f>
        <v>45023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Jan</v>
      </c>
      <c r="B4" s="308">
        <f t="shared" ref="B4:B67" si="1">B3+1</f>
        <v>45024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Jan</v>
      </c>
      <c r="B5" s="308">
        <f t="shared" si="1"/>
        <v>45025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Jan</v>
      </c>
      <c r="B6" s="308">
        <f t="shared" si="1"/>
        <v>45026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Jan</v>
      </c>
      <c r="B7" s="308">
        <f t="shared" si="1"/>
        <v>45027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Jan</v>
      </c>
      <c r="B8" s="308">
        <f t="shared" si="1"/>
        <v>45028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Jan</v>
      </c>
      <c r="B9" s="308">
        <f t="shared" si="1"/>
        <v>45029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Jan</v>
      </c>
      <c r="B10" s="308">
        <f t="shared" si="1"/>
        <v>45030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Jan</v>
      </c>
      <c r="B11" s="308">
        <f t="shared" si="1"/>
        <v>45031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Jan</v>
      </c>
      <c r="B12" s="308">
        <f t="shared" si="1"/>
        <v>45032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Jan</v>
      </c>
      <c r="B13" s="308">
        <f t="shared" si="1"/>
        <v>45033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Jan</v>
      </c>
      <c r="B14" s="308">
        <f t="shared" si="1"/>
        <v>45034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Jan</v>
      </c>
      <c r="B15" s="308">
        <f t="shared" si="1"/>
        <v>45035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Jan</v>
      </c>
      <c r="B16" s="308">
        <f t="shared" si="1"/>
        <v>45036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Jan</v>
      </c>
      <c r="B17" s="308">
        <f t="shared" si="1"/>
        <v>45037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Jan</v>
      </c>
      <c r="B18" s="308">
        <f t="shared" si="1"/>
        <v>45038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Jan</v>
      </c>
      <c r="B19" s="308">
        <f t="shared" si="1"/>
        <v>45039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Jan</v>
      </c>
      <c r="B20" s="308">
        <f t="shared" si="1"/>
        <v>45040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Jan</v>
      </c>
      <c r="B21" s="308">
        <f t="shared" si="1"/>
        <v>45041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Jan</v>
      </c>
      <c r="B22" s="308">
        <f t="shared" si="1"/>
        <v>45042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Jan</v>
      </c>
      <c r="B23" s="308">
        <f t="shared" si="1"/>
        <v>45043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Jan</v>
      </c>
      <c r="B24" s="308">
        <f t="shared" si="1"/>
        <v>45044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Jan</v>
      </c>
      <c r="B25" s="308">
        <f t="shared" si="1"/>
        <v>45045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Jan</v>
      </c>
      <c r="B26" s="308">
        <f t="shared" si="1"/>
        <v>45046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Jan</v>
      </c>
      <c r="B27" s="308">
        <f t="shared" si="1"/>
        <v>45047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Feb</v>
      </c>
      <c r="B28" s="308">
        <f t="shared" si="1"/>
        <v>45048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Feb</v>
      </c>
      <c r="B29" s="308">
        <f t="shared" si="1"/>
        <v>45049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Feb</v>
      </c>
      <c r="B30" s="308">
        <f t="shared" si="1"/>
        <v>45050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Feb</v>
      </c>
      <c r="B31" s="308">
        <f t="shared" si="1"/>
        <v>45051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Feb</v>
      </c>
      <c r="B32" s="308">
        <f t="shared" si="1"/>
        <v>45052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Feb</v>
      </c>
      <c r="B33" s="308">
        <f t="shared" si="1"/>
        <v>45053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Feb</v>
      </c>
      <c r="B34" s="308">
        <f t="shared" si="1"/>
        <v>45054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Feb</v>
      </c>
      <c r="B35" s="308">
        <f t="shared" si="1"/>
        <v>45055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Feb</v>
      </c>
      <c r="B36" s="308">
        <f t="shared" si="1"/>
        <v>45056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Feb</v>
      </c>
      <c r="B37" s="308">
        <f t="shared" si="1"/>
        <v>45057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Feb</v>
      </c>
      <c r="B38" s="308">
        <f t="shared" si="1"/>
        <v>45058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Feb</v>
      </c>
      <c r="B39" s="308">
        <f t="shared" si="1"/>
        <v>45059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Feb</v>
      </c>
      <c r="B40" s="308">
        <f t="shared" si="1"/>
        <v>45060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Feb</v>
      </c>
      <c r="B41" s="308">
        <f t="shared" si="1"/>
        <v>45061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Feb</v>
      </c>
      <c r="B42" s="308">
        <f t="shared" si="1"/>
        <v>45062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Feb</v>
      </c>
      <c r="B43" s="308">
        <f t="shared" si="1"/>
        <v>45063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Feb</v>
      </c>
      <c r="B44" s="308">
        <f t="shared" si="1"/>
        <v>45064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Feb</v>
      </c>
      <c r="B45" s="308">
        <f t="shared" si="1"/>
        <v>45065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Feb</v>
      </c>
      <c r="B46" s="308">
        <f t="shared" si="1"/>
        <v>45066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Feb</v>
      </c>
      <c r="B47" s="308">
        <f t="shared" si="1"/>
        <v>45067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Feb</v>
      </c>
      <c r="B48" s="308">
        <f t="shared" si="1"/>
        <v>45068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Feb</v>
      </c>
      <c r="B49" s="308">
        <f t="shared" si="1"/>
        <v>45069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Feb</v>
      </c>
      <c r="B50" s="308">
        <f t="shared" si="1"/>
        <v>45070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Feb</v>
      </c>
      <c r="B51" s="308">
        <f t="shared" si="1"/>
        <v>45071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Feb</v>
      </c>
      <c r="B52" s="308">
        <f t="shared" si="1"/>
        <v>45072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Feb</v>
      </c>
      <c r="B53" s="308">
        <f t="shared" si="1"/>
        <v>45073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Feb</v>
      </c>
      <c r="B54" s="308">
        <f t="shared" si="1"/>
        <v>45074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Feb</v>
      </c>
      <c r="B55" s="308">
        <f t="shared" si="1"/>
        <v>45075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Mar</v>
      </c>
      <c r="B56" s="308">
        <f t="shared" si="1"/>
        <v>45076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Mar</v>
      </c>
      <c r="B57" s="308">
        <f t="shared" si="1"/>
        <v>45077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Mar</v>
      </c>
      <c r="B58" s="308">
        <f t="shared" si="1"/>
        <v>45078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Mar</v>
      </c>
      <c r="B59" s="308">
        <f t="shared" si="1"/>
        <v>45079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Mar</v>
      </c>
      <c r="B60" s="308">
        <f t="shared" si="1"/>
        <v>45080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Mar</v>
      </c>
      <c r="B61" s="308">
        <f t="shared" si="1"/>
        <v>45081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Mar</v>
      </c>
      <c r="B62" s="308">
        <f t="shared" si="1"/>
        <v>45082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Mar</v>
      </c>
      <c r="B63" s="308">
        <f t="shared" si="1"/>
        <v>45083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Mar</v>
      </c>
      <c r="B64" s="308">
        <f t="shared" si="1"/>
        <v>45084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Mar</v>
      </c>
      <c r="B65" s="308">
        <f t="shared" si="1"/>
        <v>45085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Mar</v>
      </c>
      <c r="B66" s="308">
        <f t="shared" si="1"/>
        <v>45086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TEXT(DATE(YEAR(B$2),MONTH(B$2)+(D67-1)+9,1),"Mmm")</f>
        <v>Mar</v>
      </c>
      <c r="B67" s="308">
        <f t="shared" si="1"/>
        <v>45087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Mar</v>
      </c>
      <c r="B68" s="308">
        <f t="shared" ref="B68:B131" si="3">B67+1</f>
        <v>45088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Mar</v>
      </c>
      <c r="B69" s="308">
        <f t="shared" si="3"/>
        <v>45089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Mar</v>
      </c>
      <c r="B70" s="308">
        <f t="shared" si="3"/>
        <v>45090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Mar</v>
      </c>
      <c r="B71" s="308">
        <f t="shared" si="3"/>
        <v>45091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Mar</v>
      </c>
      <c r="B72" s="308">
        <f t="shared" si="3"/>
        <v>45092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Mar</v>
      </c>
      <c r="B73" s="308">
        <f t="shared" si="3"/>
        <v>45093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Mar</v>
      </c>
      <c r="B74" s="308">
        <f t="shared" si="3"/>
        <v>45094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Mar</v>
      </c>
      <c r="B75" s="308">
        <f t="shared" si="3"/>
        <v>45095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Mar</v>
      </c>
      <c r="B76" s="308">
        <f t="shared" si="3"/>
        <v>45096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Mar</v>
      </c>
      <c r="B77" s="308">
        <f t="shared" si="3"/>
        <v>45097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Mar</v>
      </c>
      <c r="B78" s="308">
        <f t="shared" si="3"/>
        <v>45098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Mar</v>
      </c>
      <c r="B79" s="308">
        <f t="shared" si="3"/>
        <v>45099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Mar</v>
      </c>
      <c r="B80" s="308">
        <f t="shared" si="3"/>
        <v>45100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Mar</v>
      </c>
      <c r="B81" s="308">
        <f t="shared" si="3"/>
        <v>45101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Mar</v>
      </c>
      <c r="B82" s="308">
        <f t="shared" si="3"/>
        <v>45102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Mar</v>
      </c>
      <c r="B83" s="308">
        <f t="shared" si="3"/>
        <v>45103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Mar</v>
      </c>
      <c r="B84" s="308">
        <f t="shared" si="3"/>
        <v>45104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Mar</v>
      </c>
      <c r="B85" s="308">
        <f t="shared" si="3"/>
        <v>45105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Mar</v>
      </c>
      <c r="B86" s="308">
        <f t="shared" si="3"/>
        <v>45106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Mar</v>
      </c>
      <c r="B87" s="308">
        <f t="shared" si="3"/>
        <v>45107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Mar</v>
      </c>
      <c r="B88" s="308">
        <f t="shared" si="3"/>
        <v>45108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Mar</v>
      </c>
      <c r="B89" s="308">
        <f t="shared" si="3"/>
        <v>45109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Mar</v>
      </c>
      <c r="B90" s="308">
        <f t="shared" si="3"/>
        <v>45110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Apr</v>
      </c>
      <c r="B91" s="308">
        <f t="shared" si="3"/>
        <v>45111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Apr</v>
      </c>
      <c r="B92" s="308">
        <f t="shared" si="3"/>
        <v>45112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Apr</v>
      </c>
      <c r="B93" s="308">
        <f t="shared" si="3"/>
        <v>45113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Apr</v>
      </c>
      <c r="B94" s="308">
        <f t="shared" si="3"/>
        <v>45114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Apr</v>
      </c>
      <c r="B95" s="308">
        <f t="shared" si="3"/>
        <v>45115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Apr</v>
      </c>
      <c r="B96" s="308">
        <f t="shared" si="3"/>
        <v>45116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Apr</v>
      </c>
      <c r="B97" s="308">
        <f t="shared" si="3"/>
        <v>45117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Apr</v>
      </c>
      <c r="B98" s="308">
        <f t="shared" si="3"/>
        <v>45118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Apr</v>
      </c>
      <c r="B99" s="308">
        <f t="shared" si="3"/>
        <v>45119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Apr</v>
      </c>
      <c r="B100" s="308">
        <f t="shared" si="3"/>
        <v>45120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Apr</v>
      </c>
      <c r="B101" s="308">
        <f t="shared" si="3"/>
        <v>45121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Apr</v>
      </c>
      <c r="B102" s="308">
        <f t="shared" si="3"/>
        <v>45122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Apr</v>
      </c>
      <c r="B103" s="308">
        <f t="shared" si="3"/>
        <v>45123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Apr</v>
      </c>
      <c r="B104" s="308">
        <f t="shared" si="3"/>
        <v>45124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Apr</v>
      </c>
      <c r="B105" s="308">
        <f t="shared" si="3"/>
        <v>45125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Apr</v>
      </c>
      <c r="B106" s="308">
        <f t="shared" si="3"/>
        <v>45126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Apr</v>
      </c>
      <c r="B107" s="308">
        <f t="shared" si="3"/>
        <v>45127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Apr</v>
      </c>
      <c r="B108" s="308">
        <f t="shared" si="3"/>
        <v>45128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Apr</v>
      </c>
      <c r="B109" s="308">
        <f t="shared" si="3"/>
        <v>45129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Apr</v>
      </c>
      <c r="B110" s="308">
        <f t="shared" si="3"/>
        <v>45130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Apr</v>
      </c>
      <c r="B111" s="308">
        <f t="shared" si="3"/>
        <v>45131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Apr</v>
      </c>
      <c r="B112" s="308">
        <f t="shared" si="3"/>
        <v>45132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Apr</v>
      </c>
      <c r="B113" s="308">
        <f t="shared" si="3"/>
        <v>45133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Apr</v>
      </c>
      <c r="B114" s="308">
        <f t="shared" si="3"/>
        <v>45134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Apr</v>
      </c>
      <c r="B115" s="308">
        <f t="shared" si="3"/>
        <v>45135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Apr</v>
      </c>
      <c r="B116" s="308">
        <f t="shared" si="3"/>
        <v>45136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Apr</v>
      </c>
      <c r="B117" s="308">
        <f t="shared" si="3"/>
        <v>45137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Apr</v>
      </c>
      <c r="B118" s="308">
        <f t="shared" si="3"/>
        <v>45138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May</v>
      </c>
      <c r="B119" s="308">
        <f t="shared" si="3"/>
        <v>45139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May</v>
      </c>
      <c r="B120" s="308">
        <f t="shared" si="3"/>
        <v>45140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May</v>
      </c>
      <c r="B121" s="308">
        <f t="shared" si="3"/>
        <v>45141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May</v>
      </c>
      <c r="B122" s="308">
        <f t="shared" si="3"/>
        <v>45142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May</v>
      </c>
      <c r="B123" s="308">
        <f t="shared" si="3"/>
        <v>45143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May</v>
      </c>
      <c r="B124" s="308">
        <f t="shared" si="3"/>
        <v>45144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May</v>
      </c>
      <c r="B125" s="308">
        <f t="shared" si="3"/>
        <v>45145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May</v>
      </c>
      <c r="B126" s="308">
        <f t="shared" si="3"/>
        <v>45146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May</v>
      </c>
      <c r="B127" s="308">
        <f t="shared" si="3"/>
        <v>45147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May</v>
      </c>
      <c r="B128" s="308">
        <f t="shared" si="3"/>
        <v>45148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May</v>
      </c>
      <c r="B129" s="308">
        <f t="shared" si="3"/>
        <v>45149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May</v>
      </c>
      <c r="B130" s="308">
        <f t="shared" si="3"/>
        <v>45150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TEXT(DATE(YEAR(B$2),MONTH(B$2)+(D131-1)+9,1),"Mmm")</f>
        <v>May</v>
      </c>
      <c r="B131" s="308">
        <f t="shared" si="3"/>
        <v>45151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May</v>
      </c>
      <c r="B132" s="308">
        <f t="shared" ref="B132:B195" si="5">B131+1</f>
        <v>45152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May</v>
      </c>
      <c r="B133" s="308">
        <f t="shared" si="5"/>
        <v>45153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May</v>
      </c>
      <c r="B134" s="308">
        <f t="shared" si="5"/>
        <v>45154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May</v>
      </c>
      <c r="B135" s="308">
        <f t="shared" si="5"/>
        <v>45155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May</v>
      </c>
      <c r="B136" s="308">
        <f t="shared" si="5"/>
        <v>45156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May</v>
      </c>
      <c r="B137" s="308">
        <f t="shared" si="5"/>
        <v>45157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May</v>
      </c>
      <c r="B138" s="308">
        <f t="shared" si="5"/>
        <v>45158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May</v>
      </c>
      <c r="B139" s="308">
        <f t="shared" si="5"/>
        <v>45159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May</v>
      </c>
      <c r="B140" s="308">
        <f t="shared" si="5"/>
        <v>45160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May</v>
      </c>
      <c r="B141" s="308">
        <f t="shared" si="5"/>
        <v>45161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May</v>
      </c>
      <c r="B142" s="308">
        <f t="shared" si="5"/>
        <v>45162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May</v>
      </c>
      <c r="B143" s="308">
        <f t="shared" si="5"/>
        <v>45163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May</v>
      </c>
      <c r="B144" s="308">
        <f t="shared" si="5"/>
        <v>45164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May</v>
      </c>
      <c r="B145" s="308">
        <f t="shared" si="5"/>
        <v>45165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May</v>
      </c>
      <c r="B146" s="308">
        <f t="shared" si="5"/>
        <v>45166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Jun</v>
      </c>
      <c r="B147" s="308">
        <f t="shared" si="5"/>
        <v>45167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Jun</v>
      </c>
      <c r="B148" s="308">
        <f t="shared" si="5"/>
        <v>45168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Jun</v>
      </c>
      <c r="B149" s="308">
        <f t="shared" si="5"/>
        <v>45169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Jun</v>
      </c>
      <c r="B150" s="308">
        <f t="shared" si="5"/>
        <v>45170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Jun</v>
      </c>
      <c r="B151" s="308">
        <f t="shared" si="5"/>
        <v>45171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Jun</v>
      </c>
      <c r="B152" s="308">
        <f t="shared" si="5"/>
        <v>45172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Jun</v>
      </c>
      <c r="B153" s="308">
        <f t="shared" si="5"/>
        <v>45173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Jun</v>
      </c>
      <c r="B154" s="308">
        <f t="shared" si="5"/>
        <v>45174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Jun</v>
      </c>
      <c r="B155" s="321">
        <f t="shared" si="5"/>
        <v>45175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Jun</v>
      </c>
      <c r="B156" s="308">
        <f t="shared" si="5"/>
        <v>45176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Jun</v>
      </c>
      <c r="B157" s="308">
        <f t="shared" si="5"/>
        <v>45177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Jun</v>
      </c>
      <c r="B158" s="308">
        <f t="shared" si="5"/>
        <v>45178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Jun</v>
      </c>
      <c r="B159" s="308">
        <f t="shared" si="5"/>
        <v>45179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Jun</v>
      </c>
      <c r="B160" s="308">
        <f t="shared" si="5"/>
        <v>45180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Jun</v>
      </c>
      <c r="B161" s="308">
        <f t="shared" si="5"/>
        <v>45181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Jun</v>
      </c>
      <c r="B162" s="308">
        <f t="shared" si="5"/>
        <v>45182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Jun</v>
      </c>
      <c r="B163" s="308">
        <f t="shared" si="5"/>
        <v>45183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Jun</v>
      </c>
      <c r="B164" s="308">
        <f t="shared" si="5"/>
        <v>45184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Jun</v>
      </c>
      <c r="B165" s="308">
        <f t="shared" si="5"/>
        <v>45185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Jun</v>
      </c>
      <c r="B166" s="308">
        <f t="shared" si="5"/>
        <v>45186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Jun</v>
      </c>
      <c r="B167" s="308">
        <f t="shared" si="5"/>
        <v>45187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Jun</v>
      </c>
      <c r="B168" s="308">
        <f t="shared" si="5"/>
        <v>45188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Jun</v>
      </c>
      <c r="B169" s="308">
        <f t="shared" si="5"/>
        <v>45189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Jun</v>
      </c>
      <c r="B170" s="308">
        <f t="shared" si="5"/>
        <v>45190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Jun</v>
      </c>
      <c r="B171" s="308">
        <f t="shared" si="5"/>
        <v>45191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Jun</v>
      </c>
      <c r="B172" s="308">
        <f t="shared" si="5"/>
        <v>45192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Jun</v>
      </c>
      <c r="B173" s="308">
        <f t="shared" si="5"/>
        <v>45193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Jun</v>
      </c>
      <c r="B174" s="308">
        <f t="shared" si="5"/>
        <v>45194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Jun</v>
      </c>
      <c r="B175" s="308">
        <f t="shared" si="5"/>
        <v>45195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Jun</v>
      </c>
      <c r="B176" s="308">
        <f t="shared" si="5"/>
        <v>45196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Jun</v>
      </c>
      <c r="B177" s="308">
        <f t="shared" si="5"/>
        <v>45197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Jun</v>
      </c>
      <c r="B178" s="308">
        <f t="shared" si="5"/>
        <v>45198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Jun</v>
      </c>
      <c r="B179" s="308">
        <f t="shared" si="5"/>
        <v>45199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Jun</v>
      </c>
      <c r="B180" s="308">
        <f t="shared" si="5"/>
        <v>45200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Jun</v>
      </c>
      <c r="B181" s="308">
        <f t="shared" si="5"/>
        <v>45201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Jul</v>
      </c>
      <c r="B182" s="308">
        <f t="shared" si="5"/>
        <v>45202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Jul</v>
      </c>
      <c r="B183" s="308">
        <f t="shared" si="5"/>
        <v>45203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Jul</v>
      </c>
      <c r="B184" s="308">
        <f t="shared" si="5"/>
        <v>45204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Jul</v>
      </c>
      <c r="B185" s="321">
        <f t="shared" si="5"/>
        <v>45205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Jul</v>
      </c>
      <c r="B186" s="308">
        <f t="shared" si="5"/>
        <v>45206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Jul</v>
      </c>
      <c r="B187" s="308">
        <f t="shared" si="5"/>
        <v>45207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Jul</v>
      </c>
      <c r="B188" s="308">
        <f t="shared" si="5"/>
        <v>45208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Jul</v>
      </c>
      <c r="B189" s="308">
        <f t="shared" si="5"/>
        <v>45209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Jul</v>
      </c>
      <c r="B190" s="308">
        <f t="shared" si="5"/>
        <v>45210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Jul</v>
      </c>
      <c r="B191" s="308">
        <f t="shared" si="5"/>
        <v>45211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Jul</v>
      </c>
      <c r="B192" s="308">
        <f t="shared" si="5"/>
        <v>45212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Jul</v>
      </c>
      <c r="B193" s="308">
        <f t="shared" si="5"/>
        <v>45213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Jul</v>
      </c>
      <c r="B194" s="308">
        <f t="shared" si="5"/>
        <v>45214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TEXT(DATE(YEAR(B$2),MONTH(B$2)+(D195-1)+9,1),"Mmm")</f>
        <v>Jul</v>
      </c>
      <c r="B195" s="308">
        <f t="shared" si="5"/>
        <v>45215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Jul</v>
      </c>
      <c r="B196" s="308">
        <f t="shared" ref="B196:B259" si="7">B195+1</f>
        <v>45216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Jul</v>
      </c>
      <c r="B197" s="308">
        <f t="shared" si="7"/>
        <v>45217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Jul</v>
      </c>
      <c r="B198" s="308">
        <f t="shared" si="7"/>
        <v>45218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Jul</v>
      </c>
      <c r="B199" s="308">
        <f t="shared" si="7"/>
        <v>45219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Jul</v>
      </c>
      <c r="B200" s="308">
        <f t="shared" si="7"/>
        <v>45220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Jul</v>
      </c>
      <c r="B201" s="308">
        <f t="shared" si="7"/>
        <v>45221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Jul</v>
      </c>
      <c r="B202" s="308">
        <f t="shared" si="7"/>
        <v>45222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Jul</v>
      </c>
      <c r="B203" s="308">
        <f t="shared" si="7"/>
        <v>45223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Jul</v>
      </c>
      <c r="B204" s="308">
        <f t="shared" si="7"/>
        <v>45224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Jul</v>
      </c>
      <c r="B205" s="308">
        <f t="shared" si="7"/>
        <v>45225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Jul</v>
      </c>
      <c r="B206" s="308">
        <f t="shared" si="7"/>
        <v>45226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Jul</v>
      </c>
      <c r="B207" s="308">
        <f t="shared" si="7"/>
        <v>45227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Jul</v>
      </c>
      <c r="B208" s="308">
        <f t="shared" si="7"/>
        <v>45228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Jul</v>
      </c>
      <c r="B209" s="308">
        <f t="shared" si="7"/>
        <v>45229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Aug</v>
      </c>
      <c r="B210" s="308">
        <f t="shared" si="7"/>
        <v>45230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Aug</v>
      </c>
      <c r="B211" s="308">
        <f t="shared" si="7"/>
        <v>45231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Aug</v>
      </c>
      <c r="B212" s="308">
        <f t="shared" si="7"/>
        <v>45232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Aug</v>
      </c>
      <c r="B213" s="308">
        <f t="shared" si="7"/>
        <v>45233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Aug</v>
      </c>
      <c r="B214" s="308">
        <f t="shared" si="7"/>
        <v>45234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Aug</v>
      </c>
      <c r="B215" s="308">
        <f t="shared" si="7"/>
        <v>45235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Aug</v>
      </c>
      <c r="B216" s="321">
        <f t="shared" si="7"/>
        <v>45236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Aug</v>
      </c>
      <c r="B217" s="308">
        <f t="shared" si="7"/>
        <v>45237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Aug</v>
      </c>
      <c r="B218" s="308">
        <f t="shared" si="7"/>
        <v>45238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Aug</v>
      </c>
      <c r="B219" s="308">
        <f t="shared" si="7"/>
        <v>45239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Aug</v>
      </c>
      <c r="B220" s="308">
        <f t="shared" si="7"/>
        <v>45240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Aug</v>
      </c>
      <c r="B221" s="308">
        <f t="shared" si="7"/>
        <v>45241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Aug</v>
      </c>
      <c r="B222" s="308">
        <f t="shared" si="7"/>
        <v>45242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Aug</v>
      </c>
      <c r="B223" s="308">
        <f t="shared" si="7"/>
        <v>45243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Aug</v>
      </c>
      <c r="B224" s="308">
        <f t="shared" si="7"/>
        <v>45244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Aug</v>
      </c>
      <c r="B225" s="308">
        <f t="shared" si="7"/>
        <v>45245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Aug</v>
      </c>
      <c r="B226" s="308">
        <f t="shared" si="7"/>
        <v>45246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Aug</v>
      </c>
      <c r="B227" s="308">
        <f t="shared" si="7"/>
        <v>45247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Aug</v>
      </c>
      <c r="B228" s="308">
        <f t="shared" si="7"/>
        <v>45248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Aug</v>
      </c>
      <c r="B229" s="308">
        <f t="shared" si="7"/>
        <v>45249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Aug</v>
      </c>
      <c r="B230" s="308">
        <f t="shared" si="7"/>
        <v>45250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Aug</v>
      </c>
      <c r="B231" s="308">
        <f t="shared" si="7"/>
        <v>45251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Aug</v>
      </c>
      <c r="B232" s="308">
        <f t="shared" si="7"/>
        <v>45252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Aug</v>
      </c>
      <c r="B233" s="308">
        <f t="shared" si="7"/>
        <v>45253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Aug</v>
      </c>
      <c r="B234" s="308">
        <f t="shared" si="7"/>
        <v>45254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Aug</v>
      </c>
      <c r="B235" s="308">
        <f t="shared" si="7"/>
        <v>45255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Aug</v>
      </c>
      <c r="B236" s="308">
        <f t="shared" si="7"/>
        <v>45256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Aug</v>
      </c>
      <c r="B237" s="308">
        <f t="shared" si="7"/>
        <v>45257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Sep</v>
      </c>
      <c r="B238" s="308">
        <f t="shared" si="7"/>
        <v>45258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Sep</v>
      </c>
      <c r="B239" s="308">
        <f t="shared" si="7"/>
        <v>45259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Sep</v>
      </c>
      <c r="B240" s="308">
        <f t="shared" si="7"/>
        <v>45260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Sep</v>
      </c>
      <c r="B241" s="308">
        <f t="shared" si="7"/>
        <v>45261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Sep</v>
      </c>
      <c r="B242" s="308">
        <f t="shared" si="7"/>
        <v>45262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Sep</v>
      </c>
      <c r="B243" s="308">
        <f t="shared" si="7"/>
        <v>45263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Sep</v>
      </c>
      <c r="B244" s="308">
        <f t="shared" si="7"/>
        <v>45264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Sep</v>
      </c>
      <c r="B245" s="308">
        <f t="shared" si="7"/>
        <v>45265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Sep</v>
      </c>
      <c r="B246" s="321">
        <f t="shared" si="7"/>
        <v>45266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Sep</v>
      </c>
      <c r="B247" s="308">
        <f t="shared" si="7"/>
        <v>45267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Sep</v>
      </c>
      <c r="B248" s="308">
        <f t="shared" si="7"/>
        <v>45268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Sep</v>
      </c>
      <c r="B249" s="308">
        <f t="shared" si="7"/>
        <v>45269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Sep</v>
      </c>
      <c r="B250" s="308">
        <f t="shared" si="7"/>
        <v>45270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Sep</v>
      </c>
      <c r="B251" s="308">
        <f t="shared" si="7"/>
        <v>45271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Sep</v>
      </c>
      <c r="B252" s="308">
        <f t="shared" si="7"/>
        <v>45272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Sep</v>
      </c>
      <c r="B253" s="308">
        <f t="shared" si="7"/>
        <v>45273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Sep</v>
      </c>
      <c r="B254" s="308">
        <f t="shared" si="7"/>
        <v>45274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Sep</v>
      </c>
      <c r="B255" s="308">
        <f t="shared" si="7"/>
        <v>45275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Sep</v>
      </c>
      <c r="B256" s="308">
        <f t="shared" si="7"/>
        <v>45276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Sep</v>
      </c>
      <c r="B257" s="308">
        <f t="shared" si="7"/>
        <v>45277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Sep</v>
      </c>
      <c r="B258" s="308">
        <f t="shared" si="7"/>
        <v>45278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TEXT(DATE(YEAR(B$2),MONTH(B$2)+(D259-1)+9,1),"Mmm")</f>
        <v>Sep</v>
      </c>
      <c r="B259" s="308">
        <f t="shared" si="7"/>
        <v>45279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Sep</v>
      </c>
      <c r="B260" s="308">
        <f t="shared" ref="B260:B323" si="9">B259+1</f>
        <v>45280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Sep</v>
      </c>
      <c r="B261" s="308">
        <f t="shared" si="9"/>
        <v>45281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Sep</v>
      </c>
      <c r="B262" s="308">
        <f t="shared" si="9"/>
        <v>45282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Sep</v>
      </c>
      <c r="B263" s="308">
        <f t="shared" si="9"/>
        <v>45283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Sep</v>
      </c>
      <c r="B264" s="308">
        <f t="shared" si="9"/>
        <v>45284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Sep</v>
      </c>
      <c r="B265" s="308">
        <f t="shared" si="9"/>
        <v>45285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Sep</v>
      </c>
      <c r="B266" s="308">
        <f t="shared" si="9"/>
        <v>45286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Sep</v>
      </c>
      <c r="B267" s="308">
        <f t="shared" si="9"/>
        <v>45287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Sep</v>
      </c>
      <c r="B268" s="308">
        <f t="shared" si="9"/>
        <v>45288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Sep</v>
      </c>
      <c r="B269" s="308">
        <f t="shared" si="9"/>
        <v>45289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Sep</v>
      </c>
      <c r="B270" s="308">
        <f t="shared" si="9"/>
        <v>45290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Sep</v>
      </c>
      <c r="B271" s="308">
        <f t="shared" si="9"/>
        <v>45291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Sep</v>
      </c>
      <c r="B272" s="308">
        <f t="shared" si="9"/>
        <v>45292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Oct</v>
      </c>
      <c r="B273" s="308">
        <f t="shared" si="9"/>
        <v>45293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Oct</v>
      </c>
      <c r="B274" s="308">
        <f t="shared" si="9"/>
        <v>45294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Oct</v>
      </c>
      <c r="B275" s="308">
        <f t="shared" si="9"/>
        <v>45295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Oct</v>
      </c>
      <c r="B276" s="321">
        <f t="shared" si="9"/>
        <v>45296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Oct</v>
      </c>
      <c r="B277" s="321">
        <f t="shared" si="9"/>
        <v>45297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Oct</v>
      </c>
      <c r="B278" s="308">
        <f t="shared" si="9"/>
        <v>45298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Oct</v>
      </c>
      <c r="B279" s="308">
        <f t="shared" si="9"/>
        <v>45299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Oct</v>
      </c>
      <c r="B280" s="308">
        <f t="shared" si="9"/>
        <v>45300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Oct</v>
      </c>
      <c r="B281" s="308">
        <f t="shared" si="9"/>
        <v>45301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Oct</v>
      </c>
      <c r="B282" s="308">
        <f t="shared" si="9"/>
        <v>45302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Oct</v>
      </c>
      <c r="B283" s="308">
        <f t="shared" si="9"/>
        <v>45303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Oct</v>
      </c>
      <c r="B284" s="308">
        <f t="shared" si="9"/>
        <v>45304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Oct</v>
      </c>
      <c r="B285" s="308">
        <f t="shared" si="9"/>
        <v>45305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Oct</v>
      </c>
      <c r="B286" s="308">
        <f t="shared" si="9"/>
        <v>45306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Oct</v>
      </c>
      <c r="B287" s="308">
        <f t="shared" si="9"/>
        <v>45307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Oct</v>
      </c>
      <c r="B288" s="308">
        <f t="shared" si="9"/>
        <v>45308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Oct</v>
      </c>
      <c r="B289" s="308">
        <f t="shared" si="9"/>
        <v>45309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Oct</v>
      </c>
      <c r="B290" s="308">
        <f t="shared" si="9"/>
        <v>45310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Oct</v>
      </c>
      <c r="B291" s="308">
        <f t="shared" si="9"/>
        <v>45311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Oct</v>
      </c>
      <c r="B292" s="308">
        <f t="shared" si="9"/>
        <v>45312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Oct</v>
      </c>
      <c r="B293" s="308">
        <f t="shared" si="9"/>
        <v>45313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Oct</v>
      </c>
      <c r="B294" s="308">
        <f t="shared" si="9"/>
        <v>45314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Oct</v>
      </c>
      <c r="B295" s="308">
        <f t="shared" si="9"/>
        <v>45315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Oct</v>
      </c>
      <c r="B296" s="308">
        <f t="shared" si="9"/>
        <v>45316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Oct</v>
      </c>
      <c r="B297" s="308">
        <f t="shared" si="9"/>
        <v>45317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Oct</v>
      </c>
      <c r="B298" s="308">
        <f t="shared" si="9"/>
        <v>45318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Oct</v>
      </c>
      <c r="B299" s="308">
        <f t="shared" si="9"/>
        <v>45319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Oct</v>
      </c>
      <c r="B300" s="308">
        <f t="shared" si="9"/>
        <v>45320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Nov</v>
      </c>
      <c r="B301" s="308">
        <f t="shared" si="9"/>
        <v>45321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Nov</v>
      </c>
      <c r="B302" s="308">
        <f t="shared" si="9"/>
        <v>45322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Nov</v>
      </c>
      <c r="B303" s="308">
        <f t="shared" si="9"/>
        <v>45323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Nov</v>
      </c>
      <c r="B304" s="308">
        <f t="shared" si="9"/>
        <v>45324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Nov</v>
      </c>
      <c r="B305" s="308">
        <f t="shared" si="9"/>
        <v>45325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Nov</v>
      </c>
      <c r="B306" s="308">
        <f t="shared" si="9"/>
        <v>45326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Nov</v>
      </c>
      <c r="B307" s="308">
        <f t="shared" si="9"/>
        <v>45327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Nov</v>
      </c>
      <c r="B308" s="321">
        <f t="shared" si="9"/>
        <v>45328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Nov</v>
      </c>
      <c r="B309" s="308">
        <f t="shared" si="9"/>
        <v>45329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Nov</v>
      </c>
      <c r="B310" s="308">
        <f t="shared" si="9"/>
        <v>45330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Nov</v>
      </c>
      <c r="B311" s="308">
        <f t="shared" si="9"/>
        <v>45331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Nov</v>
      </c>
      <c r="B312" s="308">
        <f t="shared" si="9"/>
        <v>45332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Nov</v>
      </c>
      <c r="B313" s="308">
        <f t="shared" si="9"/>
        <v>45333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Nov</v>
      </c>
      <c r="B314" s="308">
        <f t="shared" si="9"/>
        <v>45334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Nov</v>
      </c>
      <c r="B315" s="308">
        <f t="shared" si="9"/>
        <v>45335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Nov</v>
      </c>
      <c r="B316" s="308">
        <f t="shared" si="9"/>
        <v>45336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Nov</v>
      </c>
      <c r="B317" s="308">
        <f t="shared" si="9"/>
        <v>45337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Nov</v>
      </c>
      <c r="B318" s="308">
        <f t="shared" si="9"/>
        <v>45338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Nov</v>
      </c>
      <c r="B319" s="308">
        <f t="shared" si="9"/>
        <v>45339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Nov</v>
      </c>
      <c r="B320" s="308">
        <f t="shared" si="9"/>
        <v>45340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Nov</v>
      </c>
      <c r="B321" s="308">
        <f t="shared" si="9"/>
        <v>45341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Nov</v>
      </c>
      <c r="B322" s="308">
        <f t="shared" si="9"/>
        <v>45342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TEXT(DATE(YEAR(B$2),MONTH(B$2)+(D323-1)+9,1),"Mmm")</f>
        <v>Nov</v>
      </c>
      <c r="B323" s="308">
        <f t="shared" si="9"/>
        <v>45343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Nov</v>
      </c>
      <c r="B324" s="308">
        <f t="shared" ref="B324:B381" si="11">B323+1</f>
        <v>45344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Nov</v>
      </c>
      <c r="B325" s="308">
        <f t="shared" si="11"/>
        <v>45345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Nov</v>
      </c>
      <c r="B326" s="308">
        <f t="shared" si="11"/>
        <v>45346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Nov</v>
      </c>
      <c r="B327" s="308">
        <f t="shared" si="11"/>
        <v>45347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Nov</v>
      </c>
      <c r="B328" s="308">
        <f t="shared" si="11"/>
        <v>45348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Dec</v>
      </c>
      <c r="B329" s="308">
        <f t="shared" si="11"/>
        <v>45349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Dec</v>
      </c>
      <c r="B330" s="308">
        <f t="shared" si="11"/>
        <v>45350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Dec</v>
      </c>
      <c r="B331" s="308">
        <f t="shared" si="11"/>
        <v>45351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Dec</v>
      </c>
      <c r="B332" s="308">
        <f t="shared" si="11"/>
        <v>45352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Dec</v>
      </c>
      <c r="B333" s="308">
        <f t="shared" si="11"/>
        <v>45353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Dec</v>
      </c>
      <c r="B334" s="308">
        <f t="shared" si="11"/>
        <v>45354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Dec</v>
      </c>
      <c r="B335" s="308">
        <f t="shared" si="11"/>
        <v>45355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Dec</v>
      </c>
      <c r="B336" s="321">
        <f t="shared" si="11"/>
        <v>45356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Dec</v>
      </c>
      <c r="B337" s="308">
        <f t="shared" si="11"/>
        <v>45357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Dec</v>
      </c>
      <c r="B338" s="308">
        <f t="shared" si="11"/>
        <v>45358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Dec</v>
      </c>
      <c r="B339" s="308">
        <f t="shared" si="11"/>
        <v>45359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Dec</v>
      </c>
      <c r="B340" s="308">
        <f t="shared" si="11"/>
        <v>45360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Dec</v>
      </c>
      <c r="B341" s="308">
        <f t="shared" si="11"/>
        <v>45361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Dec</v>
      </c>
      <c r="B342" s="308">
        <f t="shared" si="11"/>
        <v>45362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Dec</v>
      </c>
      <c r="B343" s="308">
        <f t="shared" si="11"/>
        <v>45363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Dec</v>
      </c>
      <c r="B344" s="308">
        <f t="shared" si="11"/>
        <v>45364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Dec</v>
      </c>
      <c r="B345" s="308">
        <f t="shared" si="11"/>
        <v>45365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Dec</v>
      </c>
      <c r="B346" s="308">
        <f t="shared" si="11"/>
        <v>45366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Dec</v>
      </c>
      <c r="B347" s="308">
        <f t="shared" si="11"/>
        <v>45367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Dec</v>
      </c>
      <c r="B348" s="308">
        <f t="shared" si="11"/>
        <v>45368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Dec</v>
      </c>
      <c r="B349" s="308">
        <f t="shared" si="11"/>
        <v>45369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Dec</v>
      </c>
      <c r="B350" s="308">
        <f t="shared" si="11"/>
        <v>45370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Dec</v>
      </c>
      <c r="B351" s="308">
        <f t="shared" si="11"/>
        <v>45371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Dec</v>
      </c>
      <c r="B352" s="308">
        <f t="shared" si="11"/>
        <v>45372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Dec</v>
      </c>
      <c r="B353" s="308">
        <f t="shared" si="11"/>
        <v>45373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Dec</v>
      </c>
      <c r="B354" s="308">
        <f t="shared" si="11"/>
        <v>45374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Dec</v>
      </c>
      <c r="B355" s="308">
        <f t="shared" si="11"/>
        <v>45375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Dec</v>
      </c>
      <c r="B356" s="308">
        <f t="shared" si="11"/>
        <v>45376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Dec</v>
      </c>
      <c r="B357" s="308">
        <f t="shared" si="11"/>
        <v>45377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Dec</v>
      </c>
      <c r="B358" s="308">
        <f t="shared" si="11"/>
        <v>45378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Dec</v>
      </c>
      <c r="B359" s="308">
        <f t="shared" si="11"/>
        <v>45379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Dec</v>
      </c>
      <c r="B360" s="308">
        <f t="shared" si="11"/>
        <v>45380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Dec</v>
      </c>
      <c r="B361" s="308">
        <f t="shared" si="11"/>
        <v>45381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Dec</v>
      </c>
      <c r="B362" s="308">
        <f t="shared" si="11"/>
        <v>45382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Dec</v>
      </c>
      <c r="B363" s="308">
        <f t="shared" si="11"/>
        <v>45383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Dec</v>
      </c>
      <c r="B364" s="308">
        <f t="shared" si="11"/>
        <v>45384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Dec</v>
      </c>
      <c r="B365" s="308">
        <f t="shared" si="11"/>
        <v>45385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Dec</v>
      </c>
      <c r="B366" s="308">
        <f t="shared" si="11"/>
        <v>45386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Dec</v>
      </c>
      <c r="B367" s="308">
        <f t="shared" si="11"/>
        <v>45387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Dec</v>
      </c>
      <c r="B368" s="308">
        <f t="shared" si="11"/>
        <v>45388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Dec</v>
      </c>
      <c r="B369" s="308">
        <f t="shared" si="11"/>
        <v>45389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Dec</v>
      </c>
      <c r="B370" s="308">
        <f t="shared" si="11"/>
        <v>45390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Dec</v>
      </c>
      <c r="B371" s="308">
        <f t="shared" si="11"/>
        <v>45391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Dec</v>
      </c>
      <c r="B372" s="308">
        <f t="shared" si="11"/>
        <v>45392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Dec</v>
      </c>
      <c r="B373" s="308">
        <f t="shared" si="11"/>
        <v>45393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Dec</v>
      </c>
      <c r="B374" s="308">
        <f t="shared" si="11"/>
        <v>45394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Dec</v>
      </c>
      <c r="B375" s="308">
        <f t="shared" si="11"/>
        <v>45395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Dec</v>
      </c>
      <c r="B376" s="308">
        <f t="shared" si="11"/>
        <v>45396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Dec</v>
      </c>
      <c r="B377" s="308">
        <f t="shared" si="11"/>
        <v>45397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Dec</v>
      </c>
      <c r="B378" s="308">
        <f t="shared" si="11"/>
        <v>45398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Dec</v>
      </c>
      <c r="B379" s="308">
        <f t="shared" si="11"/>
        <v>45399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Dec</v>
      </c>
      <c r="B380" s="308">
        <f t="shared" si="11"/>
        <v>45400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Dec</v>
      </c>
      <c r="B381" s="308">
        <f t="shared" si="11"/>
        <v>45401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