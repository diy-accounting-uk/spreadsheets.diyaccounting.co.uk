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<sst xmlns="http://schemas.openxmlformats.org/spreadsheetml/2006/main" count="1383" uniqueCount="138">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</sst>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45387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45025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45026</v>
      </c>
      <c r="L19" s="200" t="s">
        <v>76</v>
      </c>
      <c r="M19" s="202">
        <f>K19+6</f>
        <v>45032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45033</v>
      </c>
      <c r="L29" s="200" t="s">
        <v>76</v>
      </c>
      <c r="M29" s="202">
        <f>K29+6</f>
        <v>45039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45040</v>
      </c>
      <c r="L39" s="200" t="s">
        <v>76</v>
      </c>
      <c r="M39" s="202">
        <f>K39+6</f>
        <v>45046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DATE(2023,1,1)</f>
        <v>44927</v>
      </c>
      <c r="L49" s="203" t="s">
        <v>76</v>
      </c>
      <c r="M49" s="205">
        <f>DATE(2023,1,31)</f>
        <v>44957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45047</v>
      </c>
      <c r="L9" s="203" t="s">
        <v>76</v>
      </c>
      <c r="M9" s="205">
        <f>K9+6</f>
        <v>45053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45054</v>
      </c>
      <c r="L19" s="203" t="s">
        <v>76</v>
      </c>
      <c r="M19" s="205">
        <f>K19+6</f>
        <v>45060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45061</v>
      </c>
      <c r="L29" s="203" t="s">
        <v>76</v>
      </c>
      <c r="M29" s="205">
        <f>K29+6</f>
        <v>45067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45068</v>
      </c>
      <c r="L39" s="203" t="s">
        <v>76</v>
      </c>
      <c r="M39" s="205">
        <f>K39+6</f>
        <v>45074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DATE(2023,2,1)</f>
        <v>44958</v>
      </c>
      <c r="L49" s="203" t="s">
        <v>76</v>
      </c>
      <c r="M49" s="205">
        <f>DATE(2023,2,28)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45075</v>
      </c>
      <c r="L9" s="203" t="s">
        <v>76</v>
      </c>
      <c r="M9" s="205">
        <f>K9+6</f>
        <v>45081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45082</v>
      </c>
      <c r="L19" s="203" t="s">
        <v>76</v>
      </c>
      <c r="M19" s="205">
        <f>K19+6</f>
        <v>45088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45089</v>
      </c>
      <c r="L29" s="203" t="s">
        <v>76</v>
      </c>
      <c r="M29" s="205">
        <f>K29+6</f>
        <v>45095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45096</v>
      </c>
      <c r="L39" s="203" t="s">
        <v>76</v>
      </c>
      <c r="M39" s="205">
        <f>K39+6</f>
        <v>45102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45103</v>
      </c>
      <c r="L49" s="203" t="s">
        <v>76</v>
      </c>
      <c r="M49" s="205">
        <f>K49+6</f>
        <v>45109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DATE(2023,3,1)</f>
        <v>44986</v>
      </c>
      <c r="L59" s="203" t="s">
        <v>76</v>
      </c>
      <c r="M59" s="205">
        <f>DATE(2023,3,31)</f>
        <v>45016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45117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45118</v>
      </c>
      <c r="L19" s="203" t="s">
        <v>76</v>
      </c>
      <c r="M19" s="205">
        <f>K19+6</f>
        <v>45124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45125</v>
      </c>
      <c r="L29" s="203" t="s">
        <v>76</v>
      </c>
      <c r="M29" s="205">
        <f>K29+6</f>
        <v>45131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45132</v>
      </c>
      <c r="L39" s="203" t="s">
        <v>76</v>
      </c>
      <c r="M39" s="205">
        <f>K39+6</f>
        <v>45138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DATE(2023,4,1)</f>
        <v>45017</v>
      </c>
      <c r="L49" s="203" t="s">
        <v>76</v>
      </c>
      <c r="M49" s="205">
        <f>DATE(2023,4,30)</f>
        <v>45046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45145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45146</v>
      </c>
      <c r="L19" s="203" t="s">
        <v>76</v>
      </c>
      <c r="M19" s="205">
        <f>K19+6</f>
        <v>45152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45153</v>
      </c>
      <c r="L29" s="203" t="s">
        <v>76</v>
      </c>
      <c r="M29" s="205">
        <f>K29+6</f>
        <v>45159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45160</v>
      </c>
      <c r="L39" s="203" t="s">
        <v>76</v>
      </c>
      <c r="M39" s="205">
        <f>K39+6</f>
        <v>45166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45167</v>
      </c>
      <c r="L9" s="203" t="s">
        <v>76</v>
      </c>
      <c r="M9" s="205">
        <f>K9+6</f>
        <v>45173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45174</v>
      </c>
      <c r="L19" s="203" t="s">
        <v>76</v>
      </c>
      <c r="M19" s="205">
        <f>K19+6</f>
        <v>45180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45181</v>
      </c>
      <c r="L29" s="203" t="s">
        <v>76</v>
      </c>
      <c r="M29" s="205">
        <f>K29+6</f>
        <v>45187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45188</v>
      </c>
      <c r="L39" s="203" t="s">
        <v>76</v>
      </c>
      <c r="M39" s="205">
        <f>K39+6</f>
        <v>45194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45201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DATE(2023,6,1)</f>
        <v>45078</v>
      </c>
      <c r="L59" s="203" t="s">
        <v>76</v>
      </c>
      <c r="M59" s="205">
        <f>DATE(2023,6,30)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45209</v>
      </c>
      <c r="L19" s="203" t="s">
        <v>76</v>
      </c>
      <c r="M19" s="205">
        <f>K19+6</f>
        <v>45215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45216</v>
      </c>
      <c r="L29" s="203" t="s">
        <v>76</v>
      </c>
      <c r="M29" s="205">
        <f>K29+6</f>
        <v>45222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45223</v>
      </c>
      <c r="L39" s="203" t="s">
        <v>76</v>
      </c>
      <c r="M39" s="205">
        <f>K39+6</f>
        <v>45229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45236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45237</v>
      </c>
      <c r="L19" s="203" t="s">
        <v>76</v>
      </c>
      <c r="M19" s="205">
        <f>K19+6</f>
        <v>45243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45244</v>
      </c>
      <c r="L29" s="203" t="s">
        <v>76</v>
      </c>
      <c r="M29" s="205">
        <f>K29+6</f>
        <v>45250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45251</v>
      </c>
      <c r="L39" s="203" t="s">
        <v>76</v>
      </c>
      <c r="M39" s="205">
        <f>K39+6</f>
        <v>45257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45258</v>
      </c>
      <c r="L9" s="203" t="s">
        <v>76</v>
      </c>
      <c r="M9" s="205">
        <f>K9+6</f>
        <v>45264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45265</v>
      </c>
      <c r="L19" s="203" t="s">
        <v>76</v>
      </c>
      <c r="M19" s="205">
        <f>K19+6</f>
        <v>45271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45272</v>
      </c>
      <c r="L29" s="203" t="s">
        <v>76</v>
      </c>
      <c r="M29" s="205">
        <f>K29+6</f>
        <v>45278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45279</v>
      </c>
      <c r="L39" s="203" t="s">
        <v>76</v>
      </c>
      <c r="M39" s="205">
        <f>K39+6</f>
        <v>45285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45286</v>
      </c>
      <c r="L49" s="203" t="s">
        <v>76</v>
      </c>
      <c r="M49" s="205">
        <f>K49+6</f>
        <v>45292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DATE(2023,9,1)</f>
        <v>45170</v>
      </c>
      <c r="L59" s="203" t="s">
        <v>76</v>
      </c>
      <c r="M59" s="205">
        <f>DATE(2023,9,30)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45293</v>
      </c>
      <c r="L9" s="203" t="s">
        <v>76</v>
      </c>
      <c r="M9" s="205">
        <f>K9+6</f>
        <v>45299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45300</v>
      </c>
      <c r="L19" s="203" t="s">
        <v>76</v>
      </c>
      <c r="M19" s="205">
        <f>K19+6</f>
        <v>45306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45307</v>
      </c>
      <c r="L29" s="203" t="s">
        <v>76</v>
      </c>
      <c r="M29" s="205">
        <f>K29+6</f>
        <v>45313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45314</v>
      </c>
      <c r="L39" s="203" t="s">
        <v>76</v>
      </c>
      <c r="M39" s="205">
        <f>K39+6</f>
        <v>45320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45321</v>
      </c>
      <c r="L9" s="203" t="s">
        <v>76</v>
      </c>
      <c r="M9" s="205">
        <f>K9+6</f>
        <v>45327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45328</v>
      </c>
      <c r="L19" s="203" t="s">
        <v>76</v>
      </c>
      <c r="M19" s="205">
        <f>K19+6</f>
        <v>45334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45335</v>
      </c>
      <c r="L29" s="203" t="s">
        <v>76</v>
      </c>
      <c r="M29" s="205">
        <f>K29+6</f>
        <v>45341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45342</v>
      </c>
      <c r="L39" s="203" t="s">
        <v>76</v>
      </c>
      <c r="M39" s="205">
        <f>K39+6</f>
        <v>45348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45349</v>
      </c>
      <c r="L9" s="203" t="s">
        <v>76</v>
      </c>
      <c r="M9" s="205">
        <f>K9+6</f>
        <v>45355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45356</v>
      </c>
      <c r="L19" s="203" t="s">
        <v>76</v>
      </c>
      <c r="M19" s="205">
        <f>K19+6</f>
        <v>45362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45363</v>
      </c>
      <c r="L29" s="203" t="s">
        <v>76</v>
      </c>
      <c r="M29" s="205">
        <f>K29+6</f>
        <v>45369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45370</v>
      </c>
      <c r="L39" s="203" t="s">
        <v>76</v>
      </c>
      <c r="M39" s="205">
        <f>K39+6</f>
        <v>45376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45377</v>
      </c>
      <c r="L49" s="203" t="s">
        <v>76</v>
      </c>
      <c r="M49" s="205">
        <f>K49+6</f>
        <v>45383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45384</v>
      </c>
      <c r="L59" s="203" t="s">
        <v>76</v>
      </c>
      <c r="M59" s="205">
        <f>K59+4</f>
        <v>45388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DATE(2023,12,1)</f>
        <v>45261</v>
      </c>
      <c r="L69" s="203" t="s">
        <v>76</v>
      </c>
      <c r="M69" s="205">
        <f>DATE(2023,12,31)</f>
        <v>45291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45025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45025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45025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45025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45025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DATE(2023,4,30)</f>
        <v>45046</v>
      </c>
      <c r="C4" s="229">
        <f>DATE(2023,5,19)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2401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DATE(2023,5,31)</f>
        <v>45077</v>
      </c>
      <c r="C5" s="229">
        <f>DATE(2023,6,19)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2402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DATE(2023,6,30)</f>
        <v>45107</v>
      </c>
      <c r="C6" s="229">
        <f>DATE(2023,7,19)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2403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DATE(2023,7,31)</f>
        <v>45138</v>
      </c>
      <c r="C7" s="229">
        <f>DATE(2023,8,19)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2404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DATE(2023,8,31)</f>
        <v>45169</v>
      </c>
      <c r="C8" s="229">
        <f>DATE(2023,9,19)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2405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DATE(2023,9,30)</f>
        <v>45199</v>
      </c>
      <c r="C9" s="229">
        <f>DATE(2023,10,19)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2406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DATE(2023,10,31)</f>
        <v>45230</v>
      </c>
      <c r="C10" s="229">
        <f>DATE(2023,11,19)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2407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DATE(2023,11,30)</f>
        <v>45260</v>
      </c>
      <c r="C11" s="229">
        <f>DATE(2023,12,19)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2408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DATE(2023,12,31)</f>
        <v>45291</v>
      </c>
      <c r="C12" s="229">
        <f>DATE(2024,1,19)</f>
        <v>45310</v>
      </c>
      <c r="D12" s="227">
        <f>Dec!T1+Dec!O1</f>
        <v>0</v>
      </c>
      <c r="E12" s="228">
        <f>Dec!N1</f>
        <v>0</v>
      </c>
      <c r="F12" s="228">
        <f>Dec!AD80+Dec!AE80+Dec!AF80+Dec!AG80</f>
        <v>0</v>
      </c>
      <c r="G12" s="228">
        <f>Dec!AE82+Dec!AF82+Dec!AG82</f>
        <v>0</v>
      </c>
      <c r="H12" s="228">
        <f>Dec!P1</f>
        <v>0</v>
      </c>
      <c r="I12" s="227">
        <f t="shared" si="0"/>
        <v>0</v>
      </c>
      <c r="M12" s="212">
        <f t="shared" si="2"/>
        <v>2409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DATE(2024,1,31)</f>
        <v>45322</v>
      </c>
      <c r="C13" s="229">
        <f>DATE(2024,2,19)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2410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DATE(2024,2,29)</f>
        <v>45351</v>
      </c>
      <c r="C14" s="229">
        <f>DATE(2024,3,19)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2411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DATE(2024,3,31)</f>
        <v>45382</v>
      </c>
      <c r="C15" s="229">
        <f>DATE(2024,4,19)</f>
        <v>45401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2412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45022</v>
      </c>
      <c r="C2" s="309">
        <v>1</v>
      </c>
      <c r="D2" s="309">
        <v>1</v>
      </c>
      <c r="E2" s="310">
        <f>B2</f>
        <v>45022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45386</v>
      </c>
      <c r="C366" s="309">
        <v>53</v>
      </c>
      <c r="D366" s="309">
        <v>12</v>
      </c>
      <c r="E366" s="310">
        <f>B366</f>
        <v>45386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