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<sst xmlns="http://schemas.openxmlformats.org/spreadsheetml/2006/main" count="1383" uniqueCount="138">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</sst>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DATE(2024,11,1)</f>
        <v>45597</v>
      </c>
      <c r="L49" s="203" t="s">
        <v>76</v>
      </c>
      <c r="M49" s="205">
        <f>DATE(2024,11,30)</f>
        <v>45626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DATE(2024,12,1)</f>
        <v>45627</v>
      </c>
      <c r="L49" s="203" t="s">
        <v>76</v>
      </c>
      <c r="M49" s="205">
        <f>DATE(2024,12,31)</f>
        <v>45657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DATE(2025,1,1)</f>
        <v>45658</v>
      </c>
      <c r="L59" s="203" t="s">
        <v>76</v>
      </c>
      <c r="M59" s="205">
        <f>DATE(2025,1,31)</f>
        <v>45688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DATE(2025,2,1)</f>
        <v>45689</v>
      </c>
      <c r="L49" s="203" t="s">
        <v>76</v>
      </c>
      <c r="M49" s="205">
        <f>DATE(2025,2,28)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DATE(2025,3,1)</f>
        <v>45717</v>
      </c>
      <c r="L49" s="203" t="s">
        <v>76</v>
      </c>
      <c r="M49" s="205">
        <f>DATE(2025,3,31)</f>
        <v>45747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DATE(2025,4,1)</f>
        <v>45748</v>
      </c>
      <c r="L59" s="203" t="s">
        <v>76</v>
      </c>
      <c r="M59" s="205">
        <f>DATE(2025,4,30)</f>
        <v>45777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DATE(2025,5,1)</f>
        <v>45778</v>
      </c>
      <c r="L49" s="203" t="s">
        <v>76</v>
      </c>
      <c r="M49" s="205">
        <f>DATE(2025,5,31)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DATE(2025,6,1)</f>
        <v>45809</v>
      </c>
      <c r="L49" s="203" t="s">
        <v>76</v>
      </c>
      <c r="M49" s="205">
        <f>DATE(2025,6,30)</f>
        <v>45838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DATE(2025,7,1)</f>
        <v>45839</v>
      </c>
      <c r="L59" s="203" t="s">
        <v>76</v>
      </c>
      <c r="M59" s="205">
        <f>DATE(2025,7,31)</f>
        <v>45869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DATE(2025,8,1)</f>
        <v>45870</v>
      </c>
      <c r="L49" s="203" t="s">
        <v>76</v>
      </c>
      <c r="M49" s="205">
        <f>DATE(2025,8,31)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DATE(2025,9,1)</f>
        <v>45901</v>
      </c>
      <c r="L49" s="203" t="s">
        <v>76</v>
      </c>
      <c r="M49" s="205">
        <f>DATE(2025,9,30)</f>
        <v>45930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DATE(2025,10,1)</f>
        <v>45931</v>
      </c>
      <c r="L69" s="203" t="s">
        <v>76</v>
      </c>
      <c r="M69" s="205">
        <f>DATE(2025,10,31)</f>
        <v>45961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DATE(2025,4,30)</f>
        <v>45777</v>
      </c>
      <c r="C4" s="229">
        <f>DATE(2025,5,19)</f>
        <v>45796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DATE(2025,5,31)</f>
        <v>45808</v>
      </c>
      <c r="C5" s="229">
        <f>DATE(2025,6,19)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DATE(2025,6,30)</f>
        <v>45838</v>
      </c>
      <c r="C6" s="229">
        <f>DATE(2025,7,19)</f>
        <v>45857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DATE(2025,7,31)</f>
        <v>45869</v>
      </c>
      <c r="C7" s="229">
        <f>DATE(2025,8,19)</f>
        <v>45888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DATE(2025,8,31)</f>
        <v>45900</v>
      </c>
      <c r="C8" s="229">
        <f>DATE(2025,9,19)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DATE(2025,9,30)</f>
        <v>45930</v>
      </c>
      <c r="C9" s="229">
        <f>DATE(2025,10,19)</f>
        <v>45949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DATE(2025,10,31)</f>
        <v>45961</v>
      </c>
      <c r="C10" s="229">
        <f>DATE(2025,11,19)</f>
        <v>45980</v>
      </c>
      <c r="D10" s="227">
        <f>Oct!T1+Oct!O1</f>
        <v>0</v>
      </c>
      <c r="E10" s="228">
        <f>Oct!N1</f>
        <v>0</v>
      </c>
      <c r="F10" s="228">
        <f>Oct!AD80+Oct!AE80+Oct!AF80+Oct!AG80</f>
        <v>0</v>
      </c>
      <c r="G10" s="228">
        <f>Oct!AE82+Oct!AF82+Oct!AG82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DATE(2025,11,30)</f>
        <v>45991</v>
      </c>
      <c r="C11" s="229">
        <f>DATE(2025,12,19)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DATE(2025,12,31)</f>
        <v>46022</v>
      </c>
      <c r="C12" s="229">
        <f>DATE(2026,1,19)</f>
        <v>46041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DATE(2026,1,31)</f>
        <v>46053</v>
      </c>
      <c r="C13" s="229">
        <f>DATE(2026,2,19)</f>
        <v>46072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DATE(2026,2,28)</f>
        <v>46081</v>
      </c>
      <c r="C14" s="229">
        <f>DATE(2026,3,19)</f>
        <v>46100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DATE(2026,3,31)</f>
        <v>46112</v>
      </c>
      <c r="C15" s="229">
        <f>DATE(2026,4,19)</f>
        <v>46131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