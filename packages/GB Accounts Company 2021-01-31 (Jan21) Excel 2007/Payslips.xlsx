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<sst xmlns="http://schemas.openxmlformats.org/spreadsheetml/2006/main" count="1383" uniqueCount="138">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</sst>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44291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43933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43934</v>
      </c>
      <c r="L19" s="200" t="s">
        <v>76</v>
      </c>
      <c r="M19" s="202">
        <f>K19+6</f>
        <v>43940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43941</v>
      </c>
      <c r="L29" s="200" t="s">
        <v>76</v>
      </c>
      <c r="M29" s="202">
        <f>K29+6</f>
        <v>43947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43948</v>
      </c>
      <c r="L39" s="200" t="s">
        <v>76</v>
      </c>
      <c r="M39" s="202">
        <f>K39+6</f>
        <v>43954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DATE(2020,2,1)</f>
        <v>43862</v>
      </c>
      <c r="L49" s="203" t="s">
        <v>76</v>
      </c>
      <c r="M49" s="205">
        <f>DATE(2020,2,29)</f>
        <v>43890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43955</v>
      </c>
      <c r="L9" s="203" t="s">
        <v>76</v>
      </c>
      <c r="M9" s="205">
        <f>K9+6</f>
        <v>43961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43962</v>
      </c>
      <c r="L19" s="203" t="s">
        <v>76</v>
      </c>
      <c r="M19" s="205">
        <f>K19+6</f>
        <v>43968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43969</v>
      </c>
      <c r="L29" s="203" t="s">
        <v>76</v>
      </c>
      <c r="M29" s="205">
        <f>K29+6</f>
        <v>43975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43976</v>
      </c>
      <c r="L39" s="203" t="s">
        <v>76</v>
      </c>
      <c r="M39" s="205">
        <f>K39+6</f>
        <v>43982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DATE(2020,3,1)</f>
        <v>43891</v>
      </c>
      <c r="L49" s="203" t="s">
        <v>76</v>
      </c>
      <c r="M49" s="205">
        <f>DATE(2020,3,31)</f>
        <v>43921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43983</v>
      </c>
      <c r="L9" s="203" t="s">
        <v>76</v>
      </c>
      <c r="M9" s="205">
        <f>K9+6</f>
        <v>43989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43990</v>
      </c>
      <c r="L19" s="203" t="s">
        <v>76</v>
      </c>
      <c r="M19" s="205">
        <f>K19+6</f>
        <v>43996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43997</v>
      </c>
      <c r="L29" s="203" t="s">
        <v>76</v>
      </c>
      <c r="M29" s="205">
        <f>K29+6</f>
        <v>44003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44004</v>
      </c>
      <c r="L39" s="203" t="s">
        <v>76</v>
      </c>
      <c r="M39" s="205">
        <f>K39+6</f>
        <v>44010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44011</v>
      </c>
      <c r="L49" s="203" t="s">
        <v>76</v>
      </c>
      <c r="M49" s="205">
        <f>K49+6</f>
        <v>44017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DATE(2020,4,1)</f>
        <v>43922</v>
      </c>
      <c r="L59" s="203" t="s">
        <v>76</v>
      </c>
      <c r="M59" s="205">
        <f>DATE(2020,4,30)</f>
        <v>43951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44022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44023</v>
      </c>
      <c r="L19" s="203" t="s">
        <v>76</v>
      </c>
      <c r="M19" s="205">
        <f>K19+6</f>
        <v>44029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44030</v>
      </c>
      <c r="L29" s="203" t="s">
        <v>76</v>
      </c>
      <c r="M29" s="205">
        <f>K29+6</f>
        <v>44036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44037</v>
      </c>
      <c r="L39" s="203" t="s">
        <v>76</v>
      </c>
      <c r="M39" s="205">
        <f>K39+6</f>
        <v>44043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DATE(2020,5,1)</f>
        <v>43952</v>
      </c>
      <c r="L49" s="203" t="s">
        <v>76</v>
      </c>
      <c r="M49" s="205">
        <f>DATE(2020,5,31)</f>
        <v>43982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44050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IF(T$9="Y",May!H41,0)</f>
        <v>0</v>
      </c>
      <c r="I12" s="92">
        <f>IF(T$9="Y",May!I41,0)</f>
        <v>0</v>
      </c>
      <c r="J12" s="92">
        <f>IF(T$9="Y",May!J41,0)</f>
        <v>0</v>
      </c>
      <c r="K12" s="92">
        <f>IF(T$9="Y",May!K41,I12*J12)</f>
        <v>0</v>
      </c>
      <c r="L12" s="111">
        <f>IF(T$9="Y",May!L41,0)</f>
        <v>0</v>
      </c>
      <c r="M12" s="111" t="str">
        <f>IF(E12=" "," ",IF(T$9="Y",May!M41,IF((H12+K12+L12)&gt;0,H12+K12+L12,"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IF(T$9="Y",May!H41,0)</f>
        <v>0</v>
      </c>
      <c r="I13" s="92">
        <f>IF(T$9="Y",May!I41,0)</f>
        <v>0</v>
      </c>
      <c r="J13" s="92">
        <f>IF(T$9="Y",May!J41,0)</f>
        <v>0</v>
      </c>
      <c r="K13" s="92">
        <f>IF(T$9="Y",May!K41,I13*J13)</f>
        <v>0</v>
      </c>
      <c r="L13" s="111">
        <f>IF(T$9="Y",May!L41,0)</f>
        <v>0</v>
      </c>
      <c r="M13" s="111" t="str">
        <f>IF(E13=" "," ",IF(T$9="Y",May!M41,IF((H13+K13+L13)&gt;0,H13+K13+L13,"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IF(T$9="Y",May!H41,0)</f>
        <v>0</v>
      </c>
      <c r="I14" s="92">
        <f>IF(T$9="Y",May!I41,0)</f>
        <v>0</v>
      </c>
      <c r="J14" s="92">
        <f>IF(T$9="Y",May!J41,0)</f>
        <v>0</v>
      </c>
      <c r="K14" s="92">
        <f>IF(T$9="Y",May!K41,I14*J14)</f>
        <v>0</v>
      </c>
      <c r="L14" s="111">
        <f>IF(T$9="Y",May!L41,0)</f>
        <v>0</v>
      </c>
      <c r="M14" s="111" t="str">
        <f>IF(E14=" "," ",IF(T$9="Y",May!M41,IF((H14+K14+L14)&gt;0,H14+K14+L14,"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IF(T$9="Y",May!H41,0)</f>
        <v>0</v>
      </c>
      <c r="I15" s="245">
        <f>IF(T$9="Y",May!I41,0)</f>
        <v>0</v>
      </c>
      <c r="J15" s="245">
        <f>IF(T$9="Y",May!J41,0)</f>
        <v>0</v>
      </c>
      <c r="K15" s="245">
        <f>IF(T$9="Y",May!K41,I15*J15)</f>
        <v>0</v>
      </c>
      <c r="L15" s="246">
        <f>IF(T$9="Y",May!L41,0)</f>
        <v>0</v>
      </c>
      <c r="M15" s="246" t="str">
        <f>IF(E15=" "," ",IF(T$9="Y",May!M41,IF((H15+K15+L15)&gt;0,H15+K15+L15,"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44051</v>
      </c>
      <c r="L19" s="203" t="s">
        <v>76</v>
      </c>
      <c r="M19" s="205">
        <f>K19+6</f>
        <v>44057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44058</v>
      </c>
      <c r="L29" s="203" t="s">
        <v>76</v>
      </c>
      <c r="M29" s="205">
        <f>K29+6</f>
        <v>44064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44065</v>
      </c>
      <c r="L39" s="203" t="s">
        <v>76</v>
      </c>
      <c r="M39" s="205">
        <f>K39+6</f>
        <v>44071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DATE(2020,6,1)</f>
        <v>43983</v>
      </c>
      <c r="L49" s="203" t="s">
        <v>76</v>
      </c>
      <c r="M49" s="205">
        <f>DATE(2020,6,30)</f>
        <v>44012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44072</v>
      </c>
      <c r="L9" s="203" t="s">
        <v>76</v>
      </c>
      <c r="M9" s="205">
        <f>K9+6</f>
        <v>44078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44079</v>
      </c>
      <c r="L19" s="203" t="s">
        <v>76</v>
      </c>
      <c r="M19" s="205">
        <f>K19+6</f>
        <v>44085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44086</v>
      </c>
      <c r="L29" s="203" t="s">
        <v>76</v>
      </c>
      <c r="M29" s="205">
        <f>K29+6</f>
        <v>44092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44093</v>
      </c>
      <c r="L39" s="203" t="s">
        <v>76</v>
      </c>
      <c r="M39" s="205">
        <f>K39+6</f>
        <v>44099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44106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DATE(2020,7,1)</f>
        <v>44013</v>
      </c>
      <c r="L59" s="203" t="s">
        <v>76</v>
      </c>
      <c r="M59" s="205">
        <f>DATE(2020,7,31)</f>
        <v>44043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44114</v>
      </c>
      <c r="L19" s="203" t="s">
        <v>76</v>
      </c>
      <c r="M19" s="205">
        <f>K19+6</f>
        <v>44120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44121</v>
      </c>
      <c r="L29" s="203" t="s">
        <v>76</v>
      </c>
      <c r="M29" s="205">
        <f>K29+6</f>
        <v>44127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44128</v>
      </c>
      <c r="L39" s="203" t="s">
        <v>76</v>
      </c>
      <c r="M39" s="205">
        <f>K39+6</f>
        <v>44134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DATE(2020,8,1)</f>
        <v>44044</v>
      </c>
      <c r="L49" s="203" t="s">
        <v>76</v>
      </c>
      <c r="M49" s="205">
        <f>DATE(2020,8,31)</f>
        <v>44074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44141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44142</v>
      </c>
      <c r="L19" s="203" t="s">
        <v>76</v>
      </c>
      <c r="M19" s="205">
        <f>K19+6</f>
        <v>44148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44149</v>
      </c>
      <c r="L29" s="203" t="s">
        <v>76</v>
      </c>
      <c r="M29" s="205">
        <f>K29+6</f>
        <v>44155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44156</v>
      </c>
      <c r="L39" s="203" t="s">
        <v>76</v>
      </c>
      <c r="M39" s="205">
        <f>K39+6</f>
        <v>44162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DATE(2020,9,1)</f>
        <v>44075</v>
      </c>
      <c r="L49" s="203" t="s">
        <v>76</v>
      </c>
      <c r="M49" s="205">
        <f>DATE(2020,9,30)</f>
        <v>44104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44163</v>
      </c>
      <c r="L9" s="203" t="s">
        <v>76</v>
      </c>
      <c r="M9" s="205">
        <f>K9+6</f>
        <v>44169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44170</v>
      </c>
      <c r="L19" s="203" t="s">
        <v>76</v>
      </c>
      <c r="M19" s="205">
        <f>K19+6</f>
        <v>44176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44177</v>
      </c>
      <c r="L29" s="203" t="s">
        <v>76</v>
      </c>
      <c r="M29" s="205">
        <f>K29+6</f>
        <v>44183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44184</v>
      </c>
      <c r="L39" s="203" t="s">
        <v>76</v>
      </c>
      <c r="M39" s="205">
        <f>K39+6</f>
        <v>44190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44191</v>
      </c>
      <c r="L49" s="203" t="s">
        <v>76</v>
      </c>
      <c r="M49" s="205">
        <f>K49+6</f>
        <v>44197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DATE(2020,10,1)</f>
        <v>44105</v>
      </c>
      <c r="L59" s="203" t="s">
        <v>76</v>
      </c>
      <c r="M59" s="205">
        <f>DATE(2020,10,31)</f>
        <v>44135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44198</v>
      </c>
      <c r="L9" s="203" t="s">
        <v>76</v>
      </c>
      <c r="M9" s="205">
        <f>K9+6</f>
        <v>44204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44205</v>
      </c>
      <c r="L19" s="203" t="s">
        <v>76</v>
      </c>
      <c r="M19" s="205">
        <f>K19+6</f>
        <v>44211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44212</v>
      </c>
      <c r="L29" s="203" t="s">
        <v>76</v>
      </c>
      <c r="M29" s="205">
        <f>K29+6</f>
        <v>44218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44219</v>
      </c>
      <c r="L39" s="203" t="s">
        <v>76</v>
      </c>
      <c r="M39" s="205">
        <f>K39+6</f>
        <v>44225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DATE(2020,11,1)</f>
        <v>44136</v>
      </c>
      <c r="L49" s="203" t="s">
        <v>76</v>
      </c>
      <c r="M49" s="205">
        <f>DATE(2020,11,30)</f>
        <v>44165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44226</v>
      </c>
      <c r="L9" s="203" t="s">
        <v>76</v>
      </c>
      <c r="M9" s="205">
        <f>K9+6</f>
        <v>44232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44233</v>
      </c>
      <c r="L19" s="203" t="s">
        <v>76</v>
      </c>
      <c r="M19" s="205">
        <f>K19+6</f>
        <v>44239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44240</v>
      </c>
      <c r="L29" s="203" t="s">
        <v>76</v>
      </c>
      <c r="M29" s="205">
        <f>K29+6</f>
        <v>44246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44247</v>
      </c>
      <c r="L39" s="203" t="s">
        <v>76</v>
      </c>
      <c r="M39" s="205">
        <f>K39+6</f>
        <v>44253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DATE(2020,12,1)</f>
        <v>44166</v>
      </c>
      <c r="L49" s="203" t="s">
        <v>76</v>
      </c>
      <c r="M49" s="205">
        <f>DATE(2020,12,31)</f>
        <v>44196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44254</v>
      </c>
      <c r="L9" s="203" t="s">
        <v>76</v>
      </c>
      <c r="M9" s="205">
        <f>K9+6</f>
        <v>44260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44261</v>
      </c>
      <c r="L19" s="203" t="s">
        <v>76</v>
      </c>
      <c r="M19" s="205">
        <f>K19+6</f>
        <v>44267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44268</v>
      </c>
      <c r="L29" s="203" t="s">
        <v>76</v>
      </c>
      <c r="M29" s="205">
        <f>K29+6</f>
        <v>44274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44275</v>
      </c>
      <c r="L39" s="203" t="s">
        <v>76</v>
      </c>
      <c r="M39" s="205">
        <f>K39+6</f>
        <v>44281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44282</v>
      </c>
      <c r="L49" s="203" t="s">
        <v>76</v>
      </c>
      <c r="M49" s="205">
        <f>K49+6</f>
        <v>44288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44289</v>
      </c>
      <c r="L59" s="203" t="s">
        <v>76</v>
      </c>
      <c r="M59" s="205">
        <f>K59+4</f>
        <v>44293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DATE(2021,1,1)</f>
        <v>44197</v>
      </c>
      <c r="L69" s="203" t="s">
        <v>76</v>
      </c>
      <c r="M69" s="205">
        <f>DATE(2021,1,31)</f>
        <v>44227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Feb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43933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43933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43933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43933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43933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DATE(2020,4,30)</f>
        <v>43951</v>
      </c>
      <c r="C4" s="229">
        <f>DATE(2020,5,19)</f>
        <v>43970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2101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DATE(2020,5,31)</f>
        <v>43982</v>
      </c>
      <c r="C5" s="229">
        <f>DATE(2020,6,19)</f>
        <v>44001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2102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DATE(2020,6,30)</f>
        <v>44012</v>
      </c>
      <c r="C6" s="229">
        <f>DATE(2020,7,19)</f>
        <v>44031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2103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DATE(2020,7,31)</f>
        <v>44043</v>
      </c>
      <c r="C7" s="229">
        <f>DATE(2020,8,19)</f>
        <v>44062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2104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DATE(2020,8,31)</f>
        <v>44074</v>
      </c>
      <c r="C8" s="229">
        <f>DATE(2020,9,19)</f>
        <v>44093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2105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DATE(2020,9,30)</f>
        <v>44104</v>
      </c>
      <c r="C9" s="229">
        <f>DATE(2020,10,19)</f>
        <v>44123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2106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DATE(2020,10,31)</f>
        <v>44135</v>
      </c>
      <c r="C10" s="229">
        <f>DATE(2020,11,19)</f>
        <v>44154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2107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DATE(2020,11,30)</f>
        <v>44165</v>
      </c>
      <c r="C11" s="229">
        <f>DATE(2020,12,19)</f>
        <v>44184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2108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DATE(2020,12,31)</f>
        <v>44196</v>
      </c>
      <c r="C12" s="229">
        <f>DATE(2021,1,19)</f>
        <v>44215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2109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DATE(2021,1,31)</f>
        <v>44227</v>
      </c>
      <c r="C13" s="229">
        <f>DATE(2021,2,19)</f>
        <v>44246</v>
      </c>
      <c r="D13" s="227">
        <f>Jan!T1+Jan!O1</f>
        <v>0</v>
      </c>
      <c r="E13" s="228">
        <f>Jan!N1</f>
        <v>0</v>
      </c>
      <c r="F13" s="228">
        <f>Jan!AD80+Jan!AE80+Jan!AF80+Jan!AG80</f>
        <v>0</v>
      </c>
      <c r="G13" s="228">
        <f>Jan!AE82+Jan!AF82+Jan!AG82</f>
        <v>0</v>
      </c>
      <c r="H13" s="228">
        <f>Jan!P1</f>
        <v>0</v>
      </c>
      <c r="I13" s="227">
        <f t="shared" si="0"/>
        <v>0</v>
      </c>
      <c r="M13" s="212">
        <f t="shared" si="2"/>
        <v>2110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DATE(2021,2,28)</f>
        <v>44255</v>
      </c>
      <c r="C14" s="229">
        <f>DATE(2021,3,19)</f>
        <v>44274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2111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DATE(2021,3,31)</f>
        <v>44286</v>
      </c>
      <c r="C15" s="229">
        <f>DATE(2021,4,19)</f>
        <v>44305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2112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TEXT(DATE(YEAR(B$2),MONTH(B$2)+(D2-1)+10,1),"Mmm")</f>
        <v>Feb</v>
      </c>
      <c r="B2" s="308">
        <v>43927</v>
      </c>
      <c r="C2" s="309">
        <v>1</v>
      </c>
      <c r="D2" s="309">
        <v>1</v>
      </c>
      <c r="E2" s="310">
        <f>B2</f>
        <v>43927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TEXT(DATE(YEAR(B$2),MONTH(B$2)+(D3-1)+10,1),"Mmm")</f>
        <v>Feb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Feb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Feb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Feb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Feb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Feb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Feb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Feb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Feb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Feb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Feb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Feb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Feb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Feb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Feb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Feb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Feb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Feb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Feb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Feb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Feb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Feb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Feb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Feb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Feb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Mar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Mar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Mar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Mar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Mar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Mar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Mar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Mar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Mar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Mar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Mar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Mar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Mar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Mar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Mar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Mar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Mar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Mar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Mar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Mar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Mar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Mar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Mar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Mar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Mar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Mar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Mar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Mar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Apr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Apr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Apr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Apr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Apr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Apr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Apr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Apr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Apr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Apr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Apr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TEXT(DATE(YEAR(B$2),MONTH(B$2)+(D67-1)+10,1),"Mmm")</f>
        <v>Apr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Apr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Apr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Apr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Apr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Apr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Apr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Apr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Apr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Apr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Apr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Apr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Apr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Apr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Apr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Apr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Apr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Apr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Apr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Apr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Apr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Apr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Apr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Apr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May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May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May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May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May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May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May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May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May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May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May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May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May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May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May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May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May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May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May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May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May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May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May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May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May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May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May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May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Jun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Jun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Jun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Jun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Jun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Jun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Jun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Jun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Jun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Jun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Jun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Jun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TEXT(DATE(YEAR(B$2),MONTH(B$2)+(D131-1)+10,1),"Mmm")</f>
        <v>Jun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Jun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Jun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Jun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Jun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Jun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Jun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Jun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Jun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Jun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Jun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Jun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Jun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Jun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Jun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Jun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Jul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Jul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Jul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Jul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Jul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Jul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Jul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Jul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Jul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Jul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Jul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Jul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Jul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Jul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Jul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Jul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Jul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Jul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Jul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Jul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Jul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Jul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Jul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Jul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Jul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Jul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Jul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Jul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Jul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Jul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Jul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Jul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Jul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Jul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Jul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Aug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Aug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Aug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Aug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Aug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Aug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Aug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Aug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Aug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Aug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Aug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Aug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Aug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TEXT(DATE(YEAR(B$2),MONTH(B$2)+(D195-1)+10,1),"Mmm")</f>
        <v>Aug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Aug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Aug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Aug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Aug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Aug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Aug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Aug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Aug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Aug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Aug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Aug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Aug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Aug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Aug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Sep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Sep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Sep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Sep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Sep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Sep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Sep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Sep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Sep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Sep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Sep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Sep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Sep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Sep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Sep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Sep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Sep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Sep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Sep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Sep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Sep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Sep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Sep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Sep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Sep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Sep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Sep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Sep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Oct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Oct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Oct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Oct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Oct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Oct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Oct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Oct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Oct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Oct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Oct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Oct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Oct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Oct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Oct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Oct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Oct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Oct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Oct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Oct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Oct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TEXT(DATE(YEAR(B$2),MONTH(B$2)+(D259-1)+10,1),"Mmm")</f>
        <v>Oct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Oct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Oct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Oct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Oct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Oct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Oct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Oct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Oct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Oct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Oct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Oct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Oct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Oct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Nov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Nov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Nov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Nov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Nov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Nov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Nov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Nov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Nov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Nov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Nov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Nov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Nov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Nov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Nov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Nov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Nov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Nov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Nov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Nov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Nov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Nov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Nov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Nov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Nov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Nov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Nov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Nov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Dec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Dec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Dec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Dec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Dec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Dec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Dec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Dec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Dec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Dec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Dec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Dec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Dec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Dec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Dec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Dec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Dec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Dec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Dec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Dec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Dec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Dec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TEXT(DATE(YEAR(B$2),MONTH(B$2)+(D323-1)+10,1),"Mmm")</f>
        <v>Dec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Dec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Dec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Dec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Dec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Dec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Jan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Jan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Jan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Jan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Jan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Jan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Jan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Jan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Jan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Jan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Jan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Jan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Jan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Jan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Jan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Jan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Jan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Jan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Jan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Jan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Jan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Jan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Jan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Jan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Jan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Jan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Jan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Jan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Jan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Jan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Jan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Jan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Jan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Jan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Jan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Jan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Jan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Jan</v>
      </c>
      <c r="B366" s="308">
        <f t="shared" si="11"/>
        <v>44291</v>
      </c>
      <c r="C366" s="309">
        <v>53</v>
      </c>
      <c r="D366" s="309">
        <v>12</v>
      </c>
      <c r="E366" s="310">
        <f>B366</f>
        <v>44291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Jan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Jan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Jan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Jan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Jan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Jan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Jan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Jan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Jan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Jan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Jan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Jan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Jan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Jan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Jan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