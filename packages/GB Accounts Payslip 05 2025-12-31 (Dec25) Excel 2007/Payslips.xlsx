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Jan" sheetId="12" r:id="rId2"/>
    <sheet name="Feb" sheetId="11" r:id="rId3"/>
    <sheet name="Mar" sheetId="10" r:id="rId4"/>
    <sheet name="Apr" sheetId="9" r:id="rId5"/>
    <sheet name="May" sheetId="8" r:id="rId6"/>
    <sheet name="Jun" sheetId="17" r:id="rId7"/>
    <sheet name="Jul" sheetId="16" r:id="rId8"/>
    <sheet name="Aug" sheetId="15" r:id="rId9"/>
    <sheet name="Sep" sheetId="14" r:id="rId10"/>
    <sheet name="Oct" sheetId="13" r:id="rId11"/>
    <sheet name="Nov" sheetId="19" r:id="rId12"/>
    <sheet name="Dec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<sst xmlns="http://schemas.openxmlformats.org/spreadsheetml/2006/main" count="1383" uniqueCount="138">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</sst>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Jan!M39+1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Feb!M39+1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IF(T$59="Y",Feb!H51,0)</f>
        <v>0</v>
      </c>
      <c r="I61" s="89">
        <f>IF(T$59="Y",Feb!I51,0)</f>
        <v>0</v>
      </c>
      <c r="J61" s="89">
        <f>IF(T$59="Y",Feb!J51,0)</f>
        <v>0</v>
      </c>
      <c r="K61" s="89">
        <f>IF(T$59="Y",Feb!K51,I61*J61)</f>
        <v>0</v>
      </c>
      <c r="L61" s="110">
        <f>IF(T$59="Y",Feb!L51,0)</f>
        <v>0</v>
      </c>
      <c r="M61" s="99" t="str">
        <f>IF(E61=" "," ",IF(T$59="Y",Feb!M51,IF((H61+K61+L61)&gt;0,H61+K61+L61,"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IF(Employee!H$35=E$59,Employee!D$34+SUM(M61)+Feb!V51,SUM(M61)+Feb!V51)</f>
        <v>0</v>
      </c>
      <c r="W61" s="49">
        <f>IF(Employee!H$35=E$59,Employee!D$35+SUM(N61)+Feb!W51,SUM(N61)+Feb!W51)</f>
        <v>0</v>
      </c>
      <c r="X61" s="49">
        <f>IF(O61=" ",Feb!X51,O61+Feb!X51)</f>
        <v>0</v>
      </c>
      <c r="Y61" s="49">
        <f>IF(P61=" ",Feb!Y51,P61+Feb!Y51)</f>
        <v>0</v>
      </c>
      <c r="Z61" s="49">
        <f>IF(Q61=" ",Feb!Z51,Q61+Feb!Z51)</f>
        <v>0</v>
      </c>
      <c r="AA61" s="49">
        <f>IF(R61=" ",Feb!AA51,R61+Feb!AA51)</f>
        <v>0</v>
      </c>
      <c r="AC61" s="49">
        <f>IF(T61=" ",Feb!AC51,T61+Feb!AC51)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IF(T$59="Y",Feb!H52,0)</f>
        <v>0</v>
      </c>
      <c r="I62" s="92">
        <f>IF(T$59="Y",Feb!I52,0)</f>
        <v>0</v>
      </c>
      <c r="J62" s="92">
        <f>IF(T$59="Y",Feb!J52,0)</f>
        <v>0</v>
      </c>
      <c r="K62" s="92">
        <f>IF(T$59="Y",Feb!K52,I62*J62)</f>
        <v>0</v>
      </c>
      <c r="L62" s="111">
        <f>IF(T$59="Y",Feb!L52,0)</f>
        <v>0</v>
      </c>
      <c r="M62" s="100" t="str">
        <f>IF(E62=" "," ",IF(T$59="Y",Feb!M52,IF((H62+K62+L62)&gt;0,H62+K62+L62,"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IF(Employee!H$61=E$59,Employee!D$60+SUM(M62)+Feb!V52,SUM(M62)+Feb!V52)</f>
        <v>0</v>
      </c>
      <c r="W62" s="49">
        <f>IF(Employee!H$61=E$59,Employee!D$61+SUM(N62)+Feb!W52,SUM(N62)+Feb!W52)</f>
        <v>0</v>
      </c>
      <c r="X62" s="49">
        <f>IF(O62=" ",Feb!X52,O62+Feb!X52)</f>
        <v>0</v>
      </c>
      <c r="Y62" s="49">
        <f>IF(P62=" ",Feb!Y52,P62+Feb!Y52)</f>
        <v>0</v>
      </c>
      <c r="Z62" s="49">
        <f>IF(Q62=" ",Feb!Z52,Q62+Feb!Z52)</f>
        <v>0</v>
      </c>
      <c r="AA62" s="49">
        <f>IF(R62=" ",Feb!AA52,R62+Feb!AA52)</f>
        <v>0</v>
      </c>
      <c r="AC62" s="49">
        <f>IF(T62=" ",Feb!AC52,T62+Feb!AC52)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IF(T$59="Y",Feb!H53,0)</f>
        <v>0</v>
      </c>
      <c r="I63" s="92">
        <f>IF(T$59="Y",Feb!I53,0)</f>
        <v>0</v>
      </c>
      <c r="J63" s="92">
        <f>IF(T$59="Y",Feb!J53,0)</f>
        <v>0</v>
      </c>
      <c r="K63" s="92">
        <f>IF(T$59="Y",Feb!K53,I63*J63)</f>
        <v>0</v>
      </c>
      <c r="L63" s="111">
        <f>IF(T$59="Y",Feb!L53,0)</f>
        <v>0</v>
      </c>
      <c r="M63" s="100" t="str">
        <f>IF(E63=" "," ",IF(T$59="Y",Feb!M53,IF((H63+K63+L63)&gt;0,H63+K63+L63,"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IF(Employee!H$87=E$59,Employee!D$86+SUM(M63)+Feb!V53,SUM(M63)+Feb!V53)</f>
        <v>0</v>
      </c>
      <c r="W63" s="49">
        <f>IF(Employee!H$87=E$59,Employee!D$87+SUM(N63)+Feb!W53,SUM(N63)+Feb!W53)</f>
        <v>0</v>
      </c>
      <c r="X63" s="49">
        <f>IF(O63=" ",Feb!X53,O63+Feb!X53)</f>
        <v>0</v>
      </c>
      <c r="Y63" s="49">
        <f>IF(P63=" ",Feb!Y53,P63+Feb!Y53)</f>
        <v>0</v>
      </c>
      <c r="Z63" s="49">
        <f>IF(Q63=" ",Feb!Z53,Q63+Feb!Z53)</f>
        <v>0</v>
      </c>
      <c r="AA63" s="49">
        <f>IF(R63=" ",Feb!AA53,R63+Feb!AA53)</f>
        <v>0</v>
      </c>
      <c r="AC63" s="49">
        <f>IF(T63=" ",Feb!AC53,T63+Feb!AC53)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IF(T$59="Y",Feb!H54,0)</f>
        <v>0</v>
      </c>
      <c r="I64" s="92">
        <f>IF(T$59="Y",Feb!I54,0)</f>
        <v>0</v>
      </c>
      <c r="J64" s="92">
        <f>IF(T$59="Y",Feb!J54,0)</f>
        <v>0</v>
      </c>
      <c r="K64" s="92">
        <f>IF(T$59="Y",Feb!K54,I64*J64)</f>
        <v>0</v>
      </c>
      <c r="L64" s="111">
        <f>IF(T$59="Y",Feb!L54,0)</f>
        <v>0</v>
      </c>
      <c r="M64" s="100" t="str">
        <f>IF(E64=" "," ",IF(T$59="Y",Feb!M54,IF((H64+K64+L64)&gt;0,H64+K64+L64,"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IF(Employee!H$113=E$59,Employee!D$112+SUM(M64)+Feb!V54,SUM(M64)+Feb!V54)</f>
        <v>0</v>
      </c>
      <c r="W64" s="49">
        <f>IF(Employee!H$113=E$59,Employee!D$113+SUM(N64)+Feb!W54,SUM(N64)+Feb!W54)</f>
        <v>0</v>
      </c>
      <c r="X64" s="49">
        <f>IF(O64=" ",Feb!X54,O64+Feb!X54)</f>
        <v>0</v>
      </c>
      <c r="Y64" s="49">
        <f>IF(P64=" ",Feb!Y54,P64+Feb!Y54)</f>
        <v>0</v>
      </c>
      <c r="Z64" s="49">
        <f>IF(Q64=" ",Feb!Z54,Q64+Feb!Z54)</f>
        <v>0</v>
      </c>
      <c r="AA64" s="49">
        <f>IF(R64=" ",Feb!AA54,R64+Feb!AA54)</f>
        <v>0</v>
      </c>
      <c r="AC64" s="49">
        <f>IF(T64=" ",Feb!AC54,T64+Feb!AC54)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IF(T$59="Y",Feb!H55,0)</f>
        <v>0</v>
      </c>
      <c r="I65" s="245">
        <f>IF(T$59="Y",Feb!I55,0)</f>
        <v>0</v>
      </c>
      <c r="J65" s="245">
        <f>IF(T$59="Y",Feb!J55,0)</f>
        <v>0</v>
      </c>
      <c r="K65" s="245">
        <f>IF(T$59="Y",Feb!K55,I65*J65)</f>
        <v>0</v>
      </c>
      <c r="L65" s="246">
        <f>IF(T$59="Y",Feb!L55,0)</f>
        <v>0</v>
      </c>
      <c r="M65" s="100" t="str">
        <f>IF(E65=" "," ",IF(T$59="Y",Feb!M55,IF((H65+K65+L65)&gt;0,H65+K65+L65,"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IF(Employee!H$139=E$59,Employee!D$138+SUM(M65)+Feb!V55,SUM(M65)+Feb!V55)</f>
        <v>0</v>
      </c>
      <c r="W65" s="49">
        <f>IF(Employee!H$139=E$59,Employee!D$139+SUM(N65)+Feb!W55,SUM(N65)+Feb!W55)</f>
        <v>0</v>
      </c>
      <c r="X65" s="49">
        <f>IF(O65=" ",Feb!X55,O65+Feb!X55)</f>
        <v>0</v>
      </c>
      <c r="Y65" s="49">
        <f>IF(P65=" ",Feb!Y55,P65+Feb!Y55)</f>
        <v>0</v>
      </c>
      <c r="Z65" s="49">
        <f>IF(Q65=" ",Feb!Z55,Q65+Feb!Z55)</f>
        <v>0</v>
      </c>
      <c r="AA65" s="49">
        <f>IF(R65=" ",Feb!AA55,R65+Feb!AA55)</f>
        <v>0</v>
      </c>
      <c r="AC65" s="49">
        <f>IF(T65=" ",Feb!AC55,T65+Feb!AC55)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AD70+Feb!AD65</f>
        <v>0</v>
      </c>
      <c r="AE75" s="158">
        <f>AE70+Feb!AE65</f>
        <v>0</v>
      </c>
      <c r="AF75" s="158">
        <f>AF70+Feb!AF65</f>
        <v>0</v>
      </c>
      <c r="AG75" s="158">
        <f>AG70+Feb!AG65</f>
        <v>0</v>
      </c>
    </row>
    <row r="76" spans="1:34" ht="14" thickTop="1" x14ac:dyDescent="0.15"/>
    <row r="77" spans="1:34" x14ac:dyDescent="0.15">
      <c r="AD77" s="162"/>
      <c r="AE77" s="158">
        <f>AE72+Feb!AE67</f>
        <v>0</v>
      </c>
      <c r="AF77" s="158">
        <f>AF72+Feb!AF67</f>
        <v>0</v>
      </c>
      <c r="AG77" s="158">
        <f>AG72+Feb!AG67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89">
        <f>IF(T$9="Y",Mar!L41,0)</f>
        <v>0</v>
      </c>
      <c r="M11" s="99" t="str">
        <f>IF(E11=" "," ",IF(T$9="Y",Mar!M41,IF((H11+K11+L11)&gt;0,H11+K11+L11,"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IF(Employee!H$34=E$9,Employee!D$34+SUM(M11)+Mar!V51,SUM(M11)+Mar!V51)</f>
        <v>0</v>
      </c>
      <c r="W11" s="49">
        <f>IF(Employee!H$34=E$9,Employee!D$35+SUM(N11)+Mar!W51,SUM(N11)+Mar!W51)</f>
        <v>0</v>
      </c>
      <c r="X11" s="49">
        <f>IF(O11=" ",Mar!X51,O11+Mar!X51)</f>
        <v>0</v>
      </c>
      <c r="Y11" s="49">
        <f>IF(P11=" ",Mar!Y51,P11+Mar!Y51)</f>
        <v>0</v>
      </c>
      <c r="Z11" s="49">
        <f>IF(Q11=" ",Mar!Z51,Q11+Mar!Z51)</f>
        <v>0</v>
      </c>
      <c r="AA11" s="49">
        <f>IF(R11=" ",Mar!AA51,R11+Mar!AA51)</f>
        <v>0</v>
      </c>
      <c r="AC11" s="49">
        <f>IF(T11=" ",Mar!AC51,T11+Mar!AC51)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92">
        <f>IF(T$9="Y",Mar!L42,0)</f>
        <v>0</v>
      </c>
      <c r="M12" s="100" t="str">
        <f>IF(E12=" "," ",IF(T$9="Y",Mar!M42,IF((H12+K12+L12)&gt;0,H12+K12+L12,"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IF(Employee!H$60=E$9,Employee!D$60+SUM(M12)+Mar!V52,SUM(M12)+Mar!V52)</f>
        <v>0</v>
      </c>
      <c r="W12" s="49">
        <f>IF(Employee!H$60=E$9,Employee!D$61+SUM(N12)+Mar!W52,SUM(N12)+Mar!W52)</f>
        <v>0</v>
      </c>
      <c r="X12" s="49">
        <f>IF(O12=" ",Mar!X52,O12+Mar!X52)</f>
        <v>0</v>
      </c>
      <c r="Y12" s="49">
        <f>IF(P12=" ",Mar!Y52,P12+Mar!Y52)</f>
        <v>0</v>
      </c>
      <c r="Z12" s="49">
        <f>IF(Q12=" ",Mar!Z52,Q12+Mar!Z52)</f>
        <v>0</v>
      </c>
      <c r="AA12" s="49">
        <f>IF(R12=" ",Mar!AA52,R12+Mar!AA52)</f>
        <v>0</v>
      </c>
      <c r="AC12" s="49">
        <f>IF(T12=" ",Mar!AC52,T12+Mar!AC52)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92">
        <f>IF(T$9="Y",Mar!L43,0)</f>
        <v>0</v>
      </c>
      <c r="M13" s="100" t="str">
        <f>IF(E13=" "," ",IF(T$9="Y",Mar!M43,IF((H13+K13+L13)&gt;0,H13+K13+L13,"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IF(Employee!H$86=E$9,Employee!D$86+SUM(M13)+Mar!V53,SUM(M13)+Mar!V53)</f>
        <v>0</v>
      </c>
      <c r="W13" s="49">
        <f>IF(Employee!H$86=E$9,Employee!D$87+SUM(N13)+Mar!W53,SUM(N13)+Mar!W53)</f>
        <v>0</v>
      </c>
      <c r="X13" s="49">
        <f>IF(O13=" ",Mar!X53,O13+Mar!X53)</f>
        <v>0</v>
      </c>
      <c r="Y13" s="49">
        <f>IF(P13=" ",Mar!Y53,P13+Mar!Y53)</f>
        <v>0</v>
      </c>
      <c r="Z13" s="49">
        <f>IF(Q13=" ",Mar!Z53,Q13+Mar!Z53)</f>
        <v>0</v>
      </c>
      <c r="AA13" s="49">
        <f>IF(R13=" ",Mar!AA53,R13+Mar!AA53)</f>
        <v>0</v>
      </c>
      <c r="AC13" s="49">
        <f>IF(T13=" ",Mar!AC53,T13+Mar!AC53)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92">
        <f>IF(T$9="Y",Mar!L44,0)</f>
        <v>0</v>
      </c>
      <c r="M14" s="100" t="str">
        <f>IF(E14=" "," ",IF(T$9="Y",Mar!M44,IF((H14+K14+L14)&gt;0,H14+K14+L14,"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IF(Employee!H$112=E$9,Employee!D$112+SUM(M14)+Mar!V54,SUM(M14)+Mar!V54)</f>
        <v>0</v>
      </c>
      <c r="W14" s="49">
        <f>IF(Employee!H$112=E$9,Employee!D$113+SUM(N14)+Mar!W54,SUM(N14)+Mar!W54)</f>
        <v>0</v>
      </c>
      <c r="X14" s="49">
        <f>IF(O14=" ",Mar!X54,O14+Mar!X54)</f>
        <v>0</v>
      </c>
      <c r="Y14" s="49">
        <f>IF(P14=" ",Mar!Y54,P14+Mar!Y54)</f>
        <v>0</v>
      </c>
      <c r="Z14" s="49">
        <f>IF(Q14=" ",Mar!Z54,Q14+Mar!Z54)</f>
        <v>0</v>
      </c>
      <c r="AA14" s="49">
        <f>IF(R14=" ",Mar!AA54,R14+Mar!AA54)</f>
        <v>0</v>
      </c>
      <c r="AC14" s="49">
        <f>IF(T14=" ",Mar!AC54,T14+Mar!AC54)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5">
        <f>IF(T$9="Y",Mar!L45,0)</f>
        <v>0</v>
      </c>
      <c r="M15" s="247" t="str">
        <f>IF(E15=" "," ",IF(T$9="Y",Mar!M45,IF((H15+K15+L15)&gt;0,H15+K15+L15,"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IF(Employee!H$138=E$9,Employee!D$138+SUM(M15)+Mar!V55,SUM(M15)+Mar!V55)</f>
        <v>0</v>
      </c>
      <c r="W15" s="49">
        <f>IF(Employee!H$138=E$9,Employee!D$139+SUM(N15)+Mar!W55,SUM(N15)+Mar!W55)</f>
        <v>0</v>
      </c>
      <c r="X15" s="49">
        <f>IF(O15=" ",Mar!X55,O15+Mar!X55)</f>
        <v>0</v>
      </c>
      <c r="Y15" s="49">
        <f>IF(P15=" ",Mar!Y55,P15+Mar!Y55)</f>
        <v>0</v>
      </c>
      <c r="Z15" s="49">
        <f>IF(Q15=" ",Mar!Z55,Q15+Mar!Z55)</f>
        <v>0</v>
      </c>
      <c r="AA15" s="49">
        <f>IF(R15=" ",Mar!AA55,R15+Mar!AA55)</f>
        <v>0</v>
      </c>
      <c r="AC15" s="49">
        <f>IF(T15=" ",Mar!AC55,T15+Mar!AC55)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IF(T$49="Y",Mar!H61,0)</f>
        <v>0</v>
      </c>
      <c r="I51" s="89">
        <f>IF(T$49="Y",Mar!I61,0)</f>
        <v>0</v>
      </c>
      <c r="J51" s="89">
        <f>IF(T$49="Y",Mar!J61,0)</f>
        <v>0</v>
      </c>
      <c r="K51" s="89">
        <f>IF(T$49="Y",Mar!K61,I51*J51)</f>
        <v>0</v>
      </c>
      <c r="L51" s="110">
        <f>IF(T$49="Y",Mar!L61,0)</f>
        <v>0</v>
      </c>
      <c r="M51" s="99" t="str">
        <f>IF(E51=" "," ",IF(T$49="Y",Mar!M61,IF((H51+K51+L51)&gt;0,H51+K51+L51,"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IF(Employee!H$35=E$49,Employee!D$34+SUM(M51)+Mar!V61,SUM(M51)+Mar!V61)</f>
        <v>0</v>
      </c>
      <c r="W51" s="49">
        <f>IF(Employee!H$35=E$49,Employee!D$35+SUM(N51)+Mar!W61,SUM(N51)+Mar!W61)</f>
        <v>0</v>
      </c>
      <c r="X51" s="49">
        <f>IF(O51=" ",Mar!X61,O51+Mar!X61)</f>
        <v>0</v>
      </c>
      <c r="Y51" s="49">
        <f>IF(P51=" ",Mar!Y61,P51+Mar!Y61)</f>
        <v>0</v>
      </c>
      <c r="Z51" s="49">
        <f>IF(Q51=" ",Mar!Z61,Q51+Mar!Z61)</f>
        <v>0</v>
      </c>
      <c r="AA51" s="49">
        <f>IF(R51=" ",Mar!AA61,R51+Mar!AA61)</f>
        <v>0</v>
      </c>
      <c r="AC51" s="49">
        <f>IF(T51=" ",Mar!AC61,T51+Mar!AC61)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IF(T$49="Y",Mar!H62,0)</f>
        <v>0</v>
      </c>
      <c r="I52" s="92">
        <f>IF(T$49="Y",Mar!I62,0)</f>
        <v>0</v>
      </c>
      <c r="J52" s="92">
        <f>IF(T$49="Y",Mar!J62,0)</f>
        <v>0</v>
      </c>
      <c r="K52" s="92">
        <f>IF(T$49="Y",Mar!K62,I52*J52)</f>
        <v>0</v>
      </c>
      <c r="L52" s="111">
        <f>IF(T$49="Y",Mar!L62,0)</f>
        <v>0</v>
      </c>
      <c r="M52" s="100" t="str">
        <f>IF(E52=" "," ",IF(T$49="Y",Mar!M62,IF((H52+K52+L52)&gt;0,H52+K52+L52,"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IF(Employee!H$61=E$49,Employee!D$60+SUM(M52)+Mar!V62,SUM(M52)+Mar!V62)</f>
        <v>0</v>
      </c>
      <c r="W52" s="49">
        <f>IF(Employee!H$61=E$49,Employee!D$61+SUM(N52)+Mar!W62,SUM(N52)+Mar!W62)</f>
        <v>0</v>
      </c>
      <c r="X52" s="49">
        <f>IF(O52=" ",Mar!X62,O52+Mar!X62)</f>
        <v>0</v>
      </c>
      <c r="Y52" s="49">
        <f>IF(P52=" ",Mar!Y62,P52+Mar!Y62)</f>
        <v>0</v>
      </c>
      <c r="Z52" s="49">
        <f>IF(Q52=" ",Mar!Z62,Q52+Mar!Z62)</f>
        <v>0</v>
      </c>
      <c r="AA52" s="49">
        <f>IF(R52=" ",Mar!AA62,R52+Mar!AA62)</f>
        <v>0</v>
      </c>
      <c r="AC52" s="49">
        <f>IF(T52=" ",Mar!AC62,T52+Mar!AC62)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IF(T$49="Y",Mar!H63,0)</f>
        <v>0</v>
      </c>
      <c r="I53" s="92">
        <f>IF(T$49="Y",Mar!I63,0)</f>
        <v>0</v>
      </c>
      <c r="J53" s="92">
        <f>IF(T$49="Y",Mar!J63,0)</f>
        <v>0</v>
      </c>
      <c r="K53" s="92">
        <f>IF(T$49="Y",Mar!K63,I53*J53)</f>
        <v>0</v>
      </c>
      <c r="L53" s="111">
        <f>IF(T$49="Y",Mar!L63,0)</f>
        <v>0</v>
      </c>
      <c r="M53" s="100" t="str">
        <f>IF(E53=" "," ",IF(T$49="Y",Mar!M63,IF((H53+K53+L53)&gt;0,H53+K53+L53,"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IF(Employee!H$87=E$49,Employee!D$86+SUM(M53)+Mar!V63,SUM(M53)+Mar!V63)</f>
        <v>0</v>
      </c>
      <c r="W53" s="49">
        <f>IF(Employee!H$87=E$49,Employee!D$87+SUM(N53)+Mar!W63,SUM(N53)+Mar!W63)</f>
        <v>0</v>
      </c>
      <c r="X53" s="49">
        <f>IF(O53=" ",Mar!X63,O53+Mar!X63)</f>
        <v>0</v>
      </c>
      <c r="Y53" s="49">
        <f>IF(P53=" ",Mar!Y63,P53+Mar!Y63)</f>
        <v>0</v>
      </c>
      <c r="Z53" s="49">
        <f>IF(Q53=" ",Mar!Z63,Q53+Mar!Z63)</f>
        <v>0</v>
      </c>
      <c r="AA53" s="49">
        <f>IF(R53=" ",Mar!AA63,R53+Mar!AA63)</f>
        <v>0</v>
      </c>
      <c r="AC53" s="49">
        <f>IF(T53=" ",Mar!AC63,T53+Mar!AC63)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IF(T$49="Y",Mar!H64,0)</f>
        <v>0</v>
      </c>
      <c r="I54" s="92">
        <f>IF(T$49="Y",Mar!I64,0)</f>
        <v>0</v>
      </c>
      <c r="J54" s="92">
        <f>IF(T$49="Y",Mar!J64,0)</f>
        <v>0</v>
      </c>
      <c r="K54" s="92">
        <f>IF(T$49="Y",Mar!K64,I54*J54)</f>
        <v>0</v>
      </c>
      <c r="L54" s="111">
        <f>IF(T$49="Y",Mar!L64,0)</f>
        <v>0</v>
      </c>
      <c r="M54" s="100" t="str">
        <f>IF(E54=" "," ",IF(T$49="Y",Mar!M64,IF((H54+K54+L54)&gt;0,H54+K54+L54,"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IF(Employee!H$113=E$49,Employee!D$112+SUM(M54)+Mar!V64,SUM(M54)+Mar!V64)</f>
        <v>0</v>
      </c>
      <c r="W54" s="49">
        <f>IF(Employee!H$113=E$49,Employee!D$113+SUM(N54)+Mar!W64,SUM(N54)+Mar!W64)</f>
        <v>0</v>
      </c>
      <c r="X54" s="49">
        <f>IF(O54=" ",Mar!X64,O54+Mar!X64)</f>
        <v>0</v>
      </c>
      <c r="Y54" s="49">
        <f>IF(P54=" ",Mar!Y64,P54+Mar!Y64)</f>
        <v>0</v>
      </c>
      <c r="Z54" s="49">
        <f>IF(Q54=" ",Mar!Z64,Q54+Mar!Z64)</f>
        <v>0</v>
      </c>
      <c r="AA54" s="49">
        <f>IF(R54=" ",Mar!AA64,R54+Mar!AA64)</f>
        <v>0</v>
      </c>
      <c r="AC54" s="49">
        <f>IF(T54=" ",Mar!AC64,T54+Mar!AC64)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IF(T$49="Y",Mar!H65,0)</f>
        <v>0</v>
      </c>
      <c r="I55" s="245">
        <f>IF(T$49="Y",Mar!I65,0)</f>
        <v>0</v>
      </c>
      <c r="J55" s="245">
        <f>IF(T$49="Y",Mar!J65,0)</f>
        <v>0</v>
      </c>
      <c r="K55" s="245">
        <f>IF(T$49="Y",Mar!K65,I55*J55)</f>
        <v>0</v>
      </c>
      <c r="L55" s="246">
        <f>IF(T$49="Y",Mar!L65,0)</f>
        <v>0</v>
      </c>
      <c r="M55" s="100" t="str">
        <f>IF(E55=" "," ",IF(T$49="Y",Mar!M65,IF((H55+K55+L55)&gt;0,H55+K55+L55,"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IF(Employee!H$139=E$49,Employee!D$138+SUM(M55)+Mar!V65,SUM(M55)+Mar!V65)</f>
        <v>0</v>
      </c>
      <c r="W55" s="49">
        <f>IF(Employee!H$139=E$49,Employee!D$139+SUM(N55)+Mar!W65,SUM(N55)+Mar!W65)</f>
        <v>0</v>
      </c>
      <c r="X55" s="49">
        <f>IF(O55=" ",Mar!X65,O55+Mar!X65)</f>
        <v>0</v>
      </c>
      <c r="Y55" s="49">
        <f>IF(P55=" ",Mar!Y65,P55+Mar!Y65)</f>
        <v>0</v>
      </c>
      <c r="Z55" s="49">
        <f>IF(Q55=" ",Mar!Z65,Q55+Mar!Z65)</f>
        <v>0</v>
      </c>
      <c r="AA55" s="49">
        <f>IF(R55=" ",Mar!AA65,R55+Mar!AA65)</f>
        <v>0</v>
      </c>
      <c r="AC55" s="49">
        <f>IF(T55=" ",Mar!AC65,T55+Mar!AC65)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AD60+Mar!AD75</f>
        <v>0</v>
      </c>
      <c r="AE65" s="158">
        <f>AE60+Mar!AE75</f>
        <v>0</v>
      </c>
      <c r="AF65" s="158">
        <f>AF60+Mar!AF75</f>
        <v>0</v>
      </c>
      <c r="AG65" s="158">
        <f>AG60+Mar!AG75</f>
        <v>0</v>
      </c>
    </row>
    <row r="66" spans="6:33" ht="14" thickTop="1" x14ac:dyDescent="0.15"/>
    <row r="67" spans="6:33" x14ac:dyDescent="0.15">
      <c r="AD67" s="162"/>
      <c r="AE67" s="158">
        <f>AE62+Mar!AE77</f>
        <v>0</v>
      </c>
      <c r="AF67" s="158">
        <f>AF62+Mar!AF77</f>
        <v>0</v>
      </c>
      <c r="AG67" s="158">
        <f>AG62+Mar!AG77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IF(T$9="Y",Apr!#REF!,0)</f>
        <v>0</v>
      </c>
      <c r="I11" s="89">
        <f>IF(T$9="Y",Apr!#REF!,0)</f>
        <v>0</v>
      </c>
      <c r="J11" s="89">
        <f>IF(T$9="Y",Apr!#REF!,0)</f>
        <v>0</v>
      </c>
      <c r="K11" s="89">
        <v>0</v>
      </c>
      <c r="L11" s="110">
        <f>IF(T$9="Y",Apr!#REF!,0)</f>
        <v>0</v>
      </c>
      <c r="M11" s="110" t="str">
        <f>IF(E11=" "," ",IF(T$9="Y",Apr!#REF!,IF((H11+K11+L11)&gt;0,H11+K11+L11,"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IF(T$9="Y",Apr!#REF!,0)</f>
        <v>0</v>
      </c>
      <c r="I12" s="92">
        <f>IF(T$9="Y",Apr!#REF!,0)</f>
        <v>0</v>
      </c>
      <c r="J12" s="92">
        <f>IF(T$9="Y",Apr!#REF!,0)</f>
        <v>0</v>
      </c>
      <c r="K12" s="92">
        <f>IF(T$9="Y",Apr!#REF!,I12*J12)</f>
        <v>0</v>
      </c>
      <c r="L12" s="111">
        <f>IF(T$9="Y",Apr!#REF!,0)</f>
        <v>0</v>
      </c>
      <c r="M12" s="111" t="str">
        <f>IF(E12=" "," ",IF(T$9="Y",Apr!#REF!,IF((H12+K12+L12)&gt;0,H12+K12+L12,"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IF(T$9="Y",Apr!#REF!,0)</f>
        <v>0</v>
      </c>
      <c r="I13" s="92">
        <f>IF(T$9="Y",Apr!#REF!,0)</f>
        <v>0</v>
      </c>
      <c r="J13" s="92">
        <f>IF(T$9="Y",Apr!#REF!,0)</f>
        <v>0</v>
      </c>
      <c r="K13" s="92">
        <f>IF(T$9="Y",Apr!#REF!,I13*J13)</f>
        <v>0</v>
      </c>
      <c r="L13" s="111">
        <f>IF(T$9="Y",Apr!#REF!,0)</f>
        <v>0</v>
      </c>
      <c r="M13" s="111" t="str">
        <f>IF(E13=" "," ",IF(T$9="Y",Apr!#REF!,IF((H13+K13+L13)&gt;0,H13+K13+L13,"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IF(T$9="Y",Apr!#REF!,0)</f>
        <v>0</v>
      </c>
      <c r="I14" s="92">
        <f>IF(T$9="Y",Apr!#REF!,0)</f>
        <v>0</v>
      </c>
      <c r="J14" s="92">
        <f>IF(T$9="Y",Apr!#REF!,0)</f>
        <v>0</v>
      </c>
      <c r="K14" s="92">
        <f>IF(T$9="Y",Apr!#REF!,I14*J14)</f>
        <v>0</v>
      </c>
      <c r="L14" s="111">
        <f>IF(T$9="Y",Apr!#REF!,0)</f>
        <v>0</v>
      </c>
      <c r="M14" s="111" t="str">
        <f>IF(E14=" "," ",IF(T$9="Y",Apr!#REF!,IF((H14+K14+L14)&gt;0,H14+K14+L14,"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IF(T$9="Y",Apr!#REF!,0)</f>
        <v>0</v>
      </c>
      <c r="I15" s="245">
        <f>IF(T$9="Y",Apr!#REF!,0)</f>
        <v>0</v>
      </c>
      <c r="J15" s="245">
        <f>IF(T$9="Y",Apr!#REF!,0)</f>
        <v>0</v>
      </c>
      <c r="K15" s="245">
        <f>IF(T$9="Y",Apr!#REF!,I15*J15)</f>
        <v>0</v>
      </c>
      <c r="L15" s="246">
        <f>IF(T$9="Y",Apr!#REF!,0)</f>
        <v>0</v>
      </c>
      <c r="M15" s="246" t="str">
        <f>IF(E15=" "," ",IF(T$9="Y",Apr!#REF!,IF((H15+K15+L15)&gt;0,H15+K15+L15,"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89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92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92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IF(Employee!H$87=E$49,Employee!D$87+SUM(N53)+Apr!W53,SUM(N53)+Apr!W53)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92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IF(T$49="Y",Apr!H55,0)</f>
        <v>0</v>
      </c>
      <c r="I55" s="92">
        <f>IF(T$49="Y",Apr!I55,0)</f>
        <v>0</v>
      </c>
      <c r="J55" s="92">
        <f>IF(T$49="Y",Apr!J55,0)</f>
        <v>0</v>
      </c>
      <c r="K55" s="92">
        <f>IF(T$49="Y",Apr!K55,I55*J55)</f>
        <v>0</v>
      </c>
      <c r="L55" s="92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May!M39+1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IF(T$9="Y",Jun!H51,0)</f>
        <v>0</v>
      </c>
      <c r="I11" s="89">
        <f>IF(T$9="Y",Jun!I51,0)</f>
        <v>0</v>
      </c>
      <c r="J11" s="89">
        <f>IF(T$9="Y",Jun!J51,0)</f>
        <v>0</v>
      </c>
      <c r="K11" s="89">
        <f>IF(T$9="Y",Jun!K51,I11*J11)</f>
        <v>0</v>
      </c>
      <c r="L11" s="110">
        <f>IF(T$9="Y",Jun!L51,0)</f>
        <v>0</v>
      </c>
      <c r="M11" s="99" t="str">
        <f>IF(E11=" "," ",IF(T$9="Y",Jun!M51,IF((H11+K11+L11)&gt;0,H11+K11+L11,"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IF(T$9="Y",Jun!H52,0)</f>
        <v>0</v>
      </c>
      <c r="I12" s="92">
        <f>IF(T$9="Y",Jun!I52,0)</f>
        <v>0</v>
      </c>
      <c r="J12" s="92">
        <f>IF(T$9="Y",Jun!J52,0)</f>
        <v>0</v>
      </c>
      <c r="K12" s="92">
        <f>IF(T$9="Y",Jun!K52,I12*J12)</f>
        <v>0</v>
      </c>
      <c r="L12" s="111">
        <f>IF(T$9="Y",Jun!L52,0)</f>
        <v>0</v>
      </c>
      <c r="M12" s="100" t="str">
        <f>IF(E12=" "," ",IF(T$9="Y",Jun!M52,IF((H12+K12+L12)&gt;0,H12+K12+L12,"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IF(T$9="Y",Jun!H53,0)</f>
        <v>0</v>
      </c>
      <c r="I13" s="92">
        <f>IF(T$9="Y",Jun!I53,0)</f>
        <v>0</v>
      </c>
      <c r="J13" s="92">
        <f>IF(T$9="Y",Jun!J53,0)</f>
        <v>0</v>
      </c>
      <c r="K13" s="92">
        <f>IF(T$9="Y",Jun!K53,I13*J13)</f>
        <v>0</v>
      </c>
      <c r="L13" s="111">
        <f>IF(T$9="Y",Jun!L53,0)</f>
        <v>0</v>
      </c>
      <c r="M13" s="100" t="str">
        <f>IF(E13=" "," ",IF(T$9="Y",Jun!M53,IF((H13+K13+L13)&gt;0,H13+K13+L13,"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IF(T$9="Y",Jun!H54,0)</f>
        <v>0</v>
      </c>
      <c r="I14" s="92">
        <f>IF(T$9="Y",Jun!I54,0)</f>
        <v>0</v>
      </c>
      <c r="J14" s="92">
        <f>IF(T$9="Y",Jun!J54,0)</f>
        <v>0</v>
      </c>
      <c r="K14" s="92">
        <f>IF(T$9="Y",Jun!K54,I14*J14)</f>
        <v>0</v>
      </c>
      <c r="L14" s="111">
        <f>IF(T$9="Y",Jun!L54,0)</f>
        <v>0</v>
      </c>
      <c r="M14" s="100" t="str">
        <f>IF(E14=" "," ",IF(T$9="Y",Jun!M54,IF((H14+K14+L14)&gt;0,H14+K14+L14,"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IF(T$9="Y",Jun!H55,0)</f>
        <v>0</v>
      </c>
      <c r="I15" s="245">
        <f>IF(T$9="Y",Jun!I55,0)</f>
        <v>0</v>
      </c>
      <c r="J15" s="245">
        <f>IF(T$9="Y",Jun!J55,0)</f>
        <v>0</v>
      </c>
      <c r="K15" s="245">
        <f>IF(T$9="Y",Jun!K55,I15*J15)</f>
        <v>0</v>
      </c>
      <c r="L15" s="246">
        <f>IF(T$9="Y",Jun!L55,0)</f>
        <v>0</v>
      </c>
      <c r="M15" s="247" t="str">
        <f>IF(E15=" "," ",IF(T$9="Y",Jun!M55,IF((H15+K15+L15)&gt;0,H15+K15+L15,"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99" t="str">
        <f>IF(E11=" "," ",IF(T$9="Y",Jul!M41,IF((H11+K11+L11)&gt;0,H11+K11+L11,"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00" t="str">
        <f>IF(E12=" "," ",IF(T$9="Y",Jul!M42,IF((H12+K12+L12)&gt;0,H12+K12+L12,"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00" t="str">
        <f>IF(E13=" "," ",IF(T$9="Y",Jul!M43,IF((H13+K13+L13)&gt;0,H13+K13+L13,"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00" t="str">
        <f>IF(E14=" "," ",IF(T$9="Y",Jul!M44,IF((H14+K14+L14)&gt;0,H14+K14+L14,"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247" t="str">
        <f>IF(E15=" "," ",IF(T$9="Y",Jul!M45,IF((H15+K15+L15)&gt;0,H15+K15+L15,"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110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111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111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111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IF(T$49="Y",Jul!H55,0)</f>
        <v>0</v>
      </c>
      <c r="I55" s="245">
        <f>IF(T$49="Y",Jul!I55,0)</f>
        <v>0</v>
      </c>
      <c r="J55" s="245">
        <f>IF(T$49="Y",Jul!J55,0)</f>
        <v>0</v>
      </c>
      <c r="K55" s="245">
        <f>IF(T$49="Y",Jul!K55,I55*J55)</f>
        <v>0</v>
      </c>
      <c r="L55" s="246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Aug!M39+1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Sep!M49+1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110" t="str">
        <f>IF(E11=" "," ",IF(T$9="Y",Sep!M51,IF((H11+K11+L11)&gt;0,H11+K11+L11,"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11" t="str">
        <f>IF(E12=" "," ",IF(T$9="Y",Sep!M52,IF((H12+K12+L12)&gt;0,H12+K12+L12,"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11" t="str">
        <f>IF(E13=" "," ",IF(T$9="Y",Sep!M53,IF((H13+K13+L13)&gt;0,H13+K13+L13,"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11" t="str">
        <f>IF(E14=" "," ",IF(T$9="Y",Sep!M54,IF((H14+K14+L14)&gt;0,H14+K14+L14,"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111" t="str">
        <f>IF(E15=" "," ",IF(T$9="Y",Sep!M55,IF((H15+K15+L15)&gt;0,H15+K15+L15,"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Oct!M39+1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11" t="str">
        <f>IF(E12=" "," ",IF(T$9="Y",Oct!M42,IF((H12+K12+L12)&gt;0,H12+K12+L12,"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11" t="str">
        <f>IF(E13=" "," ",IF(T$9="Y",Oct!M43,IF((H13+K13+L13)&gt;0,H13+K13+L13,"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11" t="str">
        <f>IF(E14=" "," ",IF(T$9="Y",Oct!M44,IF((H14+K14+L14)&gt;0,H14+K14+L14,"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IF(T$19="Y",Oct!L45,0)</f>
        <v>0</v>
      </c>
      <c r="M15" s="111" t="str">
        <f>IF(E15=" "," ",IF(T$9="Y",Oct!M45,IF((H15+K15+L15)&gt;0,H15+K15+L15,"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Nov!M39+1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IF(T$69="Y",Nov!H51,0)</f>
        <v>0</v>
      </c>
      <c r="I71" s="89">
        <f>IF(T$69="Y",Nov!I51,0)</f>
        <v>0</v>
      </c>
      <c r="J71" s="89">
        <f>IF(T$69="Y",Nov!J51,0)</f>
        <v>0</v>
      </c>
      <c r="K71" s="89">
        <f>IF(T$69="Y",Nov!K51,I71*J71)</f>
        <v>0</v>
      </c>
      <c r="L71" s="110">
        <f>IF(T$69="Y",Nov!L51,0)</f>
        <v>0</v>
      </c>
      <c r="M71" s="99" t="str">
        <f>IF(E71=" "," ",IF(T$69="Y",Nov!M51,IF((H71+K71+L71)&gt;0,H71+K71+L71,"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IF(Employee!H$35=E$69,Employee!D$34+SUM(M71)+Nov!V51,SUM(M71)+Nov!V51)</f>
        <v>0</v>
      </c>
      <c r="W71" s="49">
        <f>IF(Employee!H$35=E$69,Employee!D$35+SUM(N71)+Nov!W51,SUM(N71)+Nov!W51)</f>
        <v>0</v>
      </c>
      <c r="X71" s="49">
        <f>IF(O71=" ",Nov!X51,O71+Nov!X51)</f>
        <v>0</v>
      </c>
      <c r="Y71" s="49">
        <f>IF(P71=" ",Nov!Y51,P71+Nov!Y51)</f>
        <v>0</v>
      </c>
      <c r="Z71" s="49">
        <f>IF(Q71=" ",Nov!Z51,Q71+Nov!Z51)</f>
        <v>0</v>
      </c>
      <c r="AA71" s="49">
        <f>IF(R71=" ",Nov!AA51,R71+Nov!AA51)</f>
        <v>0</v>
      </c>
      <c r="AC71" s="49">
        <f>IF(T71=" ",Nov!AC51,T71+Nov!AC51)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IF(T$69="Y",Nov!H52,0)</f>
        <v>0</v>
      </c>
      <c r="I72" s="92">
        <f>IF(T$69="Y",Nov!I52,0)</f>
        <v>0</v>
      </c>
      <c r="J72" s="92">
        <f>IF(T$69="Y",Nov!J52,0)</f>
        <v>0</v>
      </c>
      <c r="K72" s="92">
        <f>IF(T$69="Y",Nov!K52,I72*J72)</f>
        <v>0</v>
      </c>
      <c r="L72" s="111">
        <f>IF(T$69="Y",Nov!L52,0)</f>
        <v>0</v>
      </c>
      <c r="M72" s="100" t="str">
        <f>IF(E72=" "," ",IF(T$69="Y",Nov!M52,IF((H72+K72+L72)&gt;0,H72+K72+L72,"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IF(Employee!H$61=E$69,Employee!D$60+SUM(M72)+Nov!V52,SUM(M72)+Nov!V52)</f>
        <v>0</v>
      </c>
      <c r="W72" s="49">
        <f>IF(Employee!H$61=E$69,Employee!D$61+SUM(N72)+Nov!W52,SUM(N72)+Nov!W52)</f>
        <v>0</v>
      </c>
      <c r="X72" s="49">
        <f>IF(O72=" ",Nov!X52,O72+Nov!X52)</f>
        <v>0</v>
      </c>
      <c r="Y72" s="49">
        <f>IF(P72=" ",Nov!Y52,P72+Nov!Y52)</f>
        <v>0</v>
      </c>
      <c r="Z72" s="49">
        <f>IF(Q72=" ",Nov!Z52,Q72+Nov!Z52)</f>
        <v>0</v>
      </c>
      <c r="AA72" s="49">
        <f>IF(R72=" ",Nov!AA52,R72+Nov!AA52)</f>
        <v>0</v>
      </c>
      <c r="AC72" s="49">
        <f>IF(T72=" ",Nov!AC52,T72+Nov!AC52)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IF(T$69="Y",Nov!H53,0)</f>
        <v>0</v>
      </c>
      <c r="I73" s="92">
        <f>IF(T$69="Y",Nov!I53,0)</f>
        <v>0</v>
      </c>
      <c r="J73" s="92">
        <f>IF(T$69="Y",Nov!J53,0)</f>
        <v>0</v>
      </c>
      <c r="K73" s="92">
        <f>IF(T$69="Y",Nov!K53,I73*J73)</f>
        <v>0</v>
      </c>
      <c r="L73" s="111">
        <f>IF(T$69="Y",Nov!L53,0)</f>
        <v>0</v>
      </c>
      <c r="M73" s="100" t="str">
        <f>IF(E73=" "," ",IF(T$69="Y",Nov!M53,IF((H73+K73+L73)&gt;0,H73+K73+L73,"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IF(Employee!H$87=E$69,Employee!D$86+SUM(M73)+Nov!V53,SUM(M73)+Nov!V53)</f>
        <v>0</v>
      </c>
      <c r="W73" s="49">
        <f>IF(Employee!H$87=E$69,Employee!D$87+SUM(N73)+Nov!W53,SUM(N73)+Nov!W53)</f>
        <v>0</v>
      </c>
      <c r="X73" s="49">
        <f>IF(O73=" ",Nov!X53,O73+Nov!X53)</f>
        <v>0</v>
      </c>
      <c r="Y73" s="49">
        <f>IF(P73=" ",Nov!Y53,P73+Nov!Y53)</f>
        <v>0</v>
      </c>
      <c r="Z73" s="49">
        <f>IF(Q73=" ",Nov!Z53,Q73+Nov!Z53)</f>
        <v>0</v>
      </c>
      <c r="AA73" s="49">
        <f>IF(R73=" ",Nov!AA53,R73+Nov!AA53)</f>
        <v>0</v>
      </c>
      <c r="AC73" s="49">
        <f>IF(T73=" ",Nov!AC53,T73+Nov!AC53)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IF(T$69="Y",Nov!H54,0)</f>
        <v>0</v>
      </c>
      <c r="I74" s="92">
        <f>IF(T$69="Y",Nov!I54,0)</f>
        <v>0</v>
      </c>
      <c r="J74" s="92">
        <f>IF(T$69="Y",Nov!J54,0)</f>
        <v>0</v>
      </c>
      <c r="K74" s="92">
        <f>IF(T$69="Y",Nov!K54,I74*J74)</f>
        <v>0</v>
      </c>
      <c r="L74" s="111">
        <f>IF(T$69="Y",Nov!L54,0)</f>
        <v>0</v>
      </c>
      <c r="M74" s="100" t="str">
        <f>IF(E74=" "," ",IF(T$69="Y",Nov!M54,IF((H74+K74+L74)&gt;0,H74+K74+L74,"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IF(Employee!H$113=E$69,Employee!D$112+SUM(M74)+Nov!V54,SUM(M74)+Nov!V54)</f>
        <v>0</v>
      </c>
      <c r="W74" s="49">
        <f>IF(Employee!H$113=E$69,Employee!D$113+SUM(N74)+Nov!W54,SUM(N74)+Nov!W54)</f>
        <v>0</v>
      </c>
      <c r="X74" s="49">
        <f>IF(O74=" ",Nov!X54,O74+Nov!X54)</f>
        <v>0</v>
      </c>
      <c r="Y74" s="49">
        <f>IF(P74=" ",Nov!Y54,P74+Nov!Y54)</f>
        <v>0</v>
      </c>
      <c r="Z74" s="49">
        <f>IF(Q74=" ",Nov!Z54,Q74+Nov!Z54)</f>
        <v>0</v>
      </c>
      <c r="AA74" s="49">
        <f>IF(R74=" ",Nov!AA54,R74+Nov!AA54)</f>
        <v>0</v>
      </c>
      <c r="AC74" s="49">
        <f>IF(T74=" ",Nov!AC54,T74+Nov!AC54)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IF(T$69="Y",Nov!H55,0)</f>
        <v>0</v>
      </c>
      <c r="I75" s="245">
        <f>IF(T$69="Y",Nov!I55,0)</f>
        <v>0</v>
      </c>
      <c r="J75" s="245">
        <f>IF(T$69="Y",Nov!J55,0)</f>
        <v>0</v>
      </c>
      <c r="K75" s="245">
        <f>IF(T$69="Y",Nov!K55,I75*J75)</f>
        <v>0</v>
      </c>
      <c r="L75" s="246">
        <f>IF(T$69="Y",Nov!L55,0)</f>
        <v>0</v>
      </c>
      <c r="M75" s="100" t="str">
        <f>IF(E75=" "," ",IF(T$69="Y",Nov!M55,IF((H75+K75+L75)&gt;0,H75+K75+L75,"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IF(Employee!H$139=E$69,Employee!D$138+SUM(M75)+Nov!V55,SUM(M75)+Nov!V55)</f>
        <v>0</v>
      </c>
      <c r="W75" s="49">
        <f>IF(Employee!H$139=E$69,Employee!D$139+SUM(N75)+Nov!W55,SUM(N75)+Nov!W55)</f>
        <v>0</v>
      </c>
      <c r="X75" s="49">
        <f>IF(O75=" ",Nov!X55,O75+Nov!X55)</f>
        <v>0</v>
      </c>
      <c r="Y75" s="49">
        <f>IF(P75=" ",Nov!Y55,P75+Nov!Y55)</f>
        <v>0</v>
      </c>
      <c r="Z75" s="49">
        <f>IF(Q75=" ",Nov!Z55,Q75+Nov!Z55)</f>
        <v>0</v>
      </c>
      <c r="AA75" s="49">
        <f>IF(R75=" ",Nov!AA55,R75+Nov!AA55)</f>
        <v>0</v>
      </c>
      <c r="AC75" s="49">
        <f>IF(T75=" ",Nov!AC55,T75+Nov!AC55)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AD80+Nov!AD65</f>
        <v>0</v>
      </c>
      <c r="AE85" s="158">
        <f>AE80+Nov!AE65</f>
        <v>0</v>
      </c>
      <c r="AF85" s="158">
        <f>AF80+Nov!AF65</f>
        <v>0</v>
      </c>
      <c r="AG85" s="158">
        <f>AG80+Nov!AG65</f>
        <v>0</v>
      </c>
    </row>
    <row r="86" spans="6:33" ht="14" thickTop="1" x14ac:dyDescent="0.15"/>
    <row r="87" spans="6:33" x14ac:dyDescent="0.15">
      <c r="AD87" s="162"/>
      <c r="AE87" s="158">
        <f>AE82+Nov!AE67</f>
        <v>0</v>
      </c>
      <c r="AF87" s="158">
        <f>AF82+Nov!AF67</f>
        <v>0</v>
      </c>
      <c r="AG87" s="158">
        <f>AG82+Nov!AG67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Jan!T1+Jan!O1</f>
        <v>0</v>
      </c>
      <c r="E4" s="228">
        <f>Jan!N1</f>
        <v>0</v>
      </c>
      <c r="F4" s="228">
        <f>Jan!AD60+Jan!AE60+Jan!AF60+Jan!AG60</f>
        <v>0</v>
      </c>
      <c r="G4" s="228">
        <f>Jan!AE62+Jan!AF62+Jan!AG62</f>
        <v>0</v>
      </c>
      <c r="H4" s="228">
        <f>Jan!P1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Feb!T1+Feb!O1</f>
        <v>0</v>
      </c>
      <c r="E5" s="228">
        <f>Feb!N1</f>
        <v>0</v>
      </c>
      <c r="F5" s="228">
        <f>Feb!AD60+Feb!AE60+Feb!AF60+Feb!AG60</f>
        <v>0</v>
      </c>
      <c r="G5" s="228">
        <f>Feb!AE62+Feb!AF62+Feb!AG62</f>
        <v>0</v>
      </c>
      <c r="H5" s="228">
        <f>Feb!P1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Mar!T1+Mar!O1</f>
        <v>0</v>
      </c>
      <c r="E6" s="228">
        <f>Mar!N1</f>
        <v>0</v>
      </c>
      <c r="F6" s="228">
        <f>Mar!AD70+Mar!AE70+Mar!AF70+Mar!AG70</f>
        <v>0</v>
      </c>
      <c r="G6" s="228">
        <f>Mar!AE72+Mar!AF72+Mar!AG72</f>
        <v>0</v>
      </c>
      <c r="H6" s="228">
        <f>Mar!P1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Apr!T1+Apr!O1</f>
        <v>0</v>
      </c>
      <c r="E7" s="228">
        <f>Apr!N1</f>
        <v>0</v>
      </c>
      <c r="F7" s="228">
        <f>Apr!AD60+Apr!AE60+Apr!AF60+Apr!AG60</f>
        <v>0</v>
      </c>
      <c r="G7" s="228">
        <f>Apr!AE62+Apr!AF62+Apr!AG62</f>
        <v>0</v>
      </c>
      <c r="H7" s="228">
        <f>Apr!P1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May!T1+May!O1</f>
        <v>0</v>
      </c>
      <c r="E8" s="228">
        <f>May!N1</f>
        <v>0</v>
      </c>
      <c r="F8" s="228">
        <f>May!AD60+May!AE60+May!AF60+May!AG60</f>
        <v>0</v>
      </c>
      <c r="G8" s="228">
        <f>May!AE62+May!AF62+May!AG62</f>
        <v>0</v>
      </c>
      <c r="H8" s="228">
        <f>May!P1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Jun!T1+Jun!O1</f>
        <v>0</v>
      </c>
      <c r="E9" s="228">
        <f>Jun!N1</f>
        <v>0</v>
      </c>
      <c r="F9" s="228">
        <f>Jun!AD70+Jun!AE70+Jun!AF70+Jun!AG70</f>
        <v>0</v>
      </c>
      <c r="G9" s="228">
        <f>Jun!AE72+Jun!AF72+Jun!AG72</f>
        <v>0</v>
      </c>
      <c r="H9" s="228">
        <f>Jun!P1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Jul!T1+Jul!O1</f>
        <v>0</v>
      </c>
      <c r="E10" s="228">
        <f>Jul!N1</f>
        <v>0</v>
      </c>
      <c r="F10" s="228">
        <f>Jul!AD60+Jul!AE60+Jul!AF60+Jul!AG60</f>
        <v>0</v>
      </c>
      <c r="G10" s="228">
        <f>Jul!AE62+Jul!AF62+Jul!AG62</f>
        <v>0</v>
      </c>
      <c r="H10" s="228">
        <f>Jul!P1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Aug!T1+Aug!O1</f>
        <v>0</v>
      </c>
      <c r="E11" s="228">
        <f>Aug!N1</f>
        <v>0</v>
      </c>
      <c r="F11" s="228">
        <f>Aug!AD60+Aug!AE60+Aug!AF60+Aug!AG60</f>
        <v>0</v>
      </c>
      <c r="G11" s="228">
        <f>Aug!AE62+Aug!AF62+Aug!AG62</f>
        <v>0</v>
      </c>
      <c r="H11" s="228">
        <f>Aug!P1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Sep!T1+Sep!O1</f>
        <v>0</v>
      </c>
      <c r="E12" s="228">
        <f>Sep!N1</f>
        <v>0</v>
      </c>
      <c r="F12" s="228">
        <f>Sep!AD70+Sep!AE70+Sep!AF70+Sep!AG70</f>
        <v>0</v>
      </c>
      <c r="G12" s="228">
        <f>Sep!AE72+Sep!AF72+Sep!AG72</f>
        <v>0</v>
      </c>
      <c r="H12" s="228">
        <f>Sep!P1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Oct!T1+Oct!O1</f>
        <v>0</v>
      </c>
      <c r="E13" s="228">
        <f>Oct!N1</f>
        <v>0</v>
      </c>
      <c r="F13" s="228">
        <f>Oct!AD60+Oct!AE60+Oct!AF60+Oct!AG60</f>
        <v>0</v>
      </c>
      <c r="G13" s="228">
        <f>Oct!AE62+Oct!AF62+Oct!AG62</f>
        <v>0</v>
      </c>
      <c r="H13" s="228">
        <f>Oct!P1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Nov!T1+Nov!O1</f>
        <v>0</v>
      </c>
      <c r="E14" s="228">
        <f>Nov!N1</f>
        <v>0</v>
      </c>
      <c r="F14" s="228">
        <f>Nov!AD60+Nov!AE60+Nov!AF60+Nov!AG60</f>
        <v>0</v>
      </c>
      <c r="G14" s="228">
        <f>Nov!AE62+Nov!AF62+Nov!AG62</f>
        <v>0</v>
      </c>
      <c r="H14" s="228">
        <f>Nov!P1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Dec!T1+Dec!O1</f>
        <v>0</v>
      </c>
      <c r="E15" s="228">
        <f>Dec!N1</f>
        <v>0</v>
      </c>
      <c r="F15" s="228">
        <f>Dec!AD80+Dec!AE80+Dec!AF80+Dec!AG80</f>
        <v>0</v>
      </c>
      <c r="G15" s="228">
        <f>Dec!AE82+Dec!AF82+Dec!AG82</f>
        <v>0</v>
      </c>
      <c r="H15" s="228">
        <f>Dec!P1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45753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