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Feb" sheetId="12" r:id="rId2"/>
    <sheet name="Mar" sheetId="11" r:id="rId3"/>
    <sheet name="Apr" sheetId="10" r:id="rId4"/>
    <sheet name="May" sheetId="9" r:id="rId5"/>
    <sheet name="Jun" sheetId="8" r:id="rId6"/>
    <sheet name="Jul" sheetId="17" r:id="rId7"/>
    <sheet name="Aug" sheetId="16" r:id="rId8"/>
    <sheet name="Sep" sheetId="15" r:id="rId9"/>
    <sheet name="Oct" sheetId="14" r:id="rId10"/>
    <sheet name="Nov" sheetId="13" r:id="rId11"/>
    <sheet name="Dec" sheetId="19" r:id="rId12"/>
    <sheet name="Jan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<sst xmlns="http://schemas.openxmlformats.org/spreadsheetml/2006/main" count="1383" uniqueCount="138">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</sst>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45388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45389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45390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45391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45392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45393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45394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45388</v>
      </c>
      <c r="N9" s="5"/>
      <c r="O9" s="163">
        <f>Admin!I1</f>
        <v>45752</v>
      </c>
      <c r="P9" s="145"/>
      <c r="Q9" s="140"/>
      <c r="R9" s="141"/>
      <c r="S9" s="141"/>
      <c r="T9" s="80"/>
      <c r="U9" s="345"/>
      <c r="W9" s="206">
        <f>Admin!B9</f>
        <v>45395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45396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45397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45398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45399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45400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45401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45402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45403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45404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45405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45406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45407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45408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45409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45410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45411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45412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45413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45414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45415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45416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45417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45418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45419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45420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45421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45422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45423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45424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45425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45426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45427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45428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45429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45430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45431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45432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45433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45434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45435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45436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45437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45438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45439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45440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45441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45442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45443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45444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45445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45446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45447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45448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45449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45450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45451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45452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45453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45454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45455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45456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45457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45458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45459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45460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45461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45462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45463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45464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45465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45466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45467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45468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45469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45470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45471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45472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45473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45474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45475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45476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45477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45478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45479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45480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45481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45482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45483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45484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45485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45486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45487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45488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45489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45490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45491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45492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45493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45494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45495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45496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45497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45498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45499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45500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45501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45502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45503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45504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45505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45506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45507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45508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45509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45510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45511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45512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45513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45514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45515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45516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45517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45518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45519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45520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45521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45522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45523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45524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45525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45526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45527</v>
      </c>
    </row>
    <row r="142" spans="1:23" x14ac:dyDescent="0.15">
      <c r="W142" s="206">
        <f>Admin!B142</f>
        <v>45528</v>
      </c>
    </row>
    <row r="143" spans="1:23" x14ac:dyDescent="0.15">
      <c r="W143" s="206">
        <f>Admin!B143</f>
        <v>45529</v>
      </c>
    </row>
    <row r="144" spans="1:23" x14ac:dyDescent="0.15">
      <c r="W144" s="206">
        <f>Admin!B144</f>
        <v>45530</v>
      </c>
    </row>
    <row r="145" spans="23:23" x14ac:dyDescent="0.15">
      <c r="W145" s="206">
        <f>Admin!B145</f>
        <v>45531</v>
      </c>
    </row>
    <row r="146" spans="23:23" x14ac:dyDescent="0.15">
      <c r="W146" s="206">
        <f>Admin!B146</f>
        <v>45532</v>
      </c>
    </row>
    <row r="147" spans="23:23" x14ac:dyDescent="0.15">
      <c r="W147" s="206">
        <f>Admin!B147</f>
        <v>45533</v>
      </c>
    </row>
    <row r="148" spans="23:23" x14ac:dyDescent="0.15">
      <c r="W148" s="206">
        <f>Admin!B148</f>
        <v>45534</v>
      </c>
    </row>
    <row r="149" spans="23:23" x14ac:dyDescent="0.15">
      <c r="W149" s="206">
        <f>Admin!B149</f>
        <v>45535</v>
      </c>
    </row>
    <row r="150" spans="23:23" x14ac:dyDescent="0.15">
      <c r="W150" s="206">
        <f>Admin!B150</f>
        <v>45536</v>
      </c>
    </row>
    <row r="151" spans="23:23" x14ac:dyDescent="0.15">
      <c r="W151" s="206">
        <f>Admin!B151</f>
        <v>45537</v>
      </c>
    </row>
    <row r="152" spans="23:23" x14ac:dyDescent="0.15">
      <c r="W152" s="206">
        <f>Admin!B152</f>
        <v>45538</v>
      </c>
    </row>
    <row r="153" spans="23:23" x14ac:dyDescent="0.15">
      <c r="W153" s="206">
        <f>Admin!B153</f>
        <v>45539</v>
      </c>
    </row>
    <row r="154" spans="23:23" x14ac:dyDescent="0.15">
      <c r="W154" s="206">
        <f>Admin!B154</f>
        <v>45540</v>
      </c>
    </row>
    <row r="155" spans="23:23" x14ac:dyDescent="0.15">
      <c r="W155" s="206">
        <f>Admin!B155</f>
        <v>45541</v>
      </c>
    </row>
    <row r="156" spans="23:23" x14ac:dyDescent="0.15">
      <c r="W156" s="206">
        <f>Admin!B156</f>
        <v>45542</v>
      </c>
    </row>
    <row r="157" spans="23:23" x14ac:dyDescent="0.15">
      <c r="W157" s="206">
        <f>Admin!B157</f>
        <v>45543</v>
      </c>
    </row>
    <row r="158" spans="23:23" x14ac:dyDescent="0.15">
      <c r="W158" s="206">
        <f>Admin!B158</f>
        <v>45544</v>
      </c>
    </row>
    <row r="159" spans="23:23" x14ac:dyDescent="0.15">
      <c r="W159" s="206">
        <f>Admin!B159</f>
        <v>45545</v>
      </c>
    </row>
    <row r="160" spans="23:23" x14ac:dyDescent="0.15">
      <c r="W160" s="206">
        <f>Admin!B160</f>
        <v>45546</v>
      </c>
    </row>
    <row r="161" spans="23:23" x14ac:dyDescent="0.15">
      <c r="W161" s="206">
        <f>Admin!B161</f>
        <v>45547</v>
      </c>
    </row>
    <row r="162" spans="23:23" x14ac:dyDescent="0.15">
      <c r="W162" s="206">
        <f>Admin!B162</f>
        <v>45548</v>
      </c>
    </row>
    <row r="163" spans="23:23" x14ac:dyDescent="0.15">
      <c r="W163" s="206">
        <f>Admin!B163</f>
        <v>45549</v>
      </c>
    </row>
    <row r="164" spans="23:23" x14ac:dyDescent="0.15">
      <c r="W164" s="206">
        <f>Admin!B164</f>
        <v>45550</v>
      </c>
    </row>
    <row r="165" spans="23:23" x14ac:dyDescent="0.15">
      <c r="W165" s="206">
        <f>Admin!B165</f>
        <v>45551</v>
      </c>
    </row>
    <row r="166" spans="23:23" x14ac:dyDescent="0.15">
      <c r="W166" s="206">
        <f>Admin!B166</f>
        <v>45552</v>
      </c>
    </row>
    <row r="167" spans="23:23" x14ac:dyDescent="0.15">
      <c r="W167" s="206">
        <f>Admin!B167</f>
        <v>45553</v>
      </c>
    </row>
    <row r="168" spans="23:23" x14ac:dyDescent="0.15">
      <c r="W168" s="206">
        <f>Admin!B168</f>
        <v>45554</v>
      </c>
    </row>
    <row r="169" spans="23:23" x14ac:dyDescent="0.15">
      <c r="W169" s="206">
        <f>Admin!B169</f>
        <v>45555</v>
      </c>
    </row>
    <row r="170" spans="23:23" x14ac:dyDescent="0.15">
      <c r="W170" s="206">
        <f>Admin!B170</f>
        <v>45556</v>
      </c>
    </row>
    <row r="171" spans="23:23" x14ac:dyDescent="0.15">
      <c r="W171" s="206">
        <f>Admin!B171</f>
        <v>45557</v>
      </c>
    </row>
    <row r="172" spans="23:23" x14ac:dyDescent="0.15">
      <c r="W172" s="206">
        <f>Admin!B172</f>
        <v>45558</v>
      </c>
    </row>
    <row r="173" spans="23:23" x14ac:dyDescent="0.15">
      <c r="W173" s="206">
        <f>Admin!B173</f>
        <v>45559</v>
      </c>
    </row>
    <row r="174" spans="23:23" x14ac:dyDescent="0.15">
      <c r="W174" s="206">
        <f>Admin!B174</f>
        <v>45560</v>
      </c>
    </row>
    <row r="175" spans="23:23" x14ac:dyDescent="0.15">
      <c r="W175" s="206">
        <f>Admin!B175</f>
        <v>45561</v>
      </c>
    </row>
    <row r="176" spans="23:23" x14ac:dyDescent="0.15">
      <c r="W176" s="206">
        <f>Admin!B176</f>
        <v>45562</v>
      </c>
    </row>
    <row r="177" spans="23:23" x14ac:dyDescent="0.15">
      <c r="W177" s="206">
        <f>Admin!B177</f>
        <v>45563</v>
      </c>
    </row>
    <row r="178" spans="23:23" x14ac:dyDescent="0.15">
      <c r="W178" s="206">
        <f>Admin!B178</f>
        <v>45564</v>
      </c>
    </row>
    <row r="179" spans="23:23" x14ac:dyDescent="0.15">
      <c r="W179" s="206">
        <f>Admin!B179</f>
        <v>45565</v>
      </c>
    </row>
    <row r="180" spans="23:23" x14ac:dyDescent="0.15">
      <c r="W180" s="206">
        <f>Admin!B180</f>
        <v>45566</v>
      </c>
    </row>
    <row r="181" spans="23:23" x14ac:dyDescent="0.15">
      <c r="W181" s="206">
        <f>Admin!B181</f>
        <v>45567</v>
      </c>
    </row>
    <row r="182" spans="23:23" x14ac:dyDescent="0.15">
      <c r="W182" s="206">
        <f>Admin!B182</f>
        <v>45568</v>
      </c>
    </row>
    <row r="183" spans="23:23" x14ac:dyDescent="0.15">
      <c r="W183" s="206">
        <f>Admin!B183</f>
        <v>45569</v>
      </c>
    </row>
    <row r="184" spans="23:23" x14ac:dyDescent="0.15">
      <c r="W184" s="206">
        <f>Admin!B184</f>
        <v>45570</v>
      </c>
    </row>
    <row r="185" spans="23:23" x14ac:dyDescent="0.15">
      <c r="W185" s="206">
        <f>Admin!B185</f>
        <v>45571</v>
      </c>
    </row>
    <row r="186" spans="23:23" x14ac:dyDescent="0.15">
      <c r="W186" s="206">
        <f>Admin!B186</f>
        <v>45572</v>
      </c>
    </row>
    <row r="187" spans="23:23" x14ac:dyDescent="0.15">
      <c r="W187" s="206">
        <f>Admin!B187</f>
        <v>45573</v>
      </c>
    </row>
    <row r="188" spans="23:23" x14ac:dyDescent="0.15">
      <c r="W188" s="206">
        <f>Admin!B188</f>
        <v>45574</v>
      </c>
    </row>
    <row r="189" spans="23:23" x14ac:dyDescent="0.15">
      <c r="W189" s="206">
        <f>Admin!B189</f>
        <v>45575</v>
      </c>
    </row>
    <row r="190" spans="23:23" x14ac:dyDescent="0.15">
      <c r="W190" s="206">
        <f>Admin!B190</f>
        <v>45576</v>
      </c>
    </row>
    <row r="191" spans="23:23" x14ac:dyDescent="0.15">
      <c r="W191" s="206">
        <f>Admin!B191</f>
        <v>45577</v>
      </c>
    </row>
    <row r="192" spans="23:23" x14ac:dyDescent="0.15">
      <c r="W192" s="206">
        <f>Admin!B192</f>
        <v>45578</v>
      </c>
    </row>
    <row r="193" spans="23:23" x14ac:dyDescent="0.15">
      <c r="W193" s="206">
        <f>Admin!B193</f>
        <v>45579</v>
      </c>
    </row>
    <row r="194" spans="23:23" x14ac:dyDescent="0.15">
      <c r="W194" s="206">
        <f>Admin!B194</f>
        <v>45580</v>
      </c>
    </row>
    <row r="195" spans="23:23" x14ac:dyDescent="0.15">
      <c r="W195" s="206">
        <f>Admin!B195</f>
        <v>45581</v>
      </c>
    </row>
    <row r="196" spans="23:23" x14ac:dyDescent="0.15">
      <c r="W196" s="206">
        <f>Admin!B196</f>
        <v>45582</v>
      </c>
    </row>
    <row r="197" spans="23:23" x14ac:dyDescent="0.15">
      <c r="W197" s="206">
        <f>Admin!B197</f>
        <v>45583</v>
      </c>
    </row>
    <row r="198" spans="23:23" x14ac:dyDescent="0.15">
      <c r="W198" s="206">
        <f>Admin!B198</f>
        <v>45584</v>
      </c>
    </row>
    <row r="199" spans="23:23" x14ac:dyDescent="0.15">
      <c r="W199" s="206">
        <f>Admin!B199</f>
        <v>45585</v>
      </c>
    </row>
    <row r="200" spans="23:23" x14ac:dyDescent="0.15">
      <c r="W200" s="206">
        <f>Admin!B200</f>
        <v>45586</v>
      </c>
    </row>
    <row r="201" spans="23:23" x14ac:dyDescent="0.15">
      <c r="W201" s="206">
        <f>Admin!B201</f>
        <v>45587</v>
      </c>
    </row>
    <row r="202" spans="23:23" x14ac:dyDescent="0.15">
      <c r="W202" s="206">
        <f>Admin!B202</f>
        <v>45588</v>
      </c>
    </row>
    <row r="203" spans="23:23" x14ac:dyDescent="0.15">
      <c r="W203" s="206">
        <f>Admin!B203</f>
        <v>45589</v>
      </c>
    </row>
    <row r="204" spans="23:23" x14ac:dyDescent="0.15">
      <c r="W204" s="206">
        <f>Admin!B204</f>
        <v>45590</v>
      </c>
    </row>
    <row r="205" spans="23:23" x14ac:dyDescent="0.15">
      <c r="W205" s="206">
        <f>Admin!B205</f>
        <v>45591</v>
      </c>
    </row>
    <row r="206" spans="23:23" x14ac:dyDescent="0.15">
      <c r="W206" s="206">
        <f>Admin!B206</f>
        <v>45592</v>
      </c>
    </row>
    <row r="207" spans="23:23" x14ac:dyDescent="0.15">
      <c r="W207" s="206">
        <f>Admin!B207</f>
        <v>45593</v>
      </c>
    </row>
    <row r="208" spans="23:23" x14ac:dyDescent="0.15">
      <c r="W208" s="206">
        <f>Admin!B208</f>
        <v>45594</v>
      </c>
    </row>
    <row r="209" spans="23:23" x14ac:dyDescent="0.15">
      <c r="W209" s="206">
        <f>Admin!B209</f>
        <v>45595</v>
      </c>
    </row>
    <row r="210" spans="23:23" x14ac:dyDescent="0.15">
      <c r="W210" s="206">
        <f>Admin!B210</f>
        <v>45596</v>
      </c>
    </row>
    <row r="211" spans="23:23" x14ac:dyDescent="0.15">
      <c r="W211" s="206">
        <f>Admin!B211</f>
        <v>45597</v>
      </c>
    </row>
    <row r="212" spans="23:23" x14ac:dyDescent="0.15">
      <c r="W212" s="206">
        <f>Admin!B212</f>
        <v>45598</v>
      </c>
    </row>
    <row r="213" spans="23:23" x14ac:dyDescent="0.15">
      <c r="W213" s="206">
        <f>Admin!B213</f>
        <v>45599</v>
      </c>
    </row>
    <row r="214" spans="23:23" x14ac:dyDescent="0.15">
      <c r="W214" s="206">
        <f>Admin!B214</f>
        <v>45600</v>
      </c>
    </row>
    <row r="215" spans="23:23" x14ac:dyDescent="0.15">
      <c r="W215" s="206">
        <f>Admin!B215</f>
        <v>45601</v>
      </c>
    </row>
    <row r="216" spans="23:23" x14ac:dyDescent="0.15">
      <c r="W216" s="206">
        <f>Admin!B216</f>
        <v>45602</v>
      </c>
    </row>
    <row r="217" spans="23:23" x14ac:dyDescent="0.15">
      <c r="W217" s="206">
        <f>Admin!B217</f>
        <v>45603</v>
      </c>
    </row>
    <row r="218" spans="23:23" x14ac:dyDescent="0.15">
      <c r="W218" s="206">
        <f>Admin!B218</f>
        <v>45604</v>
      </c>
    </row>
    <row r="219" spans="23:23" x14ac:dyDescent="0.15">
      <c r="W219" s="206">
        <f>Admin!B219</f>
        <v>45605</v>
      </c>
    </row>
    <row r="220" spans="23:23" x14ac:dyDescent="0.15">
      <c r="W220" s="206">
        <f>Admin!B220</f>
        <v>45606</v>
      </c>
    </row>
    <row r="221" spans="23:23" x14ac:dyDescent="0.15">
      <c r="W221" s="206">
        <f>Admin!B221</f>
        <v>45607</v>
      </c>
    </row>
    <row r="222" spans="23:23" x14ac:dyDescent="0.15">
      <c r="W222" s="206">
        <f>Admin!B222</f>
        <v>45608</v>
      </c>
    </row>
    <row r="223" spans="23:23" x14ac:dyDescent="0.15">
      <c r="W223" s="206">
        <f>Admin!B223</f>
        <v>45609</v>
      </c>
    </row>
    <row r="224" spans="23:23" x14ac:dyDescent="0.15">
      <c r="W224" s="206">
        <f>Admin!B224</f>
        <v>45610</v>
      </c>
    </row>
    <row r="225" spans="23:23" x14ac:dyDescent="0.15">
      <c r="W225" s="206">
        <f>Admin!B225</f>
        <v>45611</v>
      </c>
    </row>
    <row r="226" spans="23:23" x14ac:dyDescent="0.15">
      <c r="W226" s="206">
        <f>Admin!B226</f>
        <v>45612</v>
      </c>
    </row>
    <row r="227" spans="23:23" x14ac:dyDescent="0.15">
      <c r="W227" s="206">
        <f>Admin!B227</f>
        <v>45613</v>
      </c>
    </row>
    <row r="228" spans="23:23" x14ac:dyDescent="0.15">
      <c r="W228" s="206">
        <f>Admin!B228</f>
        <v>45614</v>
      </c>
    </row>
    <row r="229" spans="23:23" x14ac:dyDescent="0.15">
      <c r="W229" s="206">
        <f>Admin!B229</f>
        <v>45615</v>
      </c>
    </row>
    <row r="230" spans="23:23" x14ac:dyDescent="0.15">
      <c r="W230" s="206">
        <f>Admin!B230</f>
        <v>45616</v>
      </c>
    </row>
    <row r="231" spans="23:23" x14ac:dyDescent="0.15">
      <c r="W231" s="206">
        <f>Admin!B231</f>
        <v>45617</v>
      </c>
    </row>
    <row r="232" spans="23:23" x14ac:dyDescent="0.15">
      <c r="W232" s="206">
        <f>Admin!B232</f>
        <v>45618</v>
      </c>
    </row>
    <row r="233" spans="23:23" x14ac:dyDescent="0.15">
      <c r="W233" s="206">
        <f>Admin!B233</f>
        <v>45619</v>
      </c>
    </row>
    <row r="234" spans="23:23" x14ac:dyDescent="0.15">
      <c r="W234" s="206">
        <f>Admin!B234</f>
        <v>45620</v>
      </c>
    </row>
    <row r="235" spans="23:23" x14ac:dyDescent="0.15">
      <c r="W235" s="206">
        <f>Admin!B235</f>
        <v>45621</v>
      </c>
    </row>
    <row r="236" spans="23:23" x14ac:dyDescent="0.15">
      <c r="W236" s="206">
        <f>Admin!B236</f>
        <v>45622</v>
      </c>
    </row>
    <row r="237" spans="23:23" x14ac:dyDescent="0.15">
      <c r="W237" s="206">
        <f>Admin!B237</f>
        <v>45623</v>
      </c>
    </row>
    <row r="238" spans="23:23" x14ac:dyDescent="0.15">
      <c r="W238" s="206">
        <f>Admin!B238</f>
        <v>45624</v>
      </c>
    </row>
    <row r="239" spans="23:23" x14ac:dyDescent="0.15">
      <c r="W239" s="206">
        <f>Admin!B239</f>
        <v>45625</v>
      </c>
    </row>
    <row r="240" spans="23:23" x14ac:dyDescent="0.15">
      <c r="W240" s="206">
        <f>Admin!B240</f>
        <v>45626</v>
      </c>
    </row>
    <row r="241" spans="23:23" x14ac:dyDescent="0.15">
      <c r="W241" s="206">
        <f>Admin!B241</f>
        <v>45627</v>
      </c>
    </row>
    <row r="242" spans="23:23" x14ac:dyDescent="0.15">
      <c r="W242" s="206">
        <f>Admin!B242</f>
        <v>45628</v>
      </c>
    </row>
    <row r="243" spans="23:23" x14ac:dyDescent="0.15">
      <c r="W243" s="206">
        <f>Admin!B243</f>
        <v>45629</v>
      </c>
    </row>
    <row r="244" spans="23:23" x14ac:dyDescent="0.15">
      <c r="W244" s="206">
        <f>Admin!B244</f>
        <v>45630</v>
      </c>
    </row>
    <row r="245" spans="23:23" x14ac:dyDescent="0.15">
      <c r="W245" s="206">
        <f>Admin!B245</f>
        <v>45631</v>
      </c>
    </row>
    <row r="246" spans="23:23" x14ac:dyDescent="0.15">
      <c r="W246" s="206">
        <f>Admin!B246</f>
        <v>45632</v>
      </c>
    </row>
    <row r="247" spans="23:23" x14ac:dyDescent="0.15">
      <c r="W247" s="206">
        <f>Admin!B247</f>
        <v>45633</v>
      </c>
    </row>
    <row r="248" spans="23:23" x14ac:dyDescent="0.15">
      <c r="W248" s="206">
        <f>Admin!B248</f>
        <v>45634</v>
      </c>
    </row>
    <row r="249" spans="23:23" x14ac:dyDescent="0.15">
      <c r="W249" s="206">
        <f>Admin!B249</f>
        <v>45635</v>
      </c>
    </row>
    <row r="250" spans="23:23" x14ac:dyDescent="0.15">
      <c r="W250" s="206">
        <f>Admin!B250</f>
        <v>45636</v>
      </c>
    </row>
    <row r="251" spans="23:23" x14ac:dyDescent="0.15">
      <c r="W251" s="206">
        <f>Admin!B251</f>
        <v>45637</v>
      </c>
    </row>
    <row r="252" spans="23:23" x14ac:dyDescent="0.15">
      <c r="W252" s="206">
        <f>Admin!B252</f>
        <v>45638</v>
      </c>
    </row>
    <row r="253" spans="23:23" x14ac:dyDescent="0.15">
      <c r="W253" s="206">
        <f>Admin!B253</f>
        <v>45639</v>
      </c>
    </row>
    <row r="254" spans="23:23" x14ac:dyDescent="0.15">
      <c r="W254" s="206">
        <f>Admin!B254</f>
        <v>45640</v>
      </c>
    </row>
    <row r="255" spans="23:23" x14ac:dyDescent="0.15">
      <c r="W255" s="206">
        <f>Admin!B255</f>
        <v>45641</v>
      </c>
    </row>
    <row r="256" spans="23:23" x14ac:dyDescent="0.15">
      <c r="W256" s="206">
        <f>Admin!B256</f>
        <v>45642</v>
      </c>
    </row>
    <row r="257" spans="23:23" x14ac:dyDescent="0.15">
      <c r="W257" s="206">
        <f>Admin!B257</f>
        <v>45643</v>
      </c>
    </row>
    <row r="258" spans="23:23" x14ac:dyDescent="0.15">
      <c r="W258" s="206">
        <f>Admin!B258</f>
        <v>45644</v>
      </c>
    </row>
    <row r="259" spans="23:23" x14ac:dyDescent="0.15">
      <c r="W259" s="206">
        <f>Admin!B259</f>
        <v>45645</v>
      </c>
    </row>
    <row r="260" spans="23:23" x14ac:dyDescent="0.15">
      <c r="W260" s="206">
        <f>Admin!B260</f>
        <v>45646</v>
      </c>
    </row>
    <row r="261" spans="23:23" x14ac:dyDescent="0.15">
      <c r="W261" s="206">
        <f>Admin!B261</f>
        <v>45647</v>
      </c>
    </row>
    <row r="262" spans="23:23" x14ac:dyDescent="0.15">
      <c r="W262" s="206">
        <f>Admin!B262</f>
        <v>45648</v>
      </c>
    </row>
    <row r="263" spans="23:23" x14ac:dyDescent="0.15">
      <c r="W263" s="206">
        <f>Admin!B263</f>
        <v>45649</v>
      </c>
    </row>
    <row r="264" spans="23:23" x14ac:dyDescent="0.15">
      <c r="W264" s="206">
        <f>Admin!B264</f>
        <v>45650</v>
      </c>
    </row>
    <row r="265" spans="23:23" x14ac:dyDescent="0.15">
      <c r="W265" s="206">
        <f>Admin!B265</f>
        <v>45651</v>
      </c>
    </row>
    <row r="266" spans="23:23" x14ac:dyDescent="0.15">
      <c r="W266" s="206">
        <f>Admin!B266</f>
        <v>45652</v>
      </c>
    </row>
    <row r="267" spans="23:23" x14ac:dyDescent="0.15">
      <c r="W267" s="206">
        <f>Admin!B267</f>
        <v>45653</v>
      </c>
    </row>
    <row r="268" spans="23:23" x14ac:dyDescent="0.15">
      <c r="W268" s="206">
        <f>Admin!B268</f>
        <v>45654</v>
      </c>
    </row>
    <row r="269" spans="23:23" x14ac:dyDescent="0.15">
      <c r="W269" s="206">
        <f>Admin!B269</f>
        <v>45655</v>
      </c>
    </row>
    <row r="270" spans="23:23" x14ac:dyDescent="0.15">
      <c r="W270" s="206">
        <f>Admin!B270</f>
        <v>45656</v>
      </c>
    </row>
    <row r="271" spans="23:23" x14ac:dyDescent="0.15">
      <c r="W271" s="206">
        <f>Admin!B271</f>
        <v>45657</v>
      </c>
    </row>
    <row r="272" spans="23:23" x14ac:dyDescent="0.15">
      <c r="W272" s="206">
        <f>Admin!B272</f>
        <v>45658</v>
      </c>
    </row>
    <row r="273" spans="23:23" x14ac:dyDescent="0.15">
      <c r="W273" s="206">
        <f>Admin!B273</f>
        <v>45659</v>
      </c>
    </row>
    <row r="274" spans="23:23" x14ac:dyDescent="0.15">
      <c r="W274" s="206">
        <f>Admin!B274</f>
        <v>45660</v>
      </c>
    </row>
    <row r="275" spans="23:23" x14ac:dyDescent="0.15">
      <c r="W275" s="206">
        <f>Admin!B275</f>
        <v>45661</v>
      </c>
    </row>
    <row r="276" spans="23:23" x14ac:dyDescent="0.15">
      <c r="W276" s="206">
        <f>Admin!B276</f>
        <v>45662</v>
      </c>
    </row>
    <row r="277" spans="23:23" x14ac:dyDescent="0.15">
      <c r="W277" s="206">
        <f>Admin!B277</f>
        <v>45663</v>
      </c>
    </row>
    <row r="278" spans="23:23" x14ac:dyDescent="0.15">
      <c r="W278" s="206">
        <f>Admin!B278</f>
        <v>45664</v>
      </c>
    </row>
    <row r="279" spans="23:23" x14ac:dyDescent="0.15">
      <c r="W279" s="206">
        <f>Admin!B279</f>
        <v>45665</v>
      </c>
    </row>
    <row r="280" spans="23:23" x14ac:dyDescent="0.15">
      <c r="W280" s="206">
        <f>Admin!B280</f>
        <v>45666</v>
      </c>
    </row>
    <row r="281" spans="23:23" x14ac:dyDescent="0.15">
      <c r="W281" s="206">
        <f>Admin!B281</f>
        <v>45667</v>
      </c>
    </row>
    <row r="282" spans="23:23" x14ac:dyDescent="0.15">
      <c r="W282" s="206">
        <f>Admin!B282</f>
        <v>45668</v>
      </c>
    </row>
    <row r="283" spans="23:23" x14ac:dyDescent="0.15">
      <c r="W283" s="206">
        <f>Admin!B283</f>
        <v>45669</v>
      </c>
    </row>
    <row r="284" spans="23:23" x14ac:dyDescent="0.15">
      <c r="W284" s="206">
        <f>Admin!B284</f>
        <v>45670</v>
      </c>
    </row>
    <row r="285" spans="23:23" x14ac:dyDescent="0.15">
      <c r="W285" s="206">
        <f>Admin!B285</f>
        <v>45671</v>
      </c>
    </row>
    <row r="286" spans="23:23" x14ac:dyDescent="0.15">
      <c r="W286" s="206">
        <f>Admin!B286</f>
        <v>45672</v>
      </c>
    </row>
    <row r="287" spans="23:23" x14ac:dyDescent="0.15">
      <c r="W287" s="206">
        <f>Admin!B287</f>
        <v>45673</v>
      </c>
    </row>
    <row r="288" spans="23:23" x14ac:dyDescent="0.15">
      <c r="W288" s="206">
        <f>Admin!B288</f>
        <v>45674</v>
      </c>
    </row>
    <row r="289" spans="23:23" x14ac:dyDescent="0.15">
      <c r="W289" s="206">
        <f>Admin!B289</f>
        <v>45675</v>
      </c>
    </row>
    <row r="290" spans="23:23" x14ac:dyDescent="0.15">
      <c r="W290" s="206">
        <f>Admin!B290</f>
        <v>45676</v>
      </c>
    </row>
    <row r="291" spans="23:23" x14ac:dyDescent="0.15">
      <c r="W291" s="206">
        <f>Admin!B291</f>
        <v>45677</v>
      </c>
    </row>
    <row r="292" spans="23:23" x14ac:dyDescent="0.15">
      <c r="W292" s="206">
        <f>Admin!B292</f>
        <v>45678</v>
      </c>
    </row>
    <row r="293" spans="23:23" x14ac:dyDescent="0.15">
      <c r="W293" s="206">
        <f>Admin!B293</f>
        <v>45679</v>
      </c>
    </row>
    <row r="294" spans="23:23" x14ac:dyDescent="0.15">
      <c r="W294" s="206">
        <f>Admin!B294</f>
        <v>45680</v>
      </c>
    </row>
    <row r="295" spans="23:23" x14ac:dyDescent="0.15">
      <c r="W295" s="206">
        <f>Admin!B295</f>
        <v>45681</v>
      </c>
    </row>
    <row r="296" spans="23:23" x14ac:dyDescent="0.15">
      <c r="W296" s="206">
        <f>Admin!B296</f>
        <v>45682</v>
      </c>
    </row>
    <row r="297" spans="23:23" x14ac:dyDescent="0.15">
      <c r="W297" s="206">
        <f>Admin!B297</f>
        <v>45683</v>
      </c>
    </row>
    <row r="298" spans="23:23" x14ac:dyDescent="0.15">
      <c r="W298" s="206">
        <f>Admin!B298</f>
        <v>45684</v>
      </c>
    </row>
    <row r="299" spans="23:23" x14ac:dyDescent="0.15">
      <c r="W299" s="206">
        <f>Admin!B299</f>
        <v>45685</v>
      </c>
    </row>
    <row r="300" spans="23:23" x14ac:dyDescent="0.15">
      <c r="W300" s="206">
        <f>Admin!B300</f>
        <v>45686</v>
      </c>
    </row>
    <row r="301" spans="23:23" x14ac:dyDescent="0.15">
      <c r="W301" s="206">
        <f>Admin!B301</f>
        <v>45687</v>
      </c>
    </row>
    <row r="302" spans="23:23" x14ac:dyDescent="0.15">
      <c r="W302" s="206">
        <f>Admin!B302</f>
        <v>45688</v>
      </c>
    </row>
    <row r="303" spans="23:23" x14ac:dyDescent="0.15">
      <c r="W303" s="206">
        <f>Admin!B303</f>
        <v>45689</v>
      </c>
    </row>
    <row r="304" spans="23:23" x14ac:dyDescent="0.15">
      <c r="W304" s="206">
        <f>Admin!B304</f>
        <v>45690</v>
      </c>
    </row>
    <row r="305" spans="23:23" x14ac:dyDescent="0.15">
      <c r="W305" s="206">
        <f>Admin!B305</f>
        <v>45691</v>
      </c>
    </row>
    <row r="306" spans="23:23" x14ac:dyDescent="0.15">
      <c r="W306" s="206">
        <f>Admin!B306</f>
        <v>45692</v>
      </c>
    </row>
    <row r="307" spans="23:23" x14ac:dyDescent="0.15">
      <c r="W307" s="206">
        <f>Admin!B307</f>
        <v>45693</v>
      </c>
    </row>
    <row r="308" spans="23:23" x14ac:dyDescent="0.15">
      <c r="W308" s="206">
        <f>Admin!B308</f>
        <v>45694</v>
      </c>
    </row>
    <row r="309" spans="23:23" x14ac:dyDescent="0.15">
      <c r="W309" s="206">
        <f>Admin!B309</f>
        <v>45695</v>
      </c>
    </row>
    <row r="310" spans="23:23" x14ac:dyDescent="0.15">
      <c r="W310" s="206">
        <f>Admin!B310</f>
        <v>45696</v>
      </c>
    </row>
    <row r="311" spans="23:23" x14ac:dyDescent="0.15">
      <c r="W311" s="206">
        <f>Admin!B311</f>
        <v>45697</v>
      </c>
    </row>
    <row r="312" spans="23:23" x14ac:dyDescent="0.15">
      <c r="W312" s="206">
        <f>Admin!B312</f>
        <v>45698</v>
      </c>
    </row>
    <row r="313" spans="23:23" x14ac:dyDescent="0.15">
      <c r="W313" s="206">
        <f>Admin!B313</f>
        <v>45699</v>
      </c>
    </row>
    <row r="314" spans="23:23" x14ac:dyDescent="0.15">
      <c r="W314" s="206">
        <f>Admin!B314</f>
        <v>45700</v>
      </c>
    </row>
    <row r="315" spans="23:23" x14ac:dyDescent="0.15">
      <c r="W315" s="206">
        <f>Admin!B315</f>
        <v>45701</v>
      </c>
    </row>
    <row r="316" spans="23:23" x14ac:dyDescent="0.15">
      <c r="W316" s="206">
        <f>Admin!B316</f>
        <v>45702</v>
      </c>
    </row>
    <row r="317" spans="23:23" x14ac:dyDescent="0.15">
      <c r="W317" s="206">
        <f>Admin!B317</f>
        <v>45703</v>
      </c>
    </row>
    <row r="318" spans="23:23" x14ac:dyDescent="0.15">
      <c r="W318" s="206">
        <f>Admin!B318</f>
        <v>45704</v>
      </c>
    </row>
    <row r="319" spans="23:23" x14ac:dyDescent="0.15">
      <c r="W319" s="206">
        <f>Admin!B319</f>
        <v>45705</v>
      </c>
    </row>
    <row r="320" spans="23:23" x14ac:dyDescent="0.15">
      <c r="W320" s="206">
        <f>Admin!B320</f>
        <v>45706</v>
      </c>
    </row>
    <row r="321" spans="23:23" x14ac:dyDescent="0.15">
      <c r="W321" s="206">
        <f>Admin!B321</f>
        <v>45707</v>
      </c>
    </row>
    <row r="322" spans="23:23" x14ac:dyDescent="0.15">
      <c r="W322" s="206">
        <f>Admin!B322</f>
        <v>45708</v>
      </c>
    </row>
    <row r="323" spans="23:23" x14ac:dyDescent="0.15">
      <c r="W323" s="206">
        <f>Admin!B323</f>
        <v>45709</v>
      </c>
    </row>
    <row r="324" spans="23:23" x14ac:dyDescent="0.15">
      <c r="W324" s="206">
        <f>Admin!B324</f>
        <v>45710</v>
      </c>
    </row>
    <row r="325" spans="23:23" x14ac:dyDescent="0.15">
      <c r="W325" s="206">
        <f>Admin!B325</f>
        <v>45711</v>
      </c>
    </row>
    <row r="326" spans="23:23" x14ac:dyDescent="0.15">
      <c r="W326" s="206">
        <f>Admin!B326</f>
        <v>45712</v>
      </c>
    </row>
    <row r="327" spans="23:23" x14ac:dyDescent="0.15">
      <c r="W327" s="206">
        <f>Admin!B327</f>
        <v>45713</v>
      </c>
    </row>
    <row r="328" spans="23:23" x14ac:dyDescent="0.15">
      <c r="W328" s="206">
        <f>Admin!B328</f>
        <v>45714</v>
      </c>
    </row>
    <row r="329" spans="23:23" x14ac:dyDescent="0.15">
      <c r="W329" s="206">
        <f>Admin!B329</f>
        <v>45715</v>
      </c>
    </row>
    <row r="330" spans="23:23" x14ac:dyDescent="0.15">
      <c r="W330" s="206">
        <f>Admin!B330</f>
        <v>45716</v>
      </c>
    </row>
    <row r="331" spans="23:23" x14ac:dyDescent="0.15">
      <c r="W331" s="206">
        <f>Admin!B331</f>
        <v>45717</v>
      </c>
    </row>
    <row r="332" spans="23:23" x14ac:dyDescent="0.15">
      <c r="W332" s="206">
        <f>Admin!B332</f>
        <v>45718</v>
      </c>
    </row>
    <row r="333" spans="23:23" x14ac:dyDescent="0.15">
      <c r="W333" s="206">
        <f>Admin!B333</f>
        <v>45719</v>
      </c>
    </row>
    <row r="334" spans="23:23" x14ac:dyDescent="0.15">
      <c r="W334" s="206">
        <f>Admin!B334</f>
        <v>45720</v>
      </c>
    </row>
    <row r="335" spans="23:23" x14ac:dyDescent="0.15">
      <c r="W335" s="206">
        <f>Admin!B335</f>
        <v>45721</v>
      </c>
    </row>
    <row r="336" spans="23:23" x14ac:dyDescent="0.15">
      <c r="W336" s="206">
        <f>Admin!B336</f>
        <v>45722</v>
      </c>
    </row>
    <row r="337" spans="23:23" x14ac:dyDescent="0.15">
      <c r="W337" s="206">
        <f>Admin!B337</f>
        <v>45723</v>
      </c>
    </row>
    <row r="338" spans="23:23" x14ac:dyDescent="0.15">
      <c r="W338" s="206">
        <f>Admin!B338</f>
        <v>45724</v>
      </c>
    </row>
    <row r="339" spans="23:23" x14ac:dyDescent="0.15">
      <c r="W339" s="206">
        <f>Admin!B339</f>
        <v>45725</v>
      </c>
    </row>
    <row r="340" spans="23:23" x14ac:dyDescent="0.15">
      <c r="W340" s="206">
        <f>Admin!B340</f>
        <v>45726</v>
      </c>
    </row>
    <row r="341" spans="23:23" x14ac:dyDescent="0.15">
      <c r="W341" s="206">
        <f>Admin!B341</f>
        <v>45727</v>
      </c>
    </row>
    <row r="342" spans="23:23" x14ac:dyDescent="0.15">
      <c r="W342" s="206">
        <f>Admin!B342</f>
        <v>45728</v>
      </c>
    </row>
    <row r="343" spans="23:23" x14ac:dyDescent="0.15">
      <c r="W343" s="206">
        <f>Admin!B343</f>
        <v>45729</v>
      </c>
    </row>
    <row r="344" spans="23:23" x14ac:dyDescent="0.15">
      <c r="W344" s="206">
        <f>Admin!B344</f>
        <v>45730</v>
      </c>
    </row>
    <row r="345" spans="23:23" x14ac:dyDescent="0.15">
      <c r="W345" s="206">
        <f>Admin!B345</f>
        <v>45731</v>
      </c>
    </row>
    <row r="346" spans="23:23" x14ac:dyDescent="0.15">
      <c r="W346" s="206">
        <f>Admin!B346</f>
        <v>45732</v>
      </c>
    </row>
    <row r="347" spans="23:23" x14ac:dyDescent="0.15">
      <c r="W347" s="206">
        <f>Admin!B347</f>
        <v>45733</v>
      </c>
    </row>
    <row r="348" spans="23:23" x14ac:dyDescent="0.15">
      <c r="W348" s="206">
        <f>Admin!B348</f>
        <v>45734</v>
      </c>
    </row>
    <row r="349" spans="23:23" x14ac:dyDescent="0.15">
      <c r="W349" s="206">
        <f>Admin!B349</f>
        <v>45735</v>
      </c>
    </row>
    <row r="350" spans="23:23" x14ac:dyDescent="0.15">
      <c r="W350" s="206">
        <f>Admin!B350</f>
        <v>45736</v>
      </c>
    </row>
    <row r="351" spans="23:23" x14ac:dyDescent="0.15">
      <c r="W351" s="206">
        <f>Admin!B351</f>
        <v>45737</v>
      </c>
    </row>
    <row r="352" spans="23:23" x14ac:dyDescent="0.15">
      <c r="W352" s="206">
        <f>Admin!B352</f>
        <v>45738</v>
      </c>
    </row>
    <row r="353" spans="23:23" x14ac:dyDescent="0.15">
      <c r="W353" s="206">
        <f>Admin!B353</f>
        <v>45739</v>
      </c>
    </row>
    <row r="354" spans="23:23" x14ac:dyDescent="0.15">
      <c r="W354" s="206">
        <f>Admin!B354</f>
        <v>45740</v>
      </c>
    </row>
    <row r="355" spans="23:23" x14ac:dyDescent="0.15">
      <c r="W355" s="206">
        <f>Admin!B355</f>
        <v>45741</v>
      </c>
    </row>
    <row r="356" spans="23:23" x14ac:dyDescent="0.15">
      <c r="W356" s="206">
        <f>Admin!B356</f>
        <v>45742</v>
      </c>
    </row>
    <row r="357" spans="23:23" x14ac:dyDescent="0.15">
      <c r="W357" s="206">
        <f>Admin!B357</f>
        <v>45743</v>
      </c>
    </row>
    <row r="358" spans="23:23" x14ac:dyDescent="0.15">
      <c r="W358" s="206">
        <f>Admin!B358</f>
        <v>45744</v>
      </c>
    </row>
    <row r="359" spans="23:23" x14ac:dyDescent="0.15">
      <c r="W359" s="206">
        <f>Admin!B359</f>
        <v>45745</v>
      </c>
    </row>
    <row r="360" spans="23:23" x14ac:dyDescent="0.15">
      <c r="W360" s="206">
        <f>Admin!B360</f>
        <v>45746</v>
      </c>
    </row>
    <row r="361" spans="23:23" x14ac:dyDescent="0.15">
      <c r="W361" s="206">
        <f>Admin!B361</f>
        <v>45747</v>
      </c>
    </row>
    <row r="362" spans="23:23" x14ac:dyDescent="0.15">
      <c r="W362" s="206">
        <f>Admin!B362</f>
        <v>45748</v>
      </c>
    </row>
    <row r="363" spans="23:23" x14ac:dyDescent="0.15">
      <c r="W363" s="206">
        <f>Admin!B363</f>
        <v>45749</v>
      </c>
    </row>
    <row r="364" spans="23:23" x14ac:dyDescent="0.15">
      <c r="W364" s="206">
        <f>Admin!B364</f>
        <v>45750</v>
      </c>
    </row>
    <row r="365" spans="23:23" x14ac:dyDescent="0.15">
      <c r="W365" s="206">
        <f>Admin!B365</f>
        <v>45751</v>
      </c>
    </row>
    <row r="366" spans="23:23" x14ac:dyDescent="0.15">
      <c r="W366" s="206">
        <f>Admin!B366</f>
        <v>45752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45388</v>
      </c>
      <c r="L9" s="200" t="s">
        <v>76</v>
      </c>
      <c r="M9" s="202">
        <f>K9+(7-WEEKDAY(K9, 2))</f>
        <v>45389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45390</v>
      </c>
      <c r="L19" s="200" t="s">
        <v>76</v>
      </c>
      <c r="M19" s="202">
        <f>K19+6</f>
        <v>45396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45397</v>
      </c>
      <c r="L29" s="200" t="s">
        <v>76</v>
      </c>
      <c r="M29" s="202">
        <f>K29+6</f>
        <v>45403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45404</v>
      </c>
      <c r="L39" s="200" t="s">
        <v>76</v>
      </c>
      <c r="M39" s="202">
        <f>K39+6</f>
        <v>45410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DATE(2024,2,1)</f>
        <v>45323</v>
      </c>
      <c r="L49" s="203" t="s">
        <v>76</v>
      </c>
      <c r="M49" s="205">
        <f>DATE(2024,2,29)</f>
        <v>45351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Feb!M39+1</f>
        <v>45411</v>
      </c>
      <c r="L9" s="203" t="s">
        <v>76</v>
      </c>
      <c r="M9" s="205">
        <f>K9+6</f>
        <v>45417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45418</v>
      </c>
      <c r="L19" s="203" t="s">
        <v>76</v>
      </c>
      <c r="M19" s="205">
        <f>K19+6</f>
        <v>45424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45425</v>
      </c>
      <c r="L29" s="203" t="s">
        <v>76</v>
      </c>
      <c r="M29" s="205">
        <f>K29+6</f>
        <v>45431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45432</v>
      </c>
      <c r="L39" s="203" t="s">
        <v>76</v>
      </c>
      <c r="M39" s="205">
        <f>K39+6</f>
        <v>45438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DATE(2024,3,1)</f>
        <v>45352</v>
      </c>
      <c r="L49" s="203" t="s">
        <v>76</v>
      </c>
      <c r="M49" s="205">
        <f>DATE(2024,3,31)</f>
        <v>45382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IF(T$49="Y",Feb!H51,0)</f>
        <v>0</v>
      </c>
      <c r="I51" s="89">
        <f>IF(T$49="Y",Feb!I51,0)</f>
        <v>0</v>
      </c>
      <c r="J51" s="89">
        <f>IF(T$49="Y",Feb!J51,0)</f>
        <v>0</v>
      </c>
      <c r="K51" s="89">
        <f>IF(T$49="Y",Feb!K51,I51*J51)</f>
        <v>0</v>
      </c>
      <c r="L51" s="110">
        <f>IF(T$49="Y",Feb!L51,0)</f>
        <v>0</v>
      </c>
      <c r="M51" s="99" t="str">
        <f>IF(E51=" "," ",IF(T$49="Y",Feb!M51,IF((H51+K51+L51)&gt;0,H51+K51+L51,"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IF(Employee!H$35=E$49,Employee!D$34+SUM(M51)+Feb!V51,SUM(M51)+Feb!V51)</f>
        <v>0</v>
      </c>
      <c r="W51" s="49">
        <f>IF(Employee!H$35=E$49,Employee!D$35+SUM(N51)+Feb!W51,SUM(N51)+Feb!W51)</f>
        <v>0</v>
      </c>
      <c r="X51" s="49">
        <f>IF(O51=" ",Feb!X51,O51+Feb!X51)</f>
        <v>0</v>
      </c>
      <c r="Y51" s="49">
        <f>IF(P51=" ",Feb!Y51,P51+Feb!Y51)</f>
        <v>0</v>
      </c>
      <c r="Z51" s="49">
        <f>IF(Q51=" ",Feb!Z51,Q51+Feb!Z51)</f>
        <v>0</v>
      </c>
      <c r="AA51" s="49">
        <f>IF(R51=" ",Feb!AA51,R51+Feb!AA51)</f>
        <v>0</v>
      </c>
      <c r="AC51" s="49">
        <f>IF(T51=" ",Feb!AC51,T51+Feb!AC51)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IF(T$49="Y",Feb!H52,0)</f>
        <v>0</v>
      </c>
      <c r="I52" s="92">
        <f>IF(T$49="Y",Feb!I52,0)</f>
        <v>0</v>
      </c>
      <c r="J52" s="92">
        <f>IF(T$49="Y",Feb!J52,0)</f>
        <v>0</v>
      </c>
      <c r="K52" s="92">
        <f>IF(T$49="Y",Feb!K52,I52*J52)</f>
        <v>0</v>
      </c>
      <c r="L52" s="111">
        <f>IF(T$49="Y",Feb!L52,0)</f>
        <v>0</v>
      </c>
      <c r="M52" s="100" t="str">
        <f>IF(E52=" "," ",IF(T$49="Y",Feb!M52,IF((H52+K52+L52)&gt;0,H52+K52+L52,"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IF(Employee!H$61=E$49,Employee!D$60+SUM(M52)+Feb!V52,SUM(M52)+Feb!V52)</f>
        <v>0</v>
      </c>
      <c r="W52" s="49">
        <f>IF(Employee!H$61=E$49,Employee!D$61+SUM(N52)+Feb!W52,SUM(N52)+Feb!W52)</f>
        <v>0</v>
      </c>
      <c r="X52" s="49">
        <f>IF(O52=" ",Feb!X52,O52+Feb!X52)</f>
        <v>0</v>
      </c>
      <c r="Y52" s="49">
        <f>IF(P52=" ",Feb!Y52,P52+Feb!Y52)</f>
        <v>0</v>
      </c>
      <c r="Z52" s="49">
        <f>IF(Q52=" ",Feb!Z52,Q52+Feb!Z52)</f>
        <v>0</v>
      </c>
      <c r="AA52" s="49">
        <f>IF(R52=" ",Feb!AA52,R52+Feb!AA52)</f>
        <v>0</v>
      </c>
      <c r="AC52" s="49">
        <f>IF(T52=" ",Feb!AC52,T52+Feb!AC52)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IF(T$49="Y",Feb!H53,0)</f>
        <v>0</v>
      </c>
      <c r="I53" s="92">
        <f>IF(T$49="Y",Feb!I53,0)</f>
        <v>0</v>
      </c>
      <c r="J53" s="92">
        <f>IF(T$49="Y",Feb!J53,0)</f>
        <v>0</v>
      </c>
      <c r="K53" s="92">
        <f>IF(T$49="Y",Feb!K53,I53*J53)</f>
        <v>0</v>
      </c>
      <c r="L53" s="111">
        <f>IF(T$49="Y",Feb!L53,0)</f>
        <v>0</v>
      </c>
      <c r="M53" s="100" t="str">
        <f>IF(E53=" "," ",IF(T$49="Y",Feb!M53,IF((H53+K53+L53)&gt;0,H53+K53+L53,"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IF(Employee!H$87=E$49,Employee!D$86+SUM(M53)+Feb!V53,SUM(M53)+Feb!V53)</f>
        <v>0</v>
      </c>
      <c r="W53" s="49">
        <f>IF(Employee!H$87=E$49,Employee!D$7+SUM(N53)+Feb!W53,SUM(N53)+Feb!W53)</f>
        <v>0</v>
      </c>
      <c r="X53" s="49">
        <f>IF(O53=" ",Feb!X53,O53+Feb!X53)</f>
        <v>0</v>
      </c>
      <c r="Y53" s="49">
        <f>IF(P53=" ",Feb!Y53,P53+Feb!Y53)</f>
        <v>0</v>
      </c>
      <c r="Z53" s="49">
        <f>IF(Q53=" ",Feb!Z53,Q53+Feb!Z53)</f>
        <v>0</v>
      </c>
      <c r="AA53" s="49">
        <f>IF(R53=" ",Feb!AA53,R53+Feb!AA53)</f>
        <v>0</v>
      </c>
      <c r="AC53" s="49">
        <f>IF(T53=" ",Feb!AC53,T53+Feb!AC53)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IF(T$49="Y",Feb!H54,0)</f>
        <v>0</v>
      </c>
      <c r="I54" s="92">
        <f>IF(T$49="Y",Feb!I54,0)</f>
        <v>0</v>
      </c>
      <c r="J54" s="92">
        <f>IF(T$49="Y",Feb!J54,0)</f>
        <v>0</v>
      </c>
      <c r="K54" s="92">
        <f>IF(T$49="Y",Feb!K54,I54*J54)</f>
        <v>0</v>
      </c>
      <c r="L54" s="111">
        <f>IF(T$49="Y",Feb!L54,0)</f>
        <v>0</v>
      </c>
      <c r="M54" s="100" t="str">
        <f>IF(E54=" "," ",IF(T$49="Y",Feb!M54,IF((H54+K54+L54)&gt;0,H54+K54+L54,"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IF(Employee!H$113=E$49,Employee!D$112+SUM(M54)+Feb!V54,SUM(M54)+Feb!V54)</f>
        <v>0</v>
      </c>
      <c r="W54" s="49">
        <f>IF(Employee!H$113=E$49,Employee!D$113+SUM(N54)+Feb!W54,SUM(N54)+Feb!W54)</f>
        <v>0</v>
      </c>
      <c r="X54" s="49">
        <f>IF(O54=" ",Feb!X54,O54+Feb!X54)</f>
        <v>0</v>
      </c>
      <c r="Y54" s="49">
        <f>IF(P54=" ",Feb!Y54,P54+Feb!Y54)</f>
        <v>0</v>
      </c>
      <c r="Z54" s="49">
        <f>IF(Q54=" ",Feb!Z54,Q54+Feb!Z54)</f>
        <v>0</v>
      </c>
      <c r="AA54" s="49">
        <f>IF(R54=" ",Feb!AA54,R54+Feb!AA54)</f>
        <v>0</v>
      </c>
      <c r="AC54" s="49">
        <f>IF(T54=" ",Feb!AC54,T54+Feb!AC54)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IF(T$49="Y",Feb!H55,0)</f>
        <v>0</v>
      </c>
      <c r="I55" s="245">
        <f>IF(T$49="Y",Feb!I55,0)</f>
        <v>0</v>
      </c>
      <c r="J55" s="245">
        <f>IF(T$49="Y",Feb!J55,0)</f>
        <v>0</v>
      </c>
      <c r="K55" s="245">
        <f>IF(T$49="Y",Feb!K55,I55*J55)</f>
        <v>0</v>
      </c>
      <c r="L55" s="246">
        <f>IF(T$49="Y",Feb!L55,0)</f>
        <v>0</v>
      </c>
      <c r="M55" s="100" t="str">
        <f>IF(E55=" "," ",IF(T$49="Y",Feb!M55,IF((H55+K55+L55)&gt;0,H55+K55+L55,"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IF(Employee!H$139=E$49,Employee!D$138+SUM(M55)+Feb!V55,SUM(M55)+Feb!V55)</f>
        <v>0</v>
      </c>
      <c r="W55" s="49">
        <f>IF(Employee!H$139=E$49,Employee!D$139+SUM(N55)+Feb!W55,SUM(N55)+Feb!W55)</f>
        <v>0</v>
      </c>
      <c r="X55" s="49">
        <f>IF(O55=" ",Feb!X55,O55+Feb!X55)</f>
        <v>0</v>
      </c>
      <c r="Y55" s="49">
        <f>IF(P55=" ",Feb!Y55,P55+Feb!Y55)</f>
        <v>0</v>
      </c>
      <c r="Z55" s="49">
        <f>IF(Q55=" ",Feb!Z55,Q55+Feb!Z55)</f>
        <v>0</v>
      </c>
      <c r="AA55" s="49">
        <f>IF(R55=" ",Feb!AA55,R55+Feb!AA55)</f>
        <v>0</v>
      </c>
      <c r="AC55" s="49">
        <f>IF(T55=" ",Feb!AC55,T55+Feb!AC55)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AD60+Feb!AD65</f>
        <v>0</v>
      </c>
      <c r="AE65" s="158">
        <f>AE60+Feb!AE65</f>
        <v>0</v>
      </c>
      <c r="AF65" s="158">
        <f>AF60+Feb!AF65</f>
        <v>0</v>
      </c>
      <c r="AG65" s="158">
        <f>AG60+Feb!AG65</f>
        <v>0</v>
      </c>
    </row>
    <row r="66" spans="6:33" ht="14" thickTop="1" x14ac:dyDescent="0.15"/>
    <row r="67" spans="6:33" x14ac:dyDescent="0.15">
      <c r="AD67" s="162"/>
      <c r="AE67" s="158">
        <f>AE62+Feb!AE67</f>
        <v>0</v>
      </c>
      <c r="AF67" s="158">
        <f>AF62+Feb!AF67</f>
        <v>0</v>
      </c>
      <c r="AG67" s="158">
        <f>AG62+Feb!AG67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Mar!M39+1</f>
        <v>45439</v>
      </c>
      <c r="L9" s="203" t="s">
        <v>76</v>
      </c>
      <c r="M9" s="205">
        <f>K9+6</f>
        <v>45445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45446</v>
      </c>
      <c r="L19" s="203" t="s">
        <v>76</v>
      </c>
      <c r="M19" s="205">
        <f>K19+6</f>
        <v>45452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45453</v>
      </c>
      <c r="L29" s="203" t="s">
        <v>76</v>
      </c>
      <c r="M29" s="205">
        <f>K29+6</f>
        <v>45459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45460</v>
      </c>
      <c r="L39" s="203" t="s">
        <v>76</v>
      </c>
      <c r="M39" s="205">
        <f>K39+6</f>
        <v>45466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45467</v>
      </c>
      <c r="L49" s="203" t="s">
        <v>76</v>
      </c>
      <c r="M49" s="205">
        <f>K49+6</f>
        <v>45473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DATE(2024,4,1)</f>
        <v>45383</v>
      </c>
      <c r="L59" s="203" t="s">
        <v>76</v>
      </c>
      <c r="M59" s="205">
        <f>DATE(2024,4,30)</f>
        <v>45412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IF(T$59="Y",Mar!H51,0)</f>
        <v>0</v>
      </c>
      <c r="I61" s="89">
        <f>IF(T$59="Y",Mar!I51,0)</f>
        <v>0</v>
      </c>
      <c r="J61" s="89">
        <f>IF(T$59="Y",Mar!J51,0)</f>
        <v>0</v>
      </c>
      <c r="K61" s="89">
        <f>IF(T$59="Y",Mar!K51,I61*J61)</f>
        <v>0</v>
      </c>
      <c r="L61" s="110">
        <f>IF(T$59="Y",Mar!L51,0)</f>
        <v>0</v>
      </c>
      <c r="M61" s="99" t="str">
        <f>IF(E61=" "," ",IF(T$59="Y",Mar!M51,IF((H61+K61+L61)&gt;0,H61+K61+L61,"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IF(Employee!H$35=E$59,Employee!D$34+SUM(M61)+Mar!V51,SUM(M61)+Mar!V51)</f>
        <v>0</v>
      </c>
      <c r="W61" s="49">
        <f>IF(Employee!H$35=E$59,Employee!D$35+SUM(N61)+Mar!W51,SUM(N61)+Mar!W51)</f>
        <v>0</v>
      </c>
      <c r="X61" s="49">
        <f>IF(O61=" ",Mar!X51,O61+Mar!X51)</f>
        <v>0</v>
      </c>
      <c r="Y61" s="49">
        <f>IF(P61=" ",Mar!Y51,P61+Mar!Y51)</f>
        <v>0</v>
      </c>
      <c r="Z61" s="49">
        <f>IF(Q61=" ",Mar!Z51,Q61+Mar!Z51)</f>
        <v>0</v>
      </c>
      <c r="AA61" s="49">
        <f>IF(R61=" ",Mar!AA51,R61+Mar!AA51)</f>
        <v>0</v>
      </c>
      <c r="AC61" s="49">
        <f>IF(T61=" ",Mar!AC51,T61+Mar!AC51)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IF(T$59="Y",Mar!H52,0)</f>
        <v>0</v>
      </c>
      <c r="I62" s="92">
        <f>IF(T$59="Y",Mar!I52,0)</f>
        <v>0</v>
      </c>
      <c r="J62" s="92">
        <f>IF(T$59="Y",Mar!J52,0)</f>
        <v>0</v>
      </c>
      <c r="K62" s="92">
        <f>IF(T$59="Y",Mar!K52,I62*J62)</f>
        <v>0</v>
      </c>
      <c r="L62" s="111">
        <f>IF(T$59="Y",Mar!L52,0)</f>
        <v>0</v>
      </c>
      <c r="M62" s="100" t="str">
        <f>IF(E62=" "," ",IF(T$59="Y",Mar!M52,IF((H62+K62+L62)&gt;0,H62+K62+L62,"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IF(Employee!H$61=E$59,Employee!D$60+SUM(M62)+Mar!V52,SUM(M62)+Mar!V52)</f>
        <v>0</v>
      </c>
      <c r="W62" s="49">
        <f>IF(Employee!H$61=E$59,Employee!D$61+SUM(N62)+Mar!W52,SUM(N62)+Mar!W52)</f>
        <v>0</v>
      </c>
      <c r="X62" s="49">
        <f>IF(O62=" ",Mar!X52,O62+Mar!X52)</f>
        <v>0</v>
      </c>
      <c r="Y62" s="49">
        <f>IF(P62=" ",Mar!Y52,P62+Mar!Y52)</f>
        <v>0</v>
      </c>
      <c r="Z62" s="49">
        <f>IF(Q62=" ",Mar!Z52,Q62+Mar!Z52)</f>
        <v>0</v>
      </c>
      <c r="AA62" s="49">
        <f>IF(R62=" ",Mar!AA52,R62+Mar!AA52)</f>
        <v>0</v>
      </c>
      <c r="AC62" s="49">
        <f>IF(T62=" ",Mar!AC52,T62+Mar!AC52)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IF(T$59="Y",Mar!H53,0)</f>
        <v>0</v>
      </c>
      <c r="I63" s="92">
        <f>IF(T$59="Y",Mar!I53,0)</f>
        <v>0</v>
      </c>
      <c r="J63" s="92">
        <f>IF(T$59="Y",Mar!J53,0)</f>
        <v>0</v>
      </c>
      <c r="K63" s="92">
        <f>IF(T$59="Y",Mar!K53,I63*J63)</f>
        <v>0</v>
      </c>
      <c r="L63" s="111">
        <f>IF(T$59="Y",Mar!L53,0)</f>
        <v>0</v>
      </c>
      <c r="M63" s="100" t="str">
        <f>IF(E63=" "," ",IF(T$59="Y",Mar!M53,IF((H63+K63+L63)&gt;0,H63+K63+L63,"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IF(Employee!H$87=E$59,Employee!D$86+SUM(M63)+Mar!V53,SUM(M63)+Mar!V53)</f>
        <v>0</v>
      </c>
      <c r="W63" s="49">
        <f>IF(Employee!H$87=E$59,Employee!D$87+SUM(N63)+Mar!W53,SUM(N63)+Mar!W53)</f>
        <v>0</v>
      </c>
      <c r="X63" s="49">
        <f>IF(O63=" ",Mar!X53,O63+Mar!X53)</f>
        <v>0</v>
      </c>
      <c r="Y63" s="49">
        <f>IF(P63=" ",Mar!Y53,P63+Mar!Y53)</f>
        <v>0</v>
      </c>
      <c r="Z63" s="49">
        <f>IF(Q63=" ",Mar!Z53,Q63+Mar!Z53)</f>
        <v>0</v>
      </c>
      <c r="AA63" s="49">
        <f>IF(R63=" ",Mar!AA53,R63+Mar!AA53)</f>
        <v>0</v>
      </c>
      <c r="AC63" s="49">
        <f>IF(T63=" ",Mar!AC53,T63+Mar!AC53)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IF(T$59="Y",Mar!H54,0)</f>
        <v>0</v>
      </c>
      <c r="I64" s="92">
        <f>IF(T$59="Y",Mar!I54,0)</f>
        <v>0</v>
      </c>
      <c r="J64" s="92">
        <f>IF(T$59="Y",Mar!J54,0)</f>
        <v>0</v>
      </c>
      <c r="K64" s="92">
        <f>IF(T$59="Y",Mar!K54,I64*J64)</f>
        <v>0</v>
      </c>
      <c r="L64" s="111">
        <f>IF(T$59="Y",Mar!L54,0)</f>
        <v>0</v>
      </c>
      <c r="M64" s="100" t="str">
        <f>IF(E64=" "," ",IF(T$59="Y",Mar!M54,IF((H64+K64+L64)&gt;0,H64+K64+L64,"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IF(Employee!H$113=E$59,Employee!D$112+SUM(M64)+Mar!V54,SUM(M64)+Mar!V54)</f>
        <v>0</v>
      </c>
      <c r="W64" s="49">
        <f>IF(Employee!H$113=E$59,Employee!D$113+SUM(N64)+Mar!W54,SUM(N64)+Mar!W54)</f>
        <v>0</v>
      </c>
      <c r="X64" s="49">
        <f>IF(O64=" ",Mar!X54,O64+Mar!X54)</f>
        <v>0</v>
      </c>
      <c r="Y64" s="49">
        <f>IF(P64=" ",Mar!Y54,P64+Mar!Y54)</f>
        <v>0</v>
      </c>
      <c r="Z64" s="49">
        <f>IF(Q64=" ",Mar!Z54,Q64+Mar!Z54)</f>
        <v>0</v>
      </c>
      <c r="AA64" s="49">
        <f>IF(R64=" ",Mar!AA54,R64+Mar!AA54)</f>
        <v>0</v>
      </c>
      <c r="AC64" s="49">
        <f>IF(T64=" ",Mar!AC54,T64+Mar!AC54)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IF(T$59="Y",Mar!H55,0)</f>
        <v>0</v>
      </c>
      <c r="I65" s="245">
        <f>IF(T$59="Y",Mar!I55,0)</f>
        <v>0</v>
      </c>
      <c r="J65" s="245">
        <f>IF(T$59="Y",Mar!J55,0)</f>
        <v>0</v>
      </c>
      <c r="K65" s="245">
        <f>IF(T$59="Y",Mar!K55,I65*J65)</f>
        <v>0</v>
      </c>
      <c r="L65" s="246">
        <f>IF(T$59="Y",Mar!L55,0)</f>
        <v>0</v>
      </c>
      <c r="M65" s="100" t="str">
        <f>IF(E65=" "," ",IF(T$59="Y",Mar!M55,IF((H65+K65+L65)&gt;0,H65+K65+L65,"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IF(Employee!H$139=E$59,Employee!D$138+SUM(M65)+Mar!V55,SUM(M65)+Mar!V55)</f>
        <v>0</v>
      </c>
      <c r="W65" s="49">
        <f>IF(Employee!H$139=E$59,Employee!D$139+SUM(N65)+Mar!W55,SUM(N65)+Mar!W55)</f>
        <v>0</v>
      </c>
      <c r="X65" s="49">
        <f>IF(O65=" ",Mar!X55,O65+Mar!X55)</f>
        <v>0</v>
      </c>
      <c r="Y65" s="49">
        <f>IF(P65=" ",Mar!Y55,P65+Mar!Y55)</f>
        <v>0</v>
      </c>
      <c r="Z65" s="49">
        <f>IF(Q65=" ",Mar!Z55,Q65+Mar!Z55)</f>
        <v>0</v>
      </c>
      <c r="AA65" s="49">
        <f>IF(R65=" ",Mar!AA55,R65+Mar!AA55)</f>
        <v>0</v>
      </c>
      <c r="AC65" s="49">
        <f>IF(T65=" ",Mar!AC55,T65+Mar!AC55)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AD70+Mar!AD65</f>
        <v>0</v>
      </c>
      <c r="AE75" s="158">
        <f>AE70+Mar!AE65</f>
        <v>0</v>
      </c>
      <c r="AF75" s="158">
        <f>AF70+Mar!AF65</f>
        <v>0</v>
      </c>
      <c r="AG75" s="158">
        <f>AG70+Mar!AG65</f>
        <v>0</v>
      </c>
    </row>
    <row r="76" spans="1:34" ht="14" thickTop="1" x14ac:dyDescent="0.15"/>
    <row r="77" spans="1:34" x14ac:dyDescent="0.15">
      <c r="AD77" s="162"/>
      <c r="AE77" s="158">
        <f>AE72+Mar!AE67</f>
        <v>0</v>
      </c>
      <c r="AF77" s="158">
        <f>AF72+Mar!AF67</f>
        <v>0</v>
      </c>
      <c r="AG77" s="158">
        <f>AG72+Mar!AG67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45477</v>
      </c>
      <c r="L9" s="203" t="s">
        <v>76</v>
      </c>
      <c r="M9" s="205">
        <f>K9+6</f>
        <v>45483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89">
        <f>IF(T$9="Y",Apr!L41,0)</f>
        <v>0</v>
      </c>
      <c r="M11" s="99" t="str">
        <f>IF(E11=" "," ",IF(T$9="Y",Apr!M41,IF((H11+K11+L11)&gt;0,H11+K11+L11,"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IF(Employee!H$34=E$9,Employee!D$34+SUM(M11)+Apr!V51,SUM(M11)+Apr!V51)</f>
        <v>0</v>
      </c>
      <c r="W11" s="49">
        <f>IF(Employee!H$34=E$9,Employee!D$35+SUM(N11)+Apr!W51,SUM(N11)+Apr!W51)</f>
        <v>0</v>
      </c>
      <c r="X11" s="49">
        <f>IF(O11=" ",Apr!X51,O11+Apr!X51)</f>
        <v>0</v>
      </c>
      <c r="Y11" s="49">
        <f>IF(P11=" ",Apr!Y51,P11+Apr!Y51)</f>
        <v>0</v>
      </c>
      <c r="Z11" s="49">
        <f>IF(Q11=" ",Apr!Z51,Q11+Apr!Z51)</f>
        <v>0</v>
      </c>
      <c r="AA11" s="49">
        <f>IF(R11=" ",Apr!AA51,R11+Apr!AA51)</f>
        <v>0</v>
      </c>
      <c r="AC11" s="49">
        <f>IF(T11=" ",Apr!AC51,T11+Apr!AC51)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92">
        <f>IF(T$9="Y",Apr!L42,0)</f>
        <v>0</v>
      </c>
      <c r="M12" s="100" t="str">
        <f>IF(E12=" "," ",IF(T$9="Y",Apr!M42,IF((H12+K12+L12)&gt;0,H12+K12+L12,"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IF(Employee!H$60=E$9,Employee!D$60+SUM(M12)+Apr!V52,SUM(M12)+Apr!V52)</f>
        <v>0</v>
      </c>
      <c r="W12" s="49">
        <f>IF(Employee!H$60=E$9,Employee!D$61+SUM(N12)+Apr!W52,SUM(N12)+Apr!W52)</f>
        <v>0</v>
      </c>
      <c r="X12" s="49">
        <f>IF(O12=" ",Apr!X52,O12+Apr!X52)</f>
        <v>0</v>
      </c>
      <c r="Y12" s="49">
        <f>IF(P12=" ",Apr!Y52,P12+Apr!Y52)</f>
        <v>0</v>
      </c>
      <c r="Z12" s="49">
        <f>IF(Q12=" ",Apr!Z52,Q12+Apr!Z52)</f>
        <v>0</v>
      </c>
      <c r="AA12" s="49">
        <f>IF(R12=" ",Apr!AA52,R12+Apr!AA52)</f>
        <v>0</v>
      </c>
      <c r="AC12" s="49">
        <f>IF(T12=" ",Apr!AC52,T12+Apr!AC52)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92">
        <f>IF(T$9="Y",Apr!L43,0)</f>
        <v>0</v>
      </c>
      <c r="M13" s="100" t="str">
        <f>IF(E13=" "," ",IF(T$9="Y",Apr!M43,IF((H13+K13+L13)&gt;0,H13+K13+L13,"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IF(Employee!H$86=E$9,Employee!D$86+SUM(M13)+Apr!V53,SUM(M13)+Apr!V53)</f>
        <v>0</v>
      </c>
      <c r="W13" s="49">
        <f>IF(Employee!H$86=E$9,Employee!D$87+SUM(N13)+Apr!W53,SUM(N13)+Apr!W53)</f>
        <v>0</v>
      </c>
      <c r="X13" s="49">
        <f>IF(O13=" ",Apr!X53,O13+Apr!X53)</f>
        <v>0</v>
      </c>
      <c r="Y13" s="49">
        <f>IF(P13=" ",Apr!Y53,P13+Apr!Y53)</f>
        <v>0</v>
      </c>
      <c r="Z13" s="49">
        <f>IF(Q13=" ",Apr!Z53,Q13+Apr!Z53)</f>
        <v>0</v>
      </c>
      <c r="AA13" s="49">
        <f>IF(R13=" ",Apr!AA53,R13+Apr!AA53)</f>
        <v>0</v>
      </c>
      <c r="AC13" s="49">
        <f>IF(T13=" ",Apr!AC53,T13+Apr!AC53)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92">
        <f>IF(T$9="Y",Apr!L44,0)</f>
        <v>0</v>
      </c>
      <c r="M14" s="100" t="str">
        <f>IF(E14=" "," ",IF(T$9="Y",Apr!M44,IF((H14+K14+L14)&gt;0,H14+K14+L14,"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IF(Employee!H$112=E$9,Employee!D$112+SUM(M14)+Apr!V54,SUM(M14)+Apr!V54)</f>
        <v>0</v>
      </c>
      <c r="W14" s="49">
        <f>IF(Employee!H$112=E$9,Employee!D$113+SUM(N14)+Apr!W54,SUM(N14)+Apr!W54)</f>
        <v>0</v>
      </c>
      <c r="X14" s="49">
        <f>IF(O14=" ",Apr!X54,O14+Apr!X54)</f>
        <v>0</v>
      </c>
      <c r="Y14" s="49">
        <f>IF(P14=" ",Apr!Y54,P14+Apr!Y54)</f>
        <v>0</v>
      </c>
      <c r="Z14" s="49">
        <f>IF(Q14=" ",Apr!Z54,Q14+Apr!Z54)</f>
        <v>0</v>
      </c>
      <c r="AA14" s="49">
        <f>IF(R14=" ",Apr!AA54,R14+Apr!AA54)</f>
        <v>0</v>
      </c>
      <c r="AC14" s="49">
        <f>IF(T14=" ",Apr!AC54,T14+Apr!AC54)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5">
        <f>IF(T$9="Y",Apr!L45,0)</f>
        <v>0</v>
      </c>
      <c r="M15" s="247" t="str">
        <f>IF(E15=" "," ",IF(T$9="Y",Apr!M45,IF((H15+K15+L15)&gt;0,H15+K15+L15,"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IF(Employee!H$138=E$9,Employee!D$138+SUM(M15)+Apr!V55,SUM(M15)+Apr!V55)</f>
        <v>0</v>
      </c>
      <c r="W15" s="49">
        <f>IF(Employee!H$138=E$9,Employee!D$139+SUM(N15)+Apr!W55,SUM(N15)+Apr!W55)</f>
        <v>0</v>
      </c>
      <c r="X15" s="49">
        <f>IF(O15=" ",Apr!X55,O15+Apr!X55)</f>
        <v>0</v>
      </c>
      <c r="Y15" s="49">
        <f>IF(P15=" ",Apr!Y55,P15+Apr!Y55)</f>
        <v>0</v>
      </c>
      <c r="Z15" s="49">
        <f>IF(Q15=" ",Apr!Z55,Q15+Apr!Z55)</f>
        <v>0</v>
      </c>
      <c r="AA15" s="49">
        <f>IF(R15=" ",Apr!AA55,R15+Apr!AA55)</f>
        <v>0</v>
      </c>
      <c r="AC15" s="49">
        <f>IF(T15=" ",Apr!AC55,T15+Apr!AC55)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45484</v>
      </c>
      <c r="L19" s="203" t="s">
        <v>76</v>
      </c>
      <c r="M19" s="205">
        <f>K19+6</f>
        <v>45490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45491</v>
      </c>
      <c r="L29" s="203" t="s">
        <v>76</v>
      </c>
      <c r="M29" s="205">
        <f>K29+6</f>
        <v>45497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45498</v>
      </c>
      <c r="L39" s="203" t="s">
        <v>76</v>
      </c>
      <c r="M39" s="205">
        <f>K39+6</f>
        <v>45504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DATE(2024,5,1)</f>
        <v>45413</v>
      </c>
      <c r="L49" s="203" t="s">
        <v>76</v>
      </c>
      <c r="M49" s="205">
        <f>DATE(2024,5,31)</f>
        <v>45443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IF(T$49="Y",Apr!H61,0)</f>
        <v>0</v>
      </c>
      <c r="I51" s="89">
        <f>IF(T$49="Y",Apr!I61,0)</f>
        <v>0</v>
      </c>
      <c r="J51" s="89">
        <f>IF(T$49="Y",Apr!J61,0)</f>
        <v>0</v>
      </c>
      <c r="K51" s="89">
        <f>IF(T$49="Y",Apr!K61,I51*J51)</f>
        <v>0</v>
      </c>
      <c r="L51" s="110">
        <f>IF(T$49="Y",Apr!L61,0)</f>
        <v>0</v>
      </c>
      <c r="M51" s="99" t="str">
        <f>IF(E51=" "," ",IF(T$49="Y",Apr!M61,IF((H51+K51+L51)&gt;0,H51+K51+L51,"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IF(Employee!H$35=E$49,Employee!D$34+SUM(M51)+Apr!V61,SUM(M51)+Apr!V61)</f>
        <v>0</v>
      </c>
      <c r="W51" s="49">
        <f>IF(Employee!H$35=E$49,Employee!D$35+SUM(N51)+Apr!W61,SUM(N51)+Apr!W61)</f>
        <v>0</v>
      </c>
      <c r="X51" s="49">
        <f>IF(O51=" ",Apr!X61,O51+Apr!X61)</f>
        <v>0</v>
      </c>
      <c r="Y51" s="49">
        <f>IF(P51=" ",Apr!Y61,P51+Apr!Y61)</f>
        <v>0</v>
      </c>
      <c r="Z51" s="49">
        <f>IF(Q51=" ",Apr!Z61,Q51+Apr!Z61)</f>
        <v>0</v>
      </c>
      <c r="AA51" s="49">
        <f>IF(R51=" ",Apr!AA61,R51+Apr!AA61)</f>
        <v>0</v>
      </c>
      <c r="AC51" s="49">
        <f>IF(T51=" ",Apr!AC61,T51+Apr!AC61)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IF(T$49="Y",Apr!H62,0)</f>
        <v>0</v>
      </c>
      <c r="I52" s="92">
        <f>IF(T$49="Y",Apr!I62,0)</f>
        <v>0</v>
      </c>
      <c r="J52" s="92">
        <f>IF(T$49="Y",Apr!J62,0)</f>
        <v>0</v>
      </c>
      <c r="K52" s="92">
        <f>IF(T$49="Y",Apr!K62,I52*J52)</f>
        <v>0</v>
      </c>
      <c r="L52" s="111">
        <f>IF(T$49="Y",Apr!L62,0)</f>
        <v>0</v>
      </c>
      <c r="M52" s="100" t="str">
        <f>IF(E52=" "," ",IF(T$49="Y",Apr!M62,IF((H52+K52+L52)&gt;0,H52+K52+L52,"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IF(Employee!H$61=E$49,Employee!D$60+SUM(M52)+Apr!V62,SUM(M52)+Apr!V62)</f>
        <v>0</v>
      </c>
      <c r="W52" s="49">
        <f>IF(Employee!H$61=E$49,Employee!D$61+SUM(N52)+Apr!W62,SUM(N52)+Apr!W62)</f>
        <v>0</v>
      </c>
      <c r="X52" s="49">
        <f>IF(O52=" ",Apr!X62,O52+Apr!X62)</f>
        <v>0</v>
      </c>
      <c r="Y52" s="49">
        <f>IF(P52=" ",Apr!Y62,P52+Apr!Y62)</f>
        <v>0</v>
      </c>
      <c r="Z52" s="49">
        <f>IF(Q52=" ",Apr!Z62,Q52+Apr!Z62)</f>
        <v>0</v>
      </c>
      <c r="AA52" s="49">
        <f>IF(R52=" ",Apr!AA62,R52+Apr!AA62)</f>
        <v>0</v>
      </c>
      <c r="AC52" s="49">
        <f>IF(T52=" ",Apr!AC62,T52+Apr!AC62)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IF(T$49="Y",Apr!H63,0)</f>
        <v>0</v>
      </c>
      <c r="I53" s="92">
        <f>IF(T$49="Y",Apr!I63,0)</f>
        <v>0</v>
      </c>
      <c r="J53" s="92">
        <f>IF(T$49="Y",Apr!J63,0)</f>
        <v>0</v>
      </c>
      <c r="K53" s="92">
        <f>IF(T$49="Y",Apr!K63,I53*J53)</f>
        <v>0</v>
      </c>
      <c r="L53" s="111">
        <f>IF(T$49="Y",Apr!L63,0)</f>
        <v>0</v>
      </c>
      <c r="M53" s="100" t="str">
        <f>IF(E53=" "," ",IF(T$49="Y",Apr!M63,IF((H53+K53+L53)&gt;0,H53+K53+L53,"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IF(Employee!H$87=E$49,Employee!D$86+SUM(M53)+Apr!V63,SUM(M53)+Apr!V63)</f>
        <v>0</v>
      </c>
      <c r="W53" s="49">
        <f>IF(Employee!H$87=E$49,Employee!D$87+SUM(N53)+Apr!W63,SUM(N53)+Apr!W63)</f>
        <v>0</v>
      </c>
      <c r="X53" s="49">
        <f>IF(O53=" ",Apr!X63,O53+Apr!X63)</f>
        <v>0</v>
      </c>
      <c r="Y53" s="49">
        <f>IF(P53=" ",Apr!Y63,P53+Apr!Y63)</f>
        <v>0</v>
      </c>
      <c r="Z53" s="49">
        <f>IF(Q53=" ",Apr!Z63,Q53+Apr!Z63)</f>
        <v>0</v>
      </c>
      <c r="AA53" s="49">
        <f>IF(R53=" ",Apr!AA63,R53+Apr!AA63)</f>
        <v>0</v>
      </c>
      <c r="AC53" s="49">
        <f>IF(T53=" ",Apr!AC63,T53+Apr!AC63)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IF(T$49="Y",Apr!H64,0)</f>
        <v>0</v>
      </c>
      <c r="I54" s="92">
        <f>IF(T$49="Y",Apr!I64,0)</f>
        <v>0</v>
      </c>
      <c r="J54" s="92">
        <f>IF(T$49="Y",Apr!J64,0)</f>
        <v>0</v>
      </c>
      <c r="K54" s="92">
        <f>IF(T$49="Y",Apr!K64,I54*J54)</f>
        <v>0</v>
      </c>
      <c r="L54" s="111">
        <f>IF(T$49="Y",Apr!L64,0)</f>
        <v>0</v>
      </c>
      <c r="M54" s="100" t="str">
        <f>IF(E54=" "," ",IF(T$49="Y",Apr!M64,IF((H54+K54+L54)&gt;0,H54+K54+L54,"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IF(Employee!H$113=E$49,Employee!D$112+SUM(M54)+Apr!V64,SUM(M54)+Apr!V64)</f>
        <v>0</v>
      </c>
      <c r="W54" s="49">
        <f>IF(Employee!H$113=E$49,Employee!D$113+SUM(N54)+Apr!W64,SUM(N54)+Apr!W64)</f>
        <v>0</v>
      </c>
      <c r="X54" s="49">
        <f>IF(O54=" ",Apr!X64,O54+Apr!X64)</f>
        <v>0</v>
      </c>
      <c r="Y54" s="49">
        <f>IF(P54=" ",Apr!Y64,P54+Apr!Y64)</f>
        <v>0</v>
      </c>
      <c r="Z54" s="49">
        <f>IF(Q54=" ",Apr!Z64,Q54+Apr!Z64)</f>
        <v>0</v>
      </c>
      <c r="AA54" s="49">
        <f>IF(R54=" ",Apr!AA64,R54+Apr!AA64)</f>
        <v>0</v>
      </c>
      <c r="AC54" s="49">
        <f>IF(T54=" ",Apr!AC64,T54+Apr!AC64)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IF(T$49="Y",Apr!H65,0)</f>
        <v>0</v>
      </c>
      <c r="I55" s="245">
        <f>IF(T$49="Y",Apr!I65,0)</f>
        <v>0</v>
      </c>
      <c r="J55" s="245">
        <f>IF(T$49="Y",Apr!J65,0)</f>
        <v>0</v>
      </c>
      <c r="K55" s="245">
        <f>IF(T$49="Y",Apr!K65,I55*J55)</f>
        <v>0</v>
      </c>
      <c r="L55" s="246">
        <f>IF(T$49="Y",Apr!L65,0)</f>
        <v>0</v>
      </c>
      <c r="M55" s="100" t="str">
        <f>IF(E55=" "," ",IF(T$49="Y",Apr!M65,IF((H55+K55+L55)&gt;0,H55+K55+L55,"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IF(Employee!H$139=E$49,Employee!D$138+SUM(M55)+Apr!V65,SUM(M55)+Apr!V65)</f>
        <v>0</v>
      </c>
      <c r="W55" s="49">
        <f>IF(Employee!H$139=E$49,Employee!D$139+SUM(N55)+Apr!W65,SUM(N55)+Apr!W65)</f>
        <v>0</v>
      </c>
      <c r="X55" s="49">
        <f>IF(O55=" ",Apr!X65,O55+Apr!X65)</f>
        <v>0</v>
      </c>
      <c r="Y55" s="49">
        <f>IF(P55=" ",Apr!Y65,P55+Apr!Y65)</f>
        <v>0</v>
      </c>
      <c r="Z55" s="49">
        <f>IF(Q55=" ",Apr!Z65,Q55+Apr!Z65)</f>
        <v>0</v>
      </c>
      <c r="AA55" s="49">
        <f>IF(R55=" ",Apr!AA65,R55+Apr!AA65)</f>
        <v>0</v>
      </c>
      <c r="AC55" s="49">
        <f>IF(T55=" ",Apr!AC65,T55+Apr!AC65)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AD60+Apr!AD75</f>
        <v>0</v>
      </c>
      <c r="AE65" s="158">
        <f>AE60+Apr!AE75</f>
        <v>0</v>
      </c>
      <c r="AF65" s="158">
        <f>AF60+Apr!AF75</f>
        <v>0</v>
      </c>
      <c r="AG65" s="158">
        <f>AG60+Apr!AG75</f>
        <v>0</v>
      </c>
    </row>
    <row r="66" spans="6:33" ht="14" thickTop="1" x14ac:dyDescent="0.15"/>
    <row r="67" spans="6:33" x14ac:dyDescent="0.15">
      <c r="AD67" s="162"/>
      <c r="AE67" s="158">
        <f>AE62+Apr!AE77</f>
        <v>0</v>
      </c>
      <c r="AF67" s="158">
        <f>AF62+Apr!AF77</f>
        <v>0</v>
      </c>
      <c r="AG67" s="158">
        <f>AG62+Apr!AG77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45505</v>
      </c>
      <c r="L9" s="203" t="s">
        <v>76</v>
      </c>
      <c r="M9" s="205">
        <f>K9+6</f>
        <v>45511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IF(T$9="Y",May!H41,0)</f>
        <v>0</v>
      </c>
      <c r="I12" s="92">
        <f>IF(T$9="Y",May!I41,0)</f>
        <v>0</v>
      </c>
      <c r="J12" s="92">
        <f>IF(T$9="Y",May!J41,0)</f>
        <v>0</v>
      </c>
      <c r="K12" s="92">
        <f>IF(T$9="Y",May!K41,I12*J12)</f>
        <v>0</v>
      </c>
      <c r="L12" s="111">
        <f>IF(T$9="Y",May!L41,0)</f>
        <v>0</v>
      </c>
      <c r="M12" s="111" t="str">
        <f>IF(E12=" "," ",IF(T$9="Y",May!M41,IF((H12+K12+L12)&gt;0,H12+K12+L12,"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IF(T$9="Y",May!H41,0)</f>
        <v>0</v>
      </c>
      <c r="I13" s="92">
        <f>IF(T$9="Y",May!I41,0)</f>
        <v>0</v>
      </c>
      <c r="J13" s="92">
        <f>IF(T$9="Y",May!J41,0)</f>
        <v>0</v>
      </c>
      <c r="K13" s="92">
        <f>IF(T$9="Y",May!K41,I13*J13)</f>
        <v>0</v>
      </c>
      <c r="L13" s="111">
        <f>IF(T$9="Y",May!L41,0)</f>
        <v>0</v>
      </c>
      <c r="M13" s="111" t="str">
        <f>IF(E13=" "," ",IF(T$9="Y",May!M41,IF((H13+K13+L13)&gt;0,H13+K13+L13,"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IF(T$9="Y",May!H41,0)</f>
        <v>0</v>
      </c>
      <c r="I14" s="92">
        <f>IF(T$9="Y",May!I41,0)</f>
        <v>0</v>
      </c>
      <c r="J14" s="92">
        <f>IF(T$9="Y",May!J41,0)</f>
        <v>0</v>
      </c>
      <c r="K14" s="92">
        <f>IF(T$9="Y",May!K41,I14*J14)</f>
        <v>0</v>
      </c>
      <c r="L14" s="111">
        <f>IF(T$9="Y",May!L41,0)</f>
        <v>0</v>
      </c>
      <c r="M14" s="111" t="str">
        <f>IF(E14=" "," ",IF(T$9="Y",May!M41,IF((H14+K14+L14)&gt;0,H14+K14+L14,"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IF(T$9="Y",May!H41,0)</f>
        <v>0</v>
      </c>
      <c r="I15" s="245">
        <f>IF(T$9="Y",May!I41,0)</f>
        <v>0</v>
      </c>
      <c r="J15" s="245">
        <f>IF(T$9="Y",May!J41,0)</f>
        <v>0</v>
      </c>
      <c r="K15" s="245">
        <f>IF(T$9="Y",May!K41,I15*J15)</f>
        <v>0</v>
      </c>
      <c r="L15" s="246">
        <f>IF(T$9="Y",May!L41,0)</f>
        <v>0</v>
      </c>
      <c r="M15" s="246" t="str">
        <f>IF(E15=" "," ",IF(T$9="Y",May!M41,IF((H15+K15+L15)&gt;0,H15+K15+L15,"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45512</v>
      </c>
      <c r="L19" s="203" t="s">
        <v>76</v>
      </c>
      <c r="M19" s="205">
        <f>K19+6</f>
        <v>45518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45519</v>
      </c>
      <c r="L29" s="203" t="s">
        <v>76</v>
      </c>
      <c r="M29" s="205">
        <f>K29+6</f>
        <v>45525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45526</v>
      </c>
      <c r="L39" s="203" t="s">
        <v>76</v>
      </c>
      <c r="M39" s="205">
        <f>K39+6</f>
        <v>45532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DATE(2024,6,1)</f>
        <v>45444</v>
      </c>
      <c r="L49" s="203" t="s">
        <v>76</v>
      </c>
      <c r="M49" s="205">
        <f>DATE(2024,6,30)</f>
        <v>45473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IF(T$49="Y",May!H51,0)</f>
        <v>0</v>
      </c>
      <c r="I51" s="89">
        <f>IF(T$49="Y",May!I51,0)</f>
        <v>0</v>
      </c>
      <c r="J51" s="89">
        <f>IF(T$49="Y",May!J51,0)</f>
        <v>0</v>
      </c>
      <c r="K51" s="89">
        <f>IF(T$49="Y",May!K51,I51*J51)</f>
        <v>0</v>
      </c>
      <c r="L51" s="89">
        <f>IF(T$49="Y",May!L51,0)</f>
        <v>0</v>
      </c>
      <c r="M51" s="99" t="str">
        <f>IF(E51=" "," ",IF(T$49="Y",May!M51,IF((H51+K51+L51)&gt;0,H51+K51+L51,"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IF(Employee!H$35=E$49,Employee!D$34+SUM(M51)+May!V51,SUM(M51)+May!V51)</f>
        <v>0</v>
      </c>
      <c r="W51" s="49">
        <f>IF(Employee!H$35=E$49,Employee!D$35+SUM(N51)+May!W51,SUM(N51)+May!W51)</f>
        <v>0</v>
      </c>
      <c r="X51" s="49">
        <f>IF(O51=" ",May!X51,O51+May!X51)</f>
        <v>0</v>
      </c>
      <c r="Y51" s="49">
        <f>IF(P51=" ",May!Y51,P51+May!Y51)</f>
        <v>0</v>
      </c>
      <c r="Z51" s="49">
        <f>IF(Q51=" ",May!Z51,Q51+May!Z51)</f>
        <v>0</v>
      </c>
      <c r="AA51" s="49">
        <f>IF(R51=" ",May!AA51,R51+May!AA51)</f>
        <v>0</v>
      </c>
      <c r="AC51" s="49">
        <f>IF(T51=" ",May!AC51,T51+May!AC51)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IF(T$49="Y",May!H52,0)</f>
        <v>0</v>
      </c>
      <c r="I52" s="92">
        <f>IF(T$49="Y",May!I52,0)</f>
        <v>0</v>
      </c>
      <c r="J52" s="92">
        <f>IF(T$49="Y",May!J52,0)</f>
        <v>0</v>
      </c>
      <c r="K52" s="92">
        <f>IF(T$49="Y",May!K52,I52*J52)</f>
        <v>0</v>
      </c>
      <c r="L52" s="92">
        <f>IF(T$49="Y",May!L52,0)</f>
        <v>0</v>
      </c>
      <c r="M52" s="100" t="str">
        <f>IF(E52=" "," ",IF(T$49="Y",May!M52,IF((H52+K52+L52)&gt;0,H52+K52+L52,"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IF(Employee!H$61=E$49,Employee!D$60+SUM(M52)+May!V52,SUM(M52)+May!V52)</f>
        <v>0</v>
      </c>
      <c r="W52" s="49">
        <f>IF(Employee!H$61=E$49,Employee!D$61+SUM(N52)+May!W52,SUM(N52)+May!W52)</f>
        <v>0</v>
      </c>
      <c r="X52" s="49">
        <f>IF(O52=" ",May!X52,O52+May!X52)</f>
        <v>0</v>
      </c>
      <c r="Y52" s="49">
        <f>IF(P52=" ",May!Y52,P52+May!Y52)</f>
        <v>0</v>
      </c>
      <c r="Z52" s="49">
        <f>IF(Q52=" ",May!Z52,Q52+May!Z52)</f>
        <v>0</v>
      </c>
      <c r="AA52" s="49">
        <f>IF(R52=" ",May!AA52,R52+May!AA52)</f>
        <v>0</v>
      </c>
      <c r="AC52" s="49">
        <f>IF(T52=" ",May!AC52,T52+May!AC52)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IF(T$49="Y",May!H53,0)</f>
        <v>0</v>
      </c>
      <c r="I53" s="92">
        <f>IF(T$49="Y",May!I53,0)</f>
        <v>0</v>
      </c>
      <c r="J53" s="92">
        <f>IF(T$49="Y",May!J53,0)</f>
        <v>0</v>
      </c>
      <c r="K53" s="92">
        <f>IF(T$49="Y",May!K53,I53*J53)</f>
        <v>0</v>
      </c>
      <c r="L53" s="92">
        <f>IF(T$49="Y",May!L53,0)</f>
        <v>0</v>
      </c>
      <c r="M53" s="100" t="str">
        <f>IF(E53=" "," ",IF(T$49="Y",May!M53,IF((H53+K53+L53)&gt;0,H53+K53+L53,"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IF(Employee!H$87=E$49,Employee!D$86+SUM(M53)+May!V53,SUM(M53)+May!V53)</f>
        <v>0</v>
      </c>
      <c r="W53" s="49">
        <f>IF(Employee!H$87=E$49,Employee!D$87+SUM(N53)+May!W53,SUM(N53)+May!W53)</f>
        <v>0</v>
      </c>
      <c r="X53" s="49">
        <f>IF(O53=" ",May!X53,O53+May!X53)</f>
        <v>0</v>
      </c>
      <c r="Y53" s="49">
        <f>IF(P53=" ",May!Y53,P53+May!Y53)</f>
        <v>0</v>
      </c>
      <c r="Z53" s="49">
        <f>IF(Q53=" ",May!Z53,Q53+May!Z53)</f>
        <v>0</v>
      </c>
      <c r="AA53" s="49">
        <f>IF(R53=" ",May!AA53,R53+May!AA53)</f>
        <v>0</v>
      </c>
      <c r="AC53" s="49">
        <f>IF(T53=" ",May!AC53,T53+May!AC53)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IF(T$49="Y",May!H54,0)</f>
        <v>0</v>
      </c>
      <c r="I54" s="92">
        <f>IF(T$49="Y",May!I54,0)</f>
        <v>0</v>
      </c>
      <c r="J54" s="92">
        <f>IF(T$49="Y",May!J54,0)</f>
        <v>0</v>
      </c>
      <c r="K54" s="92">
        <f>IF(T$49="Y",May!K54,I54*J54)</f>
        <v>0</v>
      </c>
      <c r="L54" s="92">
        <f>IF(T$49="Y",May!L54,0)</f>
        <v>0</v>
      </c>
      <c r="M54" s="100" t="str">
        <f>IF(E54=" "," ",IF(T$49="Y",May!M54,IF((H54+K54+L54)&gt;0,H54+K54+L54,"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IF(Employee!H$113=E$49,Employee!D$112+SUM(M54)+May!V54,SUM(M54)+May!V54)</f>
        <v>0</v>
      </c>
      <c r="W54" s="49">
        <f>IF(Employee!H$113=E$49,Employee!D$113+SUM(N54)+May!W54,SUM(N54)+May!W54)</f>
        <v>0</v>
      </c>
      <c r="X54" s="49">
        <f>IF(O54=" ",May!X54,O54+May!X54)</f>
        <v>0</v>
      </c>
      <c r="Y54" s="49">
        <f>IF(P54=" ",May!Y54,P54+May!Y54)</f>
        <v>0</v>
      </c>
      <c r="Z54" s="49">
        <f>IF(Q54=" ",May!Z54,Q54+May!Z54)</f>
        <v>0</v>
      </c>
      <c r="AA54" s="49">
        <f>IF(R54=" ",May!AA54,R54+May!AA54)</f>
        <v>0</v>
      </c>
      <c r="AC54" s="49">
        <f>IF(T54=" ",May!AC54,T54+May!AC54)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IF(T$49="Y",May!H55,0)</f>
        <v>0</v>
      </c>
      <c r="I55" s="92">
        <f>IF(T$49="Y",May!I55,0)</f>
        <v>0</v>
      </c>
      <c r="J55" s="92">
        <f>IF(T$49="Y",May!J55,0)</f>
        <v>0</v>
      </c>
      <c r="K55" s="92">
        <f>IF(T$49="Y",May!K55,I55*J55)</f>
        <v>0</v>
      </c>
      <c r="L55" s="92">
        <f>IF(T$49="Y",May!L55,0)</f>
        <v>0</v>
      </c>
      <c r="M55" s="100" t="str">
        <f>IF(E55=" "," ",IF(T$49="Y",May!M55,IF((H55+K55+L55)&gt;0,H55+K55+L55,"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IF(Employee!H$139=E$49,Employee!D$138+SUM(M55)+May!V55,SUM(M55)+May!V55)</f>
        <v>0</v>
      </c>
      <c r="W55" s="49">
        <f>IF(Employee!H$139=E$49,Employee!D$139+SUM(N55)+May!W55,SUM(N55)+May!W55)</f>
        <v>0</v>
      </c>
      <c r="X55" s="49">
        <f>IF(O55=" ",May!X55,O55+May!X55)</f>
        <v>0</v>
      </c>
      <c r="Y55" s="49">
        <f>IF(P55=" ",May!Y55,P55+May!Y55)</f>
        <v>0</v>
      </c>
      <c r="Z55" s="49">
        <f>IF(Q55=" ",May!Z55,Q55+May!Z55)</f>
        <v>0</v>
      </c>
      <c r="AA55" s="49">
        <f>IF(R55=" ",May!AA55,R55+May!AA55)</f>
        <v>0</v>
      </c>
      <c r="AC55" s="49">
        <f>IF(T55=" ",May!AC55,T55+May!AC55)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AD60+May!AD65</f>
        <v>0</v>
      </c>
      <c r="AE65" s="158">
        <f>AE60+May!AE65</f>
        <v>0</v>
      </c>
      <c r="AF65" s="158">
        <f>AF60+May!AF65</f>
        <v>0</v>
      </c>
      <c r="AG65" s="158">
        <f>AG60+May!AG65</f>
        <v>0</v>
      </c>
    </row>
    <row r="66" spans="6:33" ht="14" thickTop="1" x14ac:dyDescent="0.15"/>
    <row r="67" spans="6:33" x14ac:dyDescent="0.15">
      <c r="AD67" s="162"/>
      <c r="AE67" s="158">
        <f>AE62+May!AE67</f>
        <v>0</v>
      </c>
      <c r="AF67" s="158">
        <f>AF62+May!AF67</f>
        <v>0</v>
      </c>
      <c r="AG67" s="158">
        <f>AG62+May!AG67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Jun!M39+1</f>
        <v>45533</v>
      </c>
      <c r="L9" s="203" t="s">
        <v>76</v>
      </c>
      <c r="M9" s="205">
        <f>K9+6</f>
        <v>45539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45540</v>
      </c>
      <c r="L19" s="203" t="s">
        <v>76</v>
      </c>
      <c r="M19" s="205">
        <f>K19+6</f>
        <v>45546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45547</v>
      </c>
      <c r="L29" s="203" t="s">
        <v>76</v>
      </c>
      <c r="M29" s="205">
        <f>K29+6</f>
        <v>45553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45554</v>
      </c>
      <c r="L39" s="203" t="s">
        <v>76</v>
      </c>
      <c r="M39" s="205">
        <f>K39+6</f>
        <v>45560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45561</v>
      </c>
      <c r="L49" s="203" t="s">
        <v>76</v>
      </c>
      <c r="M49" s="205">
        <f>K49+6</f>
        <v>45567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DATE(2024,7,1)</f>
        <v>45474</v>
      </c>
      <c r="L59" s="203" t="s">
        <v>76</v>
      </c>
      <c r="M59" s="205">
        <f>DATE(2024,7,31)</f>
        <v>45504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IF(T$59="Y",Jun!H51,0)</f>
        <v>0</v>
      </c>
      <c r="I61" s="89">
        <f>IF(T$59="Y",Jun!I51,0)</f>
        <v>0</v>
      </c>
      <c r="J61" s="89">
        <f>IF(T$59="Y",Jun!J51,0)</f>
        <v>0</v>
      </c>
      <c r="K61" s="89">
        <f>IF(T$59="Y",Jun!K51,I61*J61)</f>
        <v>0</v>
      </c>
      <c r="L61" s="110">
        <f>IF(T$59="Y",Jun!L51,0)</f>
        <v>0</v>
      </c>
      <c r="M61" s="99" t="str">
        <f>IF(E61=" "," ",IF(T$59="Y",Jun!M51,IF((H61+K61+L61)&gt;0,H61+K61+L61,"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IF(Employee!H$35=E$59,Employee!D$34+SUM(M61)+Jun!V51,SUM(M61)+Jun!V51)</f>
        <v>0</v>
      </c>
      <c r="W61" s="49">
        <f>IF(Employee!H$35=E$59,Employee!D$35+SUM(N61)+Jun!W51,SUM(N61)+Jun!W51)</f>
        <v>0</v>
      </c>
      <c r="X61" s="49">
        <f>IF(O61=" ",Jun!X51,O61+Jun!X51)</f>
        <v>0</v>
      </c>
      <c r="Y61" s="49">
        <f>IF(P61=" ",Jun!Y51,P61+Jun!Y51)</f>
        <v>0</v>
      </c>
      <c r="Z61" s="49">
        <f>IF(Q61=" ",Jun!Z51,Q61+Jun!Z51)</f>
        <v>0</v>
      </c>
      <c r="AA61" s="49">
        <f>IF(R61=" ",Jun!AA51,R61+Jun!AA51)</f>
        <v>0</v>
      </c>
      <c r="AC61" s="49">
        <f>IF(T61=" ",Jun!AC51,T61+Jun!AC51)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IF(T$59="Y",Jun!H52,0)</f>
        <v>0</v>
      </c>
      <c r="I62" s="92">
        <f>IF(T$59="Y",Jun!I52,0)</f>
        <v>0</v>
      </c>
      <c r="J62" s="92">
        <f>IF(T$59="Y",Jun!J52,0)</f>
        <v>0</v>
      </c>
      <c r="K62" s="92">
        <f>IF(T$59="Y",Jun!K52,I62*J62)</f>
        <v>0</v>
      </c>
      <c r="L62" s="111">
        <f>IF(T$59="Y",Jun!L52,0)</f>
        <v>0</v>
      </c>
      <c r="M62" s="100" t="str">
        <f>IF(E62=" "," ",IF(T$59="Y",Jun!M52,IF((H62+K62+L62)&gt;0,H62+K62+L62,"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IF(Employee!H$61=E$59,Employee!D$60+SUM(M62)+Jun!V52,SUM(M62)+Jun!V52)</f>
        <v>0</v>
      </c>
      <c r="W62" s="49">
        <f>IF(Employee!H$61=E$59,Employee!D$61+SUM(N62)+Jun!W52,SUM(N62)+Jun!W52)</f>
        <v>0</v>
      </c>
      <c r="X62" s="49">
        <f>IF(O62=" ",Jun!X52,O62+Jun!X52)</f>
        <v>0</v>
      </c>
      <c r="Y62" s="49">
        <f>IF(P62=" ",Jun!Y52,P62+Jun!Y52)</f>
        <v>0</v>
      </c>
      <c r="Z62" s="49">
        <f>IF(Q62=" ",Jun!Z52,Q62+Jun!Z52)</f>
        <v>0</v>
      </c>
      <c r="AA62" s="49">
        <f>IF(R62=" ",Jun!AA52,R62+Jun!AA52)</f>
        <v>0</v>
      </c>
      <c r="AC62" s="49">
        <f>IF(T62=" ",Jun!AC52,T62+Jun!AC52)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IF(T$59="Y",Jun!H53,0)</f>
        <v>0</v>
      </c>
      <c r="I63" s="92">
        <f>IF(T$59="Y",Jun!I53,0)</f>
        <v>0</v>
      </c>
      <c r="J63" s="92">
        <f>IF(T$59="Y",Jun!J53,0)</f>
        <v>0</v>
      </c>
      <c r="K63" s="92">
        <f>IF(T$59="Y",Jun!K53,I63*J63)</f>
        <v>0</v>
      </c>
      <c r="L63" s="111">
        <f>IF(T$59="Y",Jun!L53,0)</f>
        <v>0</v>
      </c>
      <c r="M63" s="100" t="str">
        <f>IF(E63=" "," ",IF(T$59="Y",Jun!M53,IF((H63+K63+L63)&gt;0,H63+K63+L63,"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IF(Employee!H$87=E$59,Employee!D$86+SUM(M63)+Jun!V53,SUM(M63)+Jun!V53)</f>
        <v>0</v>
      </c>
      <c r="W63" s="49">
        <f>IF(Employee!H$87=E$59,Employee!D$87+SUM(N63)+Jun!W53,SUM(N63)+Jun!W53)</f>
        <v>0</v>
      </c>
      <c r="X63" s="49">
        <f>IF(O63=" ",Jun!X53,O63+Jun!X53)</f>
        <v>0</v>
      </c>
      <c r="Y63" s="49">
        <f>IF(P63=" ",Jun!Y53,P63+Jun!Y53)</f>
        <v>0</v>
      </c>
      <c r="Z63" s="49">
        <f>IF(Q63=" ",Jun!Z53,Q63+Jun!Z53)</f>
        <v>0</v>
      </c>
      <c r="AA63" s="49">
        <f>IF(R63=" ",Jun!AA53,R63+Jun!AA53)</f>
        <v>0</v>
      </c>
      <c r="AC63" s="49">
        <f>IF(T63=" ",Jun!AC53,T63+Jun!AC53)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IF(T$59="Y",Jun!H54,0)</f>
        <v>0</v>
      </c>
      <c r="I64" s="92">
        <f>IF(T$59="Y",Jun!I54,0)</f>
        <v>0</v>
      </c>
      <c r="J64" s="92">
        <f>IF(T$59="Y",Jun!J54,0)</f>
        <v>0</v>
      </c>
      <c r="K64" s="92">
        <f>IF(T$59="Y",Jun!K54,I64*J64)</f>
        <v>0</v>
      </c>
      <c r="L64" s="111">
        <f>IF(T$59="Y",Jun!L54,0)</f>
        <v>0</v>
      </c>
      <c r="M64" s="100" t="str">
        <f>IF(E64=" "," ",IF(T$59="Y",Jun!M54,IF((H64+K64+L64)&gt;0,H64+K64+L64,"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IF(Employee!H$113=E$59,Employee!D$112+SUM(M64)+Jun!V54,SUM(M64)+Jun!V54)</f>
        <v>0</v>
      </c>
      <c r="W64" s="49">
        <f>IF(Employee!H$113=E$59,Employee!D$113+SUM(N64)+Jun!W54,SUM(N64)+Jun!W54)</f>
        <v>0</v>
      </c>
      <c r="X64" s="49">
        <f>IF(O64=" ",Jun!X54,O64+Jun!X54)</f>
        <v>0</v>
      </c>
      <c r="Y64" s="49">
        <f>IF(P64=" ",Jun!Y54,P64+Jun!Y54)</f>
        <v>0</v>
      </c>
      <c r="Z64" s="49">
        <f>IF(Q64=" ",Jun!Z54,Q64+Jun!Z54)</f>
        <v>0</v>
      </c>
      <c r="AA64" s="49">
        <f>IF(R64=" ",Jun!AA54,R64+Jun!AA54)</f>
        <v>0</v>
      </c>
      <c r="AC64" s="49">
        <f>IF(T64=" ",Jun!AC54,T64+Jun!AC54)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IF(T$59="Y",Jun!H55,0)</f>
        <v>0</v>
      </c>
      <c r="I65" s="245">
        <f>IF(T$59="Y",Jun!I55,0)</f>
        <v>0</v>
      </c>
      <c r="J65" s="245">
        <f>IF(T$59="Y",Jun!J55,0)</f>
        <v>0</v>
      </c>
      <c r="K65" s="245">
        <f>IF(T$59="Y",Jun!K55,I65*J65)</f>
        <v>0</v>
      </c>
      <c r="L65" s="246">
        <f>IF(T$59="Y",Jun!L55,0)</f>
        <v>0</v>
      </c>
      <c r="M65" s="100" t="str">
        <f>IF(E65=" "," ",IF(T$59="Y",Jun!M55,IF((H65+K65+L65)&gt;0,H65+K65+L65,"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IF(Employee!H$139=E$59,Employee!D$138+SUM(M65)+Jun!V55,SUM(M65)+Jun!V55)</f>
        <v>0</v>
      </c>
      <c r="W65" s="49">
        <f>IF(Employee!H$139=E$59,Employee!D$139+SUM(N65)+Jun!W55,SUM(N65)+Jun!W55)</f>
        <v>0</v>
      </c>
      <c r="X65" s="49">
        <f>IF(O65=" ",Jun!X55,O65+Jun!X55)</f>
        <v>0</v>
      </c>
      <c r="Y65" s="49">
        <f>IF(P65=" ",Jun!Y55,P65+Jun!Y55)</f>
        <v>0</v>
      </c>
      <c r="Z65" s="49">
        <f>IF(Q65=" ",Jun!Z55,Q65+Jun!Z55)</f>
        <v>0</v>
      </c>
      <c r="AA65" s="49">
        <f>IF(R65=" ",Jun!AA55,R65+Jun!AA55)</f>
        <v>0</v>
      </c>
      <c r="AC65" s="49">
        <f>IF(T65=" ",Jun!AC55,T65+Jun!AC55)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AD70+Jun!AD65</f>
        <v>0</v>
      </c>
      <c r="AE75" s="158">
        <f>AE70+Jun!AE65</f>
        <v>0</v>
      </c>
      <c r="AF75" s="158">
        <f>AF70+Jun!AF65</f>
        <v>0</v>
      </c>
      <c r="AG75" s="158">
        <f>AG70+Jun!AG65</f>
        <v>0</v>
      </c>
    </row>
    <row r="76" spans="1:34" ht="14" thickTop="1" x14ac:dyDescent="0.15"/>
    <row r="77" spans="1:34" x14ac:dyDescent="0.15">
      <c r="AD77" s="162"/>
      <c r="AE77" s="158">
        <f>AE72+Jun!AE67</f>
        <v>0</v>
      </c>
      <c r="AF77" s="158">
        <f>AF72+Jun!AF67</f>
        <v>0</v>
      </c>
      <c r="AG77" s="158">
        <f>AG72+Jun!AG67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45568</v>
      </c>
      <c r="L9" s="203" t="s">
        <v>76</v>
      </c>
      <c r="M9" s="205">
        <f>Admin!B188</f>
        <v>45574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IF(T$9="Y",Jul!H51,0)</f>
        <v>0</v>
      </c>
      <c r="I11" s="89">
        <f>IF(T$9="Y",Jul!I51,0)</f>
        <v>0</v>
      </c>
      <c r="J11" s="89">
        <f>IF(T$9="Y",Jul!J51,0)</f>
        <v>0</v>
      </c>
      <c r="K11" s="89">
        <f>IF(T$9="Y",Jul!K51,I11*J11)</f>
        <v>0</v>
      </c>
      <c r="L11" s="110">
        <f>IF(T$9="Y",Jul!L51,0)</f>
        <v>0</v>
      </c>
      <c r="M11" s="99" t="str">
        <f>IF(E11=" "," ",IF(T$9="Y",Jul!M51,IF((H11+K11+L11)&gt;0,H11+K11+L11,"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IF(Employee!H$34=E$9,Employee!D$34+SUM(M11)+Jul!V51,SUM(M11)+Jul!V51)</f>
        <v>0</v>
      </c>
      <c r="W11" s="49">
        <f>IF(Employee!H$34=E$9,Employee!D$35+SUM(N11)+Jul!W51,SUM(N11)+Jul!W51)</f>
        <v>0</v>
      </c>
      <c r="X11" s="49">
        <f>IF(O11=" ",Jul!X51,O11+Jul!X51)</f>
        <v>0</v>
      </c>
      <c r="Y11" s="49">
        <f>IF(P11=" ",Jul!Y51,P11+Jul!Y51)</f>
        <v>0</v>
      </c>
      <c r="Z11" s="49">
        <f>IF(Q11=" ",Jul!Z51,Q11+Jul!Z51)</f>
        <v>0</v>
      </c>
      <c r="AA11" s="49">
        <f>IF(R11=" ",Jul!AA51,R11+Jul!AA51)</f>
        <v>0</v>
      </c>
      <c r="AC11" s="49">
        <f>IF(T11=" ",Jul!AC51,T11+Jul!AC51)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IF(T$9="Y",Jul!H52,0)</f>
        <v>0</v>
      </c>
      <c r="I12" s="92">
        <f>IF(T$9="Y",Jul!I52,0)</f>
        <v>0</v>
      </c>
      <c r="J12" s="92">
        <f>IF(T$9="Y",Jul!J52,0)</f>
        <v>0</v>
      </c>
      <c r="K12" s="92">
        <f>IF(T$9="Y",Jul!K52,I12*J12)</f>
        <v>0</v>
      </c>
      <c r="L12" s="111">
        <f>IF(T$9="Y",Jul!L52,0)</f>
        <v>0</v>
      </c>
      <c r="M12" s="100" t="str">
        <f>IF(E12=" "," ",IF(T$9="Y",Jul!M52,IF((H12+K12+L12)&gt;0,H12+K12+L12,"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IF(Employee!H$60=E$9,Employee!D$60+SUM(M12)+Jul!V52,SUM(M12)+Jul!V52)</f>
        <v>0</v>
      </c>
      <c r="W12" s="49">
        <f>IF(Employee!H$60=E$9,Employee!D$61+SUM(N12)+Jul!W52,SUM(N12)+Jul!W52)</f>
        <v>0</v>
      </c>
      <c r="X12" s="49">
        <f>IF(O12=" ",Jul!X52,O12+Jul!X52)</f>
        <v>0</v>
      </c>
      <c r="Y12" s="49">
        <f>IF(P12=" ",Jul!Y52,P12+Jul!Y52)</f>
        <v>0</v>
      </c>
      <c r="Z12" s="49">
        <f>IF(Q12=" ",Jul!Z52,Q12+Jul!Z52)</f>
        <v>0</v>
      </c>
      <c r="AA12" s="49">
        <f>IF(R12=" ",Jul!AA52,R12+Jul!AA52)</f>
        <v>0</v>
      </c>
      <c r="AC12" s="49">
        <f>IF(T12=" ",Jul!AC52,T12+Jul!AC52)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IF(T$9="Y",Jul!H53,0)</f>
        <v>0</v>
      </c>
      <c r="I13" s="92">
        <f>IF(T$9="Y",Jul!I53,0)</f>
        <v>0</v>
      </c>
      <c r="J13" s="92">
        <f>IF(T$9="Y",Jul!J53,0)</f>
        <v>0</v>
      </c>
      <c r="K13" s="92">
        <f>IF(T$9="Y",Jul!K53,I13*J13)</f>
        <v>0</v>
      </c>
      <c r="L13" s="111">
        <f>IF(T$9="Y",Jul!L53,0)</f>
        <v>0</v>
      </c>
      <c r="M13" s="100" t="str">
        <f>IF(E13=" "," ",IF(T$9="Y",Jul!M53,IF((H13+K13+L13)&gt;0,H13+K13+L13,"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IF(Employee!H$86=E$9,Employee!D$86+SUM(M13)+Jul!V53,SUM(M13)+Jul!V53)</f>
        <v>0</v>
      </c>
      <c r="W13" s="49">
        <f>IF(Employee!H$86=E$9,Employee!D$87+SUM(N13)+Jul!W53,SUM(N13)+Jul!W53)</f>
        <v>0</v>
      </c>
      <c r="X13" s="49">
        <f>IF(O13=" ",Jul!X53,O13+Jul!X53)</f>
        <v>0</v>
      </c>
      <c r="Y13" s="49">
        <f>IF(P13=" ",Jul!Y53,P13+Jul!Y53)</f>
        <v>0</v>
      </c>
      <c r="Z13" s="49">
        <f>IF(Q13=" ",Jul!Z53,Q13+Jul!Z53)</f>
        <v>0</v>
      </c>
      <c r="AA13" s="49">
        <f>IF(R13=" ",Jul!AA53,R13+Jul!AA53)</f>
        <v>0</v>
      </c>
      <c r="AC13" s="49">
        <f>IF(T13=" ",Jul!AC53,T13+Jul!AC53)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IF(T$9="Y",Jul!H54,0)</f>
        <v>0</v>
      </c>
      <c r="I14" s="92">
        <f>IF(T$9="Y",Jul!I54,0)</f>
        <v>0</v>
      </c>
      <c r="J14" s="92">
        <f>IF(T$9="Y",Jul!J54,0)</f>
        <v>0</v>
      </c>
      <c r="K14" s="92">
        <f>IF(T$9="Y",Jul!K54,I14*J14)</f>
        <v>0</v>
      </c>
      <c r="L14" s="111">
        <f>IF(T$9="Y",Jul!L54,0)</f>
        <v>0</v>
      </c>
      <c r="M14" s="100" t="str">
        <f>IF(E14=" "," ",IF(T$9="Y",Jul!M54,IF((H14+K14+L14)&gt;0,H14+K14+L14,"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IF(Employee!H$112=E$9,Employee!D$112+SUM(M14)+Jul!V54,SUM(M14)+Jul!V54)</f>
        <v>0</v>
      </c>
      <c r="W14" s="49">
        <f>IF(Employee!H$112=E$9,Employee!D$113+SUM(N14)+Jul!W54,SUM(N14)+Jul!W54)</f>
        <v>0</v>
      </c>
      <c r="X14" s="49">
        <f>IF(O14=" ",Jul!X54,O14+Jul!X54)</f>
        <v>0</v>
      </c>
      <c r="Y14" s="49">
        <f>IF(P14=" ",Jul!Y54,P14+Jul!Y54)</f>
        <v>0</v>
      </c>
      <c r="Z14" s="49">
        <f>IF(Q14=" ",Jul!Z54,Q14+Jul!Z54)</f>
        <v>0</v>
      </c>
      <c r="AA14" s="49">
        <f>IF(R14=" ",Jul!AA54,R14+Jul!AA54)</f>
        <v>0</v>
      </c>
      <c r="AC14" s="49">
        <f>IF(T14=" ",Jul!AC54,T14+Jul!AC54)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IF(T$9="Y",Jul!H55,0)</f>
        <v>0</v>
      </c>
      <c r="I15" s="245">
        <f>IF(T$9="Y",Jul!I55,0)</f>
        <v>0</v>
      </c>
      <c r="J15" s="245">
        <f>IF(T$9="Y",Jul!J55,0)</f>
        <v>0</v>
      </c>
      <c r="K15" s="245">
        <f>IF(T$9="Y",Jul!K55,I15*J15)</f>
        <v>0</v>
      </c>
      <c r="L15" s="246">
        <f>IF(T$9="Y",Jul!L55,0)</f>
        <v>0</v>
      </c>
      <c r="M15" s="247" t="str">
        <f>IF(E15=" "," ",IF(T$9="Y",Jul!M55,IF((H15+K15+L15)&gt;0,H15+K15+L15,"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IF(Employee!H$138=E$9,Employee!D$138+SUM(M15)+Jul!V55,SUM(M15)+Jul!V55)</f>
        <v>0</v>
      </c>
      <c r="W15" s="49">
        <f>IF(Employee!H$138=E$9,Employee!D$139+SUM(N15)+Jul!W55,SUM(N15)+Jul!W55)</f>
        <v>0</v>
      </c>
      <c r="X15" s="49">
        <f>IF(O15=" ",Jul!X55,O15+Jul!X55)</f>
        <v>0</v>
      </c>
      <c r="Y15" s="49">
        <f>IF(P15=" ",Jul!Y55,P15+Jul!Y55)</f>
        <v>0</v>
      </c>
      <c r="Z15" s="49">
        <f>IF(Q15=" ",Jul!Z55,Q15+Jul!Z55)</f>
        <v>0</v>
      </c>
      <c r="AA15" s="49">
        <f>IF(R15=" ",Jul!AA55,R15+Jul!AA55)</f>
        <v>0</v>
      </c>
      <c r="AC15" s="49">
        <f>IF(T15=" ",Jul!AC55,T15+Jul!AC55)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45575</v>
      </c>
      <c r="L19" s="203" t="s">
        <v>76</v>
      </c>
      <c r="M19" s="205">
        <f>K19+6</f>
        <v>45581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45582</v>
      </c>
      <c r="L29" s="203" t="s">
        <v>76</v>
      </c>
      <c r="M29" s="205">
        <f>K29+6</f>
        <v>45588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45589</v>
      </c>
      <c r="L39" s="203" t="s">
        <v>76</v>
      </c>
      <c r="M39" s="205">
        <f>K39+6</f>
        <v>45595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DATE(2024,8,1)</f>
        <v>45505</v>
      </c>
      <c r="L49" s="203" t="s">
        <v>76</v>
      </c>
      <c r="M49" s="205">
        <f>DATE(2024,8,31)</f>
        <v>45535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IF(T$49="Y",Jul!H61,0)</f>
        <v>0</v>
      </c>
      <c r="I51" s="89">
        <f>IF(T$49="Y",Jul!I61,0)</f>
        <v>0</v>
      </c>
      <c r="J51" s="89">
        <f>IF(T$49="Y",Jul!J61,0)</f>
        <v>0</v>
      </c>
      <c r="K51" s="89">
        <f>IF(T$49="Y",Jul!K61,I51*J51)</f>
        <v>0</v>
      </c>
      <c r="L51" s="110">
        <f>IF(T$49="Y",Jul!L61,0)</f>
        <v>0</v>
      </c>
      <c r="M51" s="99" t="str">
        <f>IF(E51=" "," ",IF(T$49="Y",Jul!M61,IF((H51+K51+L51)&gt;0,H51+K51+L51,"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IF(Employee!H$35=E$49,Employee!D$34+SUM(M51)+Jul!V61,SUM(M51)+Jul!V61)</f>
        <v>0</v>
      </c>
      <c r="W51" s="49">
        <f>IF(Employee!H$35=E$49,Employee!D$35+SUM(N51)+Jul!W61,SUM(N51)+Jul!W61)</f>
        <v>0</v>
      </c>
      <c r="X51" s="49">
        <f>IF(O51=" ",Jul!X61,O51+Jul!X61)</f>
        <v>0</v>
      </c>
      <c r="Y51" s="49">
        <f>IF(P51=" ",Jul!Y61,P51+Jul!Y61)</f>
        <v>0</v>
      </c>
      <c r="Z51" s="49">
        <f>IF(Q51=" ",Jul!Z61,Q51+Jul!Z61)</f>
        <v>0</v>
      </c>
      <c r="AA51" s="49">
        <f>IF(R51=" ",Jul!AA61,R51+Jul!AA61)</f>
        <v>0</v>
      </c>
      <c r="AC51" s="49">
        <f>IF(T51=" ",Jul!AC61,T51+Jul!AC61)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IF(T$49="Y",Jul!H62,0)</f>
        <v>0</v>
      </c>
      <c r="I52" s="92">
        <f>IF(T$49="Y",Jul!I62,0)</f>
        <v>0</v>
      </c>
      <c r="J52" s="92">
        <f>IF(T$49="Y",Jul!J62,0)</f>
        <v>0</v>
      </c>
      <c r="K52" s="92">
        <f>IF(T$49="Y",Jul!K62,I52*J52)</f>
        <v>0</v>
      </c>
      <c r="L52" s="111">
        <f>IF(T$49="Y",Jul!L62,0)</f>
        <v>0</v>
      </c>
      <c r="M52" s="100" t="str">
        <f>IF(E52=" "," ",IF(T$49="Y",Jul!M62,IF((H52+K52+L52)&gt;0,H52+K52+L52,"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IF(Employee!H$61=E$49,Employee!D$60+SUM(M52)+Jul!V62,SUM(M52)+Jul!V62)</f>
        <v>0</v>
      </c>
      <c r="W52" s="49">
        <f>IF(Employee!H$61=E$49,Employee!D$61+SUM(N52)+Jul!W62,SUM(N52)+Jul!W62)</f>
        <v>0</v>
      </c>
      <c r="X52" s="49">
        <f>IF(O52=" ",Jul!X62,O52+Jul!X62)</f>
        <v>0</v>
      </c>
      <c r="Y52" s="49">
        <f>IF(P52=" ",Jul!Y62,P52+Jul!Y62)</f>
        <v>0</v>
      </c>
      <c r="Z52" s="49">
        <f>IF(Q52=" ",Jul!Z62,Q52+Jul!Z62)</f>
        <v>0</v>
      </c>
      <c r="AA52" s="49">
        <f>IF(R52=" ",Jul!AA62,R52+Jul!AA62)</f>
        <v>0</v>
      </c>
      <c r="AC52" s="49">
        <f>IF(T52=" ",Jul!AC62,T52+Jul!AC62)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IF(T$49="Y",Jul!H63,0)</f>
        <v>0</v>
      </c>
      <c r="I53" s="92">
        <f>IF(T$49="Y",Jul!I63,0)</f>
        <v>0</v>
      </c>
      <c r="J53" s="92">
        <f>IF(T$49="Y",Jul!J63,0)</f>
        <v>0</v>
      </c>
      <c r="K53" s="92">
        <f>IF(T$49="Y",Jul!K63,I53*J53)</f>
        <v>0</v>
      </c>
      <c r="L53" s="111">
        <f>IF(T$49="Y",Jul!L63,0)</f>
        <v>0</v>
      </c>
      <c r="M53" s="100" t="str">
        <f>IF(E53=" "," ",IF(T$49="Y",Jul!M63,IF((H53+K53+L53)&gt;0,H53+K53+L53,"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IF(Employee!H$87=E$49,Employee!D$86+SUM(M53)+Jul!V63,SUM(M53)+Jul!V63)</f>
        <v>0</v>
      </c>
      <c r="W53" s="49">
        <f>IF(Employee!H$87=E$49,Employee!D$87+SUM(N53)+Jul!W63,SUM(N53)+Jul!W63)</f>
        <v>0</v>
      </c>
      <c r="X53" s="49">
        <f>IF(O53=" ",Jul!X63,O53+Jul!X63)</f>
        <v>0</v>
      </c>
      <c r="Y53" s="49">
        <f>IF(P53=" ",Jul!Y63,P53+Jul!Y63)</f>
        <v>0</v>
      </c>
      <c r="Z53" s="49">
        <f>IF(Q53=" ",Jul!Z63,Q53+Jul!Z63)</f>
        <v>0</v>
      </c>
      <c r="AA53" s="49">
        <f>IF(R53=" ",Jul!AA63,R53+Jul!AA63)</f>
        <v>0</v>
      </c>
      <c r="AC53" s="49">
        <f>IF(T53=" ",Jul!AC63,T53+Jul!AC63)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IF(T$49="Y",Jul!H64,0)</f>
        <v>0</v>
      </c>
      <c r="I54" s="92">
        <f>IF(T$49="Y",Jul!I64,0)</f>
        <v>0</v>
      </c>
      <c r="J54" s="92">
        <f>IF(T$49="Y",Jul!J64,0)</f>
        <v>0</v>
      </c>
      <c r="K54" s="92">
        <f>IF(T$49="Y",Jul!K64,I54*J54)</f>
        <v>0</v>
      </c>
      <c r="L54" s="111">
        <f>IF(T$49="Y",Jul!L64,0)</f>
        <v>0</v>
      </c>
      <c r="M54" s="100" t="str">
        <f>IF(E54=" "," ",IF(T$49="Y",Jul!M64,IF((H54+K54+L54)&gt;0,H54+K54+L54,"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IF(Employee!H$113=E$49,Employee!D$112+SUM(M54)+Jul!V64,SUM(M54)+Jul!V64)</f>
        <v>0</v>
      </c>
      <c r="W54" s="49">
        <f>IF(Employee!H$113=E$49,Employee!D$113+SUM(N54)+Jul!W64,SUM(N54)+Jul!W64)</f>
        <v>0</v>
      </c>
      <c r="X54" s="49">
        <f>IF(O54=" ",Jul!X64,O54+Jul!X64)</f>
        <v>0</v>
      </c>
      <c r="Y54" s="49">
        <f>IF(P54=" ",Jul!Y64,P54+Jul!Y64)</f>
        <v>0</v>
      </c>
      <c r="Z54" s="49">
        <f>IF(Q54=" ",Jul!Z64,Q54+Jul!Z64)</f>
        <v>0</v>
      </c>
      <c r="AA54" s="49">
        <f>IF(R54=" ",Jul!AA64,R54+Jul!AA64)</f>
        <v>0</v>
      </c>
      <c r="AC54" s="49">
        <f>IF(T54=" ",Jul!AC64,T54+Jul!AC64)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IF(T$49="Y",Jul!H65,0)</f>
        <v>0</v>
      </c>
      <c r="I55" s="245">
        <f>IF(T$49="Y",Jul!I65,0)</f>
        <v>0</v>
      </c>
      <c r="J55" s="245">
        <f>IF(T$49="Y",Jul!J65,0)</f>
        <v>0</v>
      </c>
      <c r="K55" s="245">
        <f>IF(T$49="Y",Jul!K65,I55*J55)</f>
        <v>0</v>
      </c>
      <c r="L55" s="246">
        <f>IF(T$49="Y",Jul!L65,0)</f>
        <v>0</v>
      </c>
      <c r="M55" s="100" t="str">
        <f>IF(E55=" "," ",IF(T$49="Y",Jul!M65,IF((H55+K55+L55)&gt;0,H55+K55+L55,"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IF(Employee!H$139=E$49,Employee!D$138+SUM(M55)+Jul!V65,SUM(M55)+Jul!V65)</f>
        <v>0</v>
      </c>
      <c r="W55" s="49">
        <f>IF(Employee!H$139=E$49,Employee!D$139+SUM(N55)+Jul!W65,SUM(N55)+Jul!W65)</f>
        <v>0</v>
      </c>
      <c r="X55" s="49">
        <f>IF(O55=" ",Jul!X65,O55+Jul!X65)</f>
        <v>0</v>
      </c>
      <c r="Y55" s="49">
        <f>IF(P55=" ",Jul!Y65,P55+Jul!Y65)</f>
        <v>0</v>
      </c>
      <c r="Z55" s="49">
        <f>IF(Q55=" ",Jul!Z65,Q55+Jul!Z65)</f>
        <v>0</v>
      </c>
      <c r="AA55" s="49">
        <f>IF(R55=" ",Jul!AA65,R55+Jul!AA65)</f>
        <v>0</v>
      </c>
      <c r="AC55" s="49">
        <f>IF(T55=" ",Jul!AC65,T55+Jul!AC65)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AD60+Jul!AD75</f>
        <v>0</v>
      </c>
      <c r="AE65" s="158">
        <f>AE60+Jul!AE75</f>
        <v>0</v>
      </c>
      <c r="AF65" s="158">
        <f>AF60+Jul!AF75</f>
        <v>0</v>
      </c>
      <c r="AG65" s="158">
        <f>AG60+Jul!AG75</f>
        <v>0</v>
      </c>
    </row>
    <row r="66" spans="6:33" ht="14" thickTop="1" x14ac:dyDescent="0.15"/>
    <row r="67" spans="6:33" x14ac:dyDescent="0.15">
      <c r="AD67" s="162"/>
      <c r="AE67" s="158">
        <f>AE62+Jul!AE77</f>
        <v>0</v>
      </c>
      <c r="AF67" s="158">
        <f>AF62+Jul!AF77</f>
        <v>0</v>
      </c>
      <c r="AG67" s="158">
        <f>AG62+Jul!AG77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45596</v>
      </c>
      <c r="L9" s="203" t="s">
        <v>76</v>
      </c>
      <c r="M9" s="205">
        <f>K9+6</f>
        <v>45602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99" t="str">
        <f>IF(E11=" "," ",IF(T$9="Y",Aug!M41,IF((H11+K11+L11)&gt;0,H11+K11+L11,"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00" t="str">
        <f>IF(E12=" "," ",IF(T$9="Y",Aug!M42,IF((H12+K12+L12)&gt;0,H12+K12+L12,"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00" t="str">
        <f>IF(E13=" "," ",IF(T$9="Y",Aug!M43,IF((H13+K13+L13)&gt;0,H13+K13+L13,"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00" t="str">
        <f>IF(E14=" "," ",IF(T$9="Y",Aug!M44,IF((H14+K14+L14)&gt;0,H14+K14+L14,"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247" t="str">
        <f>IF(E15=" "," ",IF(T$9="Y",Aug!M45,IF((H15+K15+L15)&gt;0,H15+K15+L15,"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45603</v>
      </c>
      <c r="L19" s="203" t="s">
        <v>76</v>
      </c>
      <c r="M19" s="205">
        <f>K19+6</f>
        <v>45609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45610</v>
      </c>
      <c r="L29" s="203" t="s">
        <v>76</v>
      </c>
      <c r="M29" s="205">
        <f>K29+6</f>
        <v>45616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45617</v>
      </c>
      <c r="L39" s="203" t="s">
        <v>76</v>
      </c>
      <c r="M39" s="205">
        <f>K39+6</f>
        <v>45623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DATE(2024,9,1)</f>
        <v>45536</v>
      </c>
      <c r="L49" s="203" t="s">
        <v>76</v>
      </c>
      <c r="M49" s="205">
        <f>DATE(2024,9,30)</f>
        <v>45565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IF(T$49="Y",Aug!H51,0)</f>
        <v>0</v>
      </c>
      <c r="I51" s="89">
        <f>IF(T$49="Y",Aug!I51,0)</f>
        <v>0</v>
      </c>
      <c r="J51" s="89">
        <f>IF(T$49="Y",Aug!J51,0)</f>
        <v>0</v>
      </c>
      <c r="K51" s="89">
        <f>IF(T$49="Y",Aug!K51,I51*J51)</f>
        <v>0</v>
      </c>
      <c r="L51" s="110">
        <f>IF(T$49="Y",Aug!L51,0)</f>
        <v>0</v>
      </c>
      <c r="M51" s="99" t="str">
        <f>IF(E51=" "," ",IF(T$49="Y",Aug!M51,IF((H51+K51+L51)&gt;0,H51+K51+L51,"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IF(Employee!H$35=E$49,Employee!D$34+SUM(M51)+Aug!V51,SUM(M51)+Aug!V51)</f>
        <v>0</v>
      </c>
      <c r="W51" s="49">
        <f>IF(Employee!H$35=E$49,Employee!D$35+SUM(N51)+Aug!W51,SUM(N51)+Aug!W51)</f>
        <v>0</v>
      </c>
      <c r="X51" s="49">
        <f>IF(O51=" ",Aug!X51,O51+Aug!X51)</f>
        <v>0</v>
      </c>
      <c r="Y51" s="49">
        <f>IF(P51=" ",Aug!Y51,P51+Aug!Y51)</f>
        <v>0</v>
      </c>
      <c r="Z51" s="49">
        <f>IF(Q51=" ",Aug!Z51,Q51+Aug!Z51)</f>
        <v>0</v>
      </c>
      <c r="AA51" s="49">
        <f>IF(R51=" ",Aug!AA51,R51+Aug!AA51)</f>
        <v>0</v>
      </c>
      <c r="AC51" s="49">
        <f>IF(T51=" ",Aug!AC51,T51+Aug!AC51)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IF(T$49="Y",Aug!H52,0)</f>
        <v>0</v>
      </c>
      <c r="I52" s="92">
        <f>IF(T$49="Y",Aug!I52,0)</f>
        <v>0</v>
      </c>
      <c r="J52" s="92">
        <f>IF(T$49="Y",Aug!J52,0)</f>
        <v>0</v>
      </c>
      <c r="K52" s="92">
        <f>IF(T$49="Y",Aug!K52,I52*J52)</f>
        <v>0</v>
      </c>
      <c r="L52" s="111">
        <f>IF(T$49="Y",Aug!L52,0)</f>
        <v>0</v>
      </c>
      <c r="M52" s="100" t="str">
        <f>IF(E52=" "," ",IF(T$49="Y",Aug!M52,IF((H52+K52+L52)&gt;0,H52+K52+L52,"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IF(Employee!H$61=E$49,Employee!D$60+SUM(M52)+Aug!V52,SUM(M52)+Aug!V52)</f>
        <v>0</v>
      </c>
      <c r="W52" s="49">
        <f>IF(Employee!H$61=E$49,Employee!D$61+SUM(N52)+Aug!W52,SUM(N52)+Aug!W52)</f>
        <v>0</v>
      </c>
      <c r="X52" s="49">
        <f>IF(O52=" ",Aug!X52,O52+Aug!X52)</f>
        <v>0</v>
      </c>
      <c r="Y52" s="49">
        <f>IF(P52=" ",Aug!Y52,P52+Aug!Y52)</f>
        <v>0</v>
      </c>
      <c r="Z52" s="49">
        <f>IF(Q52=" ",Aug!Z52,Q52+Aug!Z52)</f>
        <v>0</v>
      </c>
      <c r="AA52" s="49">
        <f>IF(R52=" ",Aug!AA52,R52+Aug!AA52)</f>
        <v>0</v>
      </c>
      <c r="AC52" s="49">
        <f>IF(T52=" ",Aug!AC52,T52+Aug!AC52)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IF(T$49="Y",Aug!H53,0)</f>
        <v>0</v>
      </c>
      <c r="I53" s="92">
        <f>IF(T$49="Y",Aug!I53,0)</f>
        <v>0</v>
      </c>
      <c r="J53" s="92">
        <f>IF(T$49="Y",Aug!J53,0)</f>
        <v>0</v>
      </c>
      <c r="K53" s="92">
        <f>IF(T$49="Y",Aug!K53,I53*J53)</f>
        <v>0</v>
      </c>
      <c r="L53" s="111">
        <f>IF(T$49="Y",Aug!L53,0)</f>
        <v>0</v>
      </c>
      <c r="M53" s="100" t="str">
        <f>IF(E53=" "," ",IF(T$49="Y",Aug!M53,IF((H53+K53+L53)&gt;0,H53+K53+L53,"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IF(Employee!H$87=E$49,Employee!D$86+SUM(M53)+Aug!V53,SUM(M53)+Aug!V53)</f>
        <v>0</v>
      </c>
      <c r="W53" s="49">
        <f>IF(Employee!H$87=E$49,Employee!D$87+SUM(N53)+Aug!W53,SUM(N53)+Aug!W53)</f>
        <v>0</v>
      </c>
      <c r="X53" s="49">
        <f>IF(O53=" ",Aug!X53,O53+Aug!X53)</f>
        <v>0</v>
      </c>
      <c r="Y53" s="49">
        <f>IF(P53=" ",Aug!Y53,P53+Aug!Y53)</f>
        <v>0</v>
      </c>
      <c r="Z53" s="49">
        <f>IF(Q53=" ",Aug!Z53,Q53+Aug!Z53)</f>
        <v>0</v>
      </c>
      <c r="AA53" s="49">
        <f>IF(R53=" ",Aug!AA53,R53+Aug!AA53)</f>
        <v>0</v>
      </c>
      <c r="AC53" s="49">
        <f>IF(T53=" ",Aug!AC53,T53+Aug!AC53)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IF(T$49="Y",Aug!H54,0)</f>
        <v>0</v>
      </c>
      <c r="I54" s="92">
        <f>IF(T$49="Y",Aug!I54,0)</f>
        <v>0</v>
      </c>
      <c r="J54" s="92">
        <f>IF(T$49="Y",Aug!J54,0)</f>
        <v>0</v>
      </c>
      <c r="K54" s="92">
        <f>IF(T$49="Y",Aug!K54,I54*J54)</f>
        <v>0</v>
      </c>
      <c r="L54" s="111">
        <f>IF(T$49="Y",Aug!L54,0)</f>
        <v>0</v>
      </c>
      <c r="M54" s="100" t="str">
        <f>IF(E54=" "," ",IF(T$49="Y",Aug!M54,IF((H54+K54+L54)&gt;0,H54+K54+L54,"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IF(Employee!H$113=E$49,Employee!D$112+SUM(M54)+Aug!V54,SUM(M54)+Aug!V54)</f>
        <v>0</v>
      </c>
      <c r="W54" s="49">
        <f>IF(Employee!H$113=E$49,Employee!D$113+SUM(N54)+Aug!W54,SUM(N54)+Aug!W54)</f>
        <v>0</v>
      </c>
      <c r="X54" s="49">
        <f>IF(O54=" ",Aug!X54,O54+Aug!X54)</f>
        <v>0</v>
      </c>
      <c r="Y54" s="49">
        <f>IF(P54=" ",Aug!Y54,P54+Aug!Y54)</f>
        <v>0</v>
      </c>
      <c r="Z54" s="49">
        <f>IF(Q54=" ",Aug!Z54,Q54+Aug!Z54)</f>
        <v>0</v>
      </c>
      <c r="AA54" s="49">
        <f>IF(R54=" ",Aug!AA54,R54+Aug!AA54)</f>
        <v>0</v>
      </c>
      <c r="AC54" s="49">
        <f>IF(T54=" ",Aug!AC54,T54+Aug!AC54)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IF(T$49="Y",Aug!H55,0)</f>
        <v>0</v>
      </c>
      <c r="I55" s="245">
        <f>IF(T$49="Y",Aug!I55,0)</f>
        <v>0</v>
      </c>
      <c r="J55" s="245">
        <f>IF(T$49="Y",Aug!J55,0)</f>
        <v>0</v>
      </c>
      <c r="K55" s="245">
        <f>IF(T$49="Y",Aug!K55,I55*J55)</f>
        <v>0</v>
      </c>
      <c r="L55" s="246">
        <f>IF(T$49="Y",Aug!L55,0)</f>
        <v>0</v>
      </c>
      <c r="M55" s="100" t="str">
        <f>IF(E55=" "," ",IF(T$49="Y",Aug!M55,IF((H55+K55+L55)&gt;0,H55+K55+L55,"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IF(Employee!H$139=E$49,Employee!D$138+SUM(M55)+Aug!V55,SUM(M55)+Aug!V55)</f>
        <v>0</v>
      </c>
      <c r="W55" s="49">
        <f>IF(Employee!H$139=E$49,Employee!D$139+SUM(N55)+Aug!W55,SUM(N55)+Aug!W55)</f>
        <v>0</v>
      </c>
      <c r="X55" s="49">
        <f>IF(O55=" ",Aug!X55,O55+Aug!X55)</f>
        <v>0</v>
      </c>
      <c r="Y55" s="49">
        <f>IF(P55=" ",Aug!Y55,P55+Aug!Y55)</f>
        <v>0</v>
      </c>
      <c r="Z55" s="49">
        <f>IF(Q55=" ",Aug!Z55,Q55+Aug!Z55)</f>
        <v>0</v>
      </c>
      <c r="AA55" s="49">
        <f>IF(R55=" ",Aug!AA55,R55+Aug!AA55)</f>
        <v>0</v>
      </c>
      <c r="AC55" s="49">
        <f>IF(T55=" ",Aug!AC55,T55+Aug!AC55)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AD60+Aug!AD65</f>
        <v>0</v>
      </c>
      <c r="AE65" s="158">
        <f>AE60+Aug!AE65</f>
        <v>0</v>
      </c>
      <c r="AF65" s="158">
        <f>AF60+Aug!AF65</f>
        <v>0</v>
      </c>
      <c r="AG65" s="158">
        <f>AG60+Aug!AG65</f>
        <v>0</v>
      </c>
    </row>
    <row r="66" spans="6:33" ht="14" thickTop="1" x14ac:dyDescent="0.15"/>
    <row r="67" spans="6:33" x14ac:dyDescent="0.15">
      <c r="AD67" s="162"/>
      <c r="AE67" s="158">
        <f>AE62+Aug!AE67</f>
        <v>0</v>
      </c>
      <c r="AF67" s="158">
        <f>AF62+Aug!AF67</f>
        <v>0</v>
      </c>
      <c r="AG67" s="158">
        <f>AG62+Aug!AG67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Sep!M39+1</f>
        <v>45624</v>
      </c>
      <c r="L9" s="203" t="s">
        <v>76</v>
      </c>
      <c r="M9" s="205">
        <f>K9+6</f>
        <v>45630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11" t="str">
        <f>IF(E12=" "," ",IF(T$9="Y",Sep!M42,IF((H12+K12+L12)&gt;0,H12+K12+L12,"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11" t="str">
        <f>IF(E13=" "," ",IF(T$9="Y",Sep!M43,IF((H13+K13+L13)&gt;0,H13+K13+L13,"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11" t="str">
        <f>IF(E14=" "," ",IF(T$9="Y",Sep!M44,IF((H14+K14+L14)&gt;0,H14+K14+L14,"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IF(T$9="Y",Sep!L45,0)</f>
        <v>0</v>
      </c>
      <c r="M15" s="111" t="str">
        <f>IF(E15=" "," ",IF(T$9="Y",Sep!M45,IF((H15+K15+L15)&gt;0,H15+K15+L15,"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45631</v>
      </c>
      <c r="L19" s="203" t="s">
        <v>76</v>
      </c>
      <c r="M19" s="205">
        <f>K19+6</f>
        <v>45637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45638</v>
      </c>
      <c r="L29" s="203" t="s">
        <v>76</v>
      </c>
      <c r="M29" s="205">
        <f>K29+6</f>
        <v>45644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45645</v>
      </c>
      <c r="L39" s="203" t="s">
        <v>76</v>
      </c>
      <c r="M39" s="205">
        <f>K39+6</f>
        <v>45651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45652</v>
      </c>
      <c r="L49" s="203" t="s">
        <v>76</v>
      </c>
      <c r="M49" s="205">
        <f>K49+6</f>
        <v>45658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DATE(2024,10,1)</f>
        <v>45566</v>
      </c>
      <c r="L59" s="203" t="s">
        <v>76</v>
      </c>
      <c r="M59" s="205">
        <f>DATE(2024,10,31)</f>
        <v>45596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IF(T$59="Y",Sep!H51,0)</f>
        <v>0</v>
      </c>
      <c r="I61" s="89">
        <f>IF(T$59="Y",Sep!I51,0)</f>
        <v>0</v>
      </c>
      <c r="J61" s="89">
        <f>IF(T$59="Y",Sep!J51,0)</f>
        <v>0</v>
      </c>
      <c r="K61" s="89">
        <f>IF(T$59="Y",Sep!K51,I61*J61)</f>
        <v>0</v>
      </c>
      <c r="L61" s="110">
        <f>IF(T$59="Y",Sep!L51,0)</f>
        <v>0</v>
      </c>
      <c r="M61" s="99" t="str">
        <f>IF(E61=" "," ",IF(T$59="Y",Sep!M51,IF((H61+K61+L61)&gt;0,H61+K61+L61,"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IF(Employee!H$35=E$59,Employee!D$34+SUM(M61)+Sep!V51,SUM(M61)+Sep!V51)</f>
        <v>0</v>
      </c>
      <c r="W61" s="49">
        <f>IF(Employee!H$35=E$59,Employee!D$35+SUM(N61)+Sep!W51,SUM(N61)+Sep!W51)</f>
        <v>0</v>
      </c>
      <c r="X61" s="49">
        <f>IF(O61=" ",Sep!X51,O61+Sep!X51)</f>
        <v>0</v>
      </c>
      <c r="Y61" s="49">
        <f>IF(P61=" ",Sep!Y51,P61+Sep!Y51)</f>
        <v>0</v>
      </c>
      <c r="Z61" s="49">
        <f>IF(Q61=" ",Sep!Z51,Q61+Sep!Z51)</f>
        <v>0</v>
      </c>
      <c r="AA61" s="49">
        <f>IF(R61=" ",Sep!AA51,R61+Sep!AA51)</f>
        <v>0</v>
      </c>
      <c r="AC61" s="49">
        <f>IF(T61=" ",Sep!AC51,T61+Sep!AC51)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IF(T$59="Y",Sep!H52,0)</f>
        <v>0</v>
      </c>
      <c r="I62" s="92">
        <f>IF(T$59="Y",Sep!I52,0)</f>
        <v>0</v>
      </c>
      <c r="J62" s="92">
        <f>IF(T$59="Y",Sep!J52,0)</f>
        <v>0</v>
      </c>
      <c r="K62" s="92">
        <f>IF(T$59="Y",Sep!K52,I62*J62)</f>
        <v>0</v>
      </c>
      <c r="L62" s="111">
        <f>IF(T$59="Y",Sep!L52,0)</f>
        <v>0</v>
      </c>
      <c r="M62" s="100" t="str">
        <f>IF(E62=" "," ",IF(T$59="Y",Sep!M52,IF((H62+K62+L62)&gt;0,H62+K62+L62,"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IF(Employee!H$61=E$59,Employee!D$60+SUM(M62)+Sep!V52,SUM(M62)+Sep!V52)</f>
        <v>0</v>
      </c>
      <c r="W62" s="49">
        <f>IF(Employee!H$61=E$59,Employee!D$61+SUM(N62)+Sep!W52,SUM(N62)+Sep!W52)</f>
        <v>0</v>
      </c>
      <c r="X62" s="49">
        <f>IF(O62=" ",Sep!X52,O62+Sep!X52)</f>
        <v>0</v>
      </c>
      <c r="Y62" s="49">
        <f>IF(P62=" ",Sep!Y52,P62+Sep!Y52)</f>
        <v>0</v>
      </c>
      <c r="Z62" s="49">
        <f>IF(Q62=" ",Sep!Z52,Q62+Sep!Z52)</f>
        <v>0</v>
      </c>
      <c r="AA62" s="49">
        <f>IF(R62=" ",Sep!AA52,R62+Sep!AA52)</f>
        <v>0</v>
      </c>
      <c r="AC62" s="49">
        <f>IF(T62=" ",Sep!AC52,T62+Sep!AC52)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IF(T$59="Y",Sep!H53,0)</f>
        <v>0</v>
      </c>
      <c r="I63" s="92">
        <f>IF(T$59="Y",Sep!I53,0)</f>
        <v>0</v>
      </c>
      <c r="J63" s="92">
        <f>IF(T$59="Y",Sep!J53,0)</f>
        <v>0</v>
      </c>
      <c r="K63" s="92">
        <f>IF(T$59="Y",Sep!K53,I63*J63)</f>
        <v>0</v>
      </c>
      <c r="L63" s="111">
        <f>IF(T$59="Y",Sep!L53,0)</f>
        <v>0</v>
      </c>
      <c r="M63" s="100" t="str">
        <f>IF(E63=" "," ",IF(T$59="Y",Sep!M53,IF((H63+K63+L63)&gt;0,H63+K63+L63,"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IF(Employee!H$87=E$59,Employee!D$86+SUM(M63)+Sep!V53,SUM(M63)+Sep!V53)</f>
        <v>0</v>
      </c>
      <c r="W63" s="49">
        <f>IF(Employee!H$87=E$59,Employee!D$87+SUM(N63)+Sep!W53,SUM(N63)+Sep!W53)</f>
        <v>0</v>
      </c>
      <c r="X63" s="49">
        <f>IF(O63=" ",Sep!X53,O63+Sep!X53)</f>
        <v>0</v>
      </c>
      <c r="Y63" s="49">
        <f>IF(P63=" ",Sep!Y53,P63+Sep!Y53)</f>
        <v>0</v>
      </c>
      <c r="Z63" s="49">
        <f>IF(Q63=" ",Sep!Z53,Q63+Sep!Z53)</f>
        <v>0</v>
      </c>
      <c r="AA63" s="49">
        <f>IF(R63=" ",Sep!AA53,R63+Sep!AA53)</f>
        <v>0</v>
      </c>
      <c r="AC63" s="49">
        <f>IF(T63=" ",Sep!AC53,T63+Sep!AC53)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IF(T$59="Y",Sep!H54,0)</f>
        <v>0</v>
      </c>
      <c r="I64" s="92">
        <f>IF(T$59="Y",Sep!I54,0)</f>
        <v>0</v>
      </c>
      <c r="J64" s="92">
        <f>IF(T$59="Y",Sep!J54,0)</f>
        <v>0</v>
      </c>
      <c r="K64" s="92">
        <f>IF(T$59="Y",Sep!K54,I64*J64)</f>
        <v>0</v>
      </c>
      <c r="L64" s="111">
        <f>IF(T$59="Y",Sep!L54,0)</f>
        <v>0</v>
      </c>
      <c r="M64" s="100" t="str">
        <f>IF(E64=" "," ",IF(T$59="Y",Sep!M54,IF((H64+K64+L64)&gt;0,H64+K64+L64,"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IF(Employee!H$113=E$59,Employee!D$112+SUM(M64)+Sep!V54,SUM(M64)+Sep!V54)</f>
        <v>0</v>
      </c>
      <c r="W64" s="49">
        <f>IF(Employee!H$113=E$59,Employee!D$113+SUM(N64)+Sep!W54,SUM(N64)+Sep!W54)</f>
        <v>0</v>
      </c>
      <c r="X64" s="49">
        <f>IF(O64=" ",Sep!X54,O64+Sep!X54)</f>
        <v>0</v>
      </c>
      <c r="Y64" s="49">
        <f>IF(P64=" ",Sep!Y54,P64+Sep!Y54)</f>
        <v>0</v>
      </c>
      <c r="Z64" s="49">
        <f>IF(Q64=" ",Sep!Z54,Q64+Sep!Z54)</f>
        <v>0</v>
      </c>
      <c r="AA64" s="49">
        <f>IF(R64=" ",Sep!AA54,R64+Sep!AA54)</f>
        <v>0</v>
      </c>
      <c r="AC64" s="49">
        <f>IF(T64=" ",Sep!AC54,T64+Sep!AC54)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IF(T$59="Y",Sep!H55,0)</f>
        <v>0</v>
      </c>
      <c r="I65" s="245">
        <f>IF(T$59="Y",Sep!I55,0)</f>
        <v>0</v>
      </c>
      <c r="J65" s="245">
        <f>IF(T$59="Y",Sep!J55,0)</f>
        <v>0</v>
      </c>
      <c r="K65" s="245">
        <f>IF(T$59="Y",Sep!K55,I65*J65)</f>
        <v>0</v>
      </c>
      <c r="L65" s="246">
        <f>IF(T$59="Y",Sep!L55,0)</f>
        <v>0</v>
      </c>
      <c r="M65" s="100" t="str">
        <f>IF(E65=" "," ",IF(T$59="Y",Sep!M55,IF((H65+K65+L65)&gt;0,H65+K65+L65,"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IF(Employee!H$139=E$59,Employee!D$138+SUM(M65)+Sep!V55,SUM(M65)+Sep!V55)</f>
        <v>0</v>
      </c>
      <c r="W65" s="49">
        <f>IF(Employee!H$139=E$59,Employee!D$139+SUM(N65)+Sep!W55,SUM(N65)+Sep!W55)</f>
        <v>0</v>
      </c>
      <c r="X65" s="49">
        <f>IF(O65=" ",Sep!X55,O65+Sep!X55)</f>
        <v>0</v>
      </c>
      <c r="Y65" s="49">
        <f>IF(P65=" ",Sep!Y55,P65+Sep!Y55)</f>
        <v>0</v>
      </c>
      <c r="Z65" s="49">
        <f>IF(Q65=" ",Sep!Z55,Q65+Sep!Z55)</f>
        <v>0</v>
      </c>
      <c r="AA65" s="49">
        <f>IF(R65=" ",Sep!AA55,R65+Sep!AA55)</f>
        <v>0</v>
      </c>
      <c r="AC65" s="49">
        <f>IF(T65=" ",Sep!AC55,T65+Sep!AC55)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AD70+Sep!AD65</f>
        <v>0</v>
      </c>
      <c r="AE75" s="158">
        <f>AE70+Sep!AE65</f>
        <v>0</v>
      </c>
      <c r="AF75" s="158">
        <f>AF70+Sep!AF65</f>
        <v>0</v>
      </c>
      <c r="AG75" s="158">
        <f>AG70+Sep!AG65</f>
        <v>0</v>
      </c>
    </row>
    <row r="76" spans="1:34" ht="14" thickTop="1" x14ac:dyDescent="0.15"/>
    <row r="77" spans="1:34" x14ac:dyDescent="0.15">
      <c r="AD77" s="162"/>
      <c r="AE77" s="158">
        <f>AE72+Sep!AE67</f>
        <v>0</v>
      </c>
      <c r="AF77" s="158">
        <f>AF72+Sep!AF67</f>
        <v>0</v>
      </c>
      <c r="AG77" s="158">
        <f>AG72+Sep!AG67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Oct!M49+1</f>
        <v>45659</v>
      </c>
      <c r="L9" s="203" t="s">
        <v>76</v>
      </c>
      <c r="M9" s="205">
        <f>K9+6</f>
        <v>45665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IF(T$9="Y",Oct!H51,0)</f>
        <v>0</v>
      </c>
      <c r="I11" s="89">
        <f>IF(T$9="Y",Oct!I51,0)</f>
        <v>0</v>
      </c>
      <c r="J11" s="89">
        <f>IF(T$9="Y",Oct!J51,0)</f>
        <v>0</v>
      </c>
      <c r="K11" s="89">
        <f>IF(T$9="Y",Oct!K51,I11*J11)</f>
        <v>0</v>
      </c>
      <c r="L11" s="110">
        <f>IF(T$9="Y",Oct!L51,0)</f>
        <v>0</v>
      </c>
      <c r="M11" s="110" t="str">
        <f>IF(E11=" "," ",IF(T$9="Y",Oct!M51,IF((H11+K11+L11)&gt;0,H11+K11+L11,"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IF(Employee!H$34=E$9,Employee!D$34+SUM(M11)+Oct!V51,SUM(M11)+Oct!V51)</f>
        <v>0</v>
      </c>
      <c r="W11" s="49">
        <f>IF(Employee!H$34=E$9,Employee!D$35+SUM(N11)+Oct!W51,SUM(N11)+Oct!W51)</f>
        <v>0</v>
      </c>
      <c r="X11" s="49">
        <f>IF(O11=" ",Oct!X51,O11+Oct!X51)</f>
        <v>0</v>
      </c>
      <c r="Y11" s="49">
        <f>IF(P11=" ",Oct!Y51,P11+Oct!Y51)</f>
        <v>0</v>
      </c>
      <c r="Z11" s="49">
        <f>IF(Q11=" ",Oct!Z51,Q11+Oct!Z51)</f>
        <v>0</v>
      </c>
      <c r="AA11" s="49">
        <f>IF(R11=" ",Oct!AA51,R11+Oct!AA51)</f>
        <v>0</v>
      </c>
      <c r="AC11" s="49">
        <f>IF(T11=" ",Oct!AC51,T11+Oct!AC51)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IF(T$9="Y",Oct!H52,0)</f>
        <v>0</v>
      </c>
      <c r="I12" s="92">
        <f>IF(T$9="Y",Oct!I52,0)</f>
        <v>0</v>
      </c>
      <c r="J12" s="92">
        <f>IF(T$9="Y",Oct!J52,0)</f>
        <v>0</v>
      </c>
      <c r="K12" s="92">
        <f>IF(T$9="Y",Oct!K52,I12*J12)</f>
        <v>0</v>
      </c>
      <c r="L12" s="111">
        <f>IF(T$9="Y",Oct!L52,0)</f>
        <v>0</v>
      </c>
      <c r="M12" s="111" t="str">
        <f>IF(E12=" "," ",IF(T$9="Y",Oct!M52,IF((H12+K12+L12)&gt;0,H12+K12+L12,"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IF(Employee!H$60=E$9,Employee!D$60+SUM(M12)+Oct!V52,SUM(M12)+Oct!V52)</f>
        <v>0</v>
      </c>
      <c r="W12" s="49">
        <f>IF(Employee!H$60=E$9,Employee!D$61+SUM(N12)+Oct!W52,SUM(N12)+Oct!W52)</f>
        <v>0</v>
      </c>
      <c r="X12" s="49">
        <f>IF(O12=" ",Oct!X52,O12+Oct!X52)</f>
        <v>0</v>
      </c>
      <c r="Y12" s="49">
        <f>IF(P12=" ",Oct!Y52,P12+Oct!Y52)</f>
        <v>0</v>
      </c>
      <c r="Z12" s="49">
        <f>IF(Q12=" ",Oct!Z52,Q12+Oct!Z52)</f>
        <v>0</v>
      </c>
      <c r="AA12" s="49">
        <f>IF(R12=" ",Oct!AA52,R12+Oct!AA52)</f>
        <v>0</v>
      </c>
      <c r="AC12" s="49">
        <f>IF(T12=" ",Oct!AC52,T12+Oct!AC52)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IF(T$9="Y",Oct!H53,0)</f>
        <v>0</v>
      </c>
      <c r="I13" s="92">
        <f>IF(T$9="Y",Oct!I53,0)</f>
        <v>0</v>
      </c>
      <c r="J13" s="92">
        <f>IF(T$9="Y",Oct!J53,0)</f>
        <v>0</v>
      </c>
      <c r="K13" s="92">
        <f>IF(T$9="Y",Oct!K53,I13*J13)</f>
        <v>0</v>
      </c>
      <c r="L13" s="111">
        <f>IF(T$9="Y",Oct!L53,0)</f>
        <v>0</v>
      </c>
      <c r="M13" s="111" t="str">
        <f>IF(E13=" "," ",IF(T$9="Y",Oct!M53,IF((H13+K13+L13)&gt;0,H13+K13+L13,"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IF(Employee!H$86=E$9,Employee!D$86+SUM(M13)+Oct!V53,SUM(M13)+Oct!V53)</f>
        <v>0</v>
      </c>
      <c r="W13" s="49">
        <f>IF(Employee!H$86=E$9,Employee!D$87+SUM(N13)+Oct!W53,SUM(N13)+Oct!W53)</f>
        <v>0</v>
      </c>
      <c r="X13" s="49">
        <f>IF(O13=" ",Oct!X53,O13+Oct!X53)</f>
        <v>0</v>
      </c>
      <c r="Y13" s="49">
        <f>IF(P13=" ",Oct!Y53,P13+Oct!Y53)</f>
        <v>0</v>
      </c>
      <c r="Z13" s="49">
        <f>IF(Q13=" ",Oct!Z53,Q13+Oct!Z53)</f>
        <v>0</v>
      </c>
      <c r="AA13" s="49">
        <f>IF(R13=" ",Oct!AA53,R13+Oct!AA53)</f>
        <v>0</v>
      </c>
      <c r="AC13" s="49">
        <f>IF(T13=" ",Oct!AC53,T13+Oct!AC53)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IF(T$9="Y",Oct!H54,0)</f>
        <v>0</v>
      </c>
      <c r="I14" s="92">
        <f>IF(T$9="Y",Oct!I54,0)</f>
        <v>0</v>
      </c>
      <c r="J14" s="92">
        <f>IF(T$9="Y",Oct!J54,0)</f>
        <v>0</v>
      </c>
      <c r="K14" s="92">
        <f>IF(T$9="Y",Oct!K54,I14*J14)</f>
        <v>0</v>
      </c>
      <c r="L14" s="111">
        <f>IF(T$9="Y",Oct!L54,0)</f>
        <v>0</v>
      </c>
      <c r="M14" s="111" t="str">
        <f>IF(E14=" "," ",IF(T$9="Y",Oct!M54,IF((H14+K14+L14)&gt;0,H14+K14+L14,"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IF(Employee!H$112=E$9,Employee!D$112+SUM(M14)+Oct!V54,SUM(M14)+Oct!V54)</f>
        <v>0</v>
      </c>
      <c r="W14" s="49">
        <f>IF(Employee!H$112=E$9,Employee!D$113+SUM(N14)+Oct!W54,SUM(N14)+Oct!W54)</f>
        <v>0</v>
      </c>
      <c r="X14" s="49">
        <f>IF(O14=" ",Oct!X54,O14+Oct!X54)</f>
        <v>0</v>
      </c>
      <c r="Y14" s="49">
        <f>IF(P14=" ",Oct!Y54,P14+Oct!Y54)</f>
        <v>0</v>
      </c>
      <c r="Z14" s="49">
        <f>IF(Q14=" ",Oct!Z54,Q14+Oct!Z54)</f>
        <v>0</v>
      </c>
      <c r="AA14" s="49">
        <f>IF(R14=" ",Oct!AA54,R14+Oct!AA54)</f>
        <v>0</v>
      </c>
      <c r="AC14" s="49">
        <f>IF(T14=" ",Oct!AC54,T14+Oct!AC54)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IF(T$9="Y",Oct!H55,0)</f>
        <v>0</v>
      </c>
      <c r="I15" s="245">
        <f>IF(T$9="Y",Oct!I55,0)</f>
        <v>0</v>
      </c>
      <c r="J15" s="245">
        <f>IF(T$9="Y",Oct!J55,0)</f>
        <v>0</v>
      </c>
      <c r="K15" s="245">
        <f>IF(T$9="Y",Oct!K55,I15*J15)</f>
        <v>0</v>
      </c>
      <c r="L15" s="246">
        <f>IF(T$9="Y",Oct!L55,0)</f>
        <v>0</v>
      </c>
      <c r="M15" s="111" t="str">
        <f>IF(E15=" "," ",IF(T$9="Y",Oct!M55,IF((H15+K15+L15)&gt;0,H15+K15+L15,"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IF(Employee!H$138=E$9,Employee!D$138+SUM(M15)+Oct!V55,SUM(M15)+Oct!V55)</f>
        <v>0</v>
      </c>
      <c r="W15" s="49">
        <f>IF(Employee!H$138=E$9,Employee!D$139+SUM(N15)+Oct!W55,SUM(N15)+Oct!W55)</f>
        <v>0</v>
      </c>
      <c r="X15" s="49">
        <f>IF(O15=" ",Oct!X55,O15+Oct!X55)</f>
        <v>0</v>
      </c>
      <c r="Y15" s="49">
        <f>IF(P15=" ",Oct!Y55,P15+Oct!Y55)</f>
        <v>0</v>
      </c>
      <c r="Z15" s="49">
        <f>IF(Q15=" ",Oct!Z55,Q15+Oct!Z55)</f>
        <v>0</v>
      </c>
      <c r="AA15" s="49">
        <f>IF(R15=" ",Oct!AA55,R15+Oct!AA55)</f>
        <v>0</v>
      </c>
      <c r="AC15" s="49">
        <f>IF(T15=" ",Oct!AC55,T15+Oct!AC55)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45666</v>
      </c>
      <c r="L19" s="203" t="s">
        <v>76</v>
      </c>
      <c r="M19" s="205">
        <f>K19+6</f>
        <v>45672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45673</v>
      </c>
      <c r="L29" s="203" t="s">
        <v>76</v>
      </c>
      <c r="M29" s="205">
        <f>K29+6</f>
        <v>45679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45680</v>
      </c>
      <c r="L39" s="203" t="s">
        <v>76</v>
      </c>
      <c r="M39" s="205">
        <f>K39+6</f>
        <v>45686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DATE(2024,11,1)</f>
        <v>45597</v>
      </c>
      <c r="L49" s="203" t="s">
        <v>76</v>
      </c>
      <c r="M49" s="205">
        <f>DATE(2024,11,30)</f>
        <v>45626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IF(T$49="Y",Oct!H61,0)</f>
        <v>0</v>
      </c>
      <c r="I51" s="89">
        <f>IF(T$49="Y",Oct!I61,0)</f>
        <v>0</v>
      </c>
      <c r="J51" s="89">
        <f>IF(T$49="Y",Oct!J61,0)</f>
        <v>0</v>
      </c>
      <c r="K51" s="89">
        <f>IF(T$49="Y",Oct!K61,I51*J51)</f>
        <v>0</v>
      </c>
      <c r="L51" s="110">
        <f>IF(T$49="Y",Oct!L61,0)</f>
        <v>0</v>
      </c>
      <c r="M51" s="99" t="str">
        <f>IF(E51=" "," ",IF(T$49="Y",Oct!M61,IF((H51+K51+L51)&gt;0,H51+K51+L51,"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IF(Employee!H$35=E$49,Employee!D$34+SUM(M51)+Oct!V61,SUM(M51)+Oct!V61)</f>
        <v>0</v>
      </c>
      <c r="W51" s="49">
        <f>IF(Employee!H$35=E$49,Employee!D$35+SUM(N51)+Oct!W61,SUM(N51)+Oct!W61)</f>
        <v>0</v>
      </c>
      <c r="X51" s="49">
        <f>IF(O51=" ",Oct!X61,O51+Oct!X61)</f>
        <v>0</v>
      </c>
      <c r="Y51" s="49">
        <f>IF(P51=" ",Oct!Y61,P51+Oct!Y61)</f>
        <v>0</v>
      </c>
      <c r="Z51" s="49">
        <f>IF(Q51=" ",Oct!Z61,Q51+Oct!Z61)</f>
        <v>0</v>
      </c>
      <c r="AA51" s="49">
        <f>IF(R51=" ",Oct!AA61,R51+Oct!AA61)</f>
        <v>0</v>
      </c>
      <c r="AC51" s="49">
        <f>IF(T51=" ",Oct!AC61,T51+Oct!AC61)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IF(T$49="Y",Oct!H62,0)</f>
        <v>0</v>
      </c>
      <c r="I52" s="92">
        <f>IF(T$49="Y",Oct!I62,0)</f>
        <v>0</v>
      </c>
      <c r="J52" s="92">
        <f>IF(T$49="Y",Oct!J62,0)</f>
        <v>0</v>
      </c>
      <c r="K52" s="92">
        <f>IF(T$49="Y",Oct!K62,I52*J52)</f>
        <v>0</v>
      </c>
      <c r="L52" s="111">
        <f>IF(T$49="Y",Oct!L62,0)</f>
        <v>0</v>
      </c>
      <c r="M52" s="100" t="str">
        <f>IF(E52=" "," ",IF(T$49="Y",Oct!M62,IF((H52+K52+L52)&gt;0,H52+K52+L52,"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IF(Employee!H$61=E$49,Employee!D$60+SUM(M52)+Oct!V62,SUM(M52)+Oct!V62)</f>
        <v>0</v>
      </c>
      <c r="W52" s="49">
        <f>IF(Employee!H$61=E$49,Employee!D$61+SUM(N52)+Oct!W62,SUM(N52)+Oct!W62)</f>
        <v>0</v>
      </c>
      <c r="X52" s="49">
        <f>IF(O52=" ",Oct!X62,O52+Oct!X62)</f>
        <v>0</v>
      </c>
      <c r="Y52" s="49">
        <f>IF(P52=" ",Oct!Y62,P52+Oct!Y62)</f>
        <v>0</v>
      </c>
      <c r="Z52" s="49">
        <f>IF(Q52=" ",Oct!Z62,Q52+Oct!Z62)</f>
        <v>0</v>
      </c>
      <c r="AA52" s="49">
        <f>IF(R52=" ",Oct!AA62,R52+Oct!AA62)</f>
        <v>0</v>
      </c>
      <c r="AC52" s="49">
        <f>IF(T52=" ",Oct!AC62,T52+Oct!AC62)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IF(T$49="Y",Oct!H63,0)</f>
        <v>0</v>
      </c>
      <c r="I53" s="92">
        <f>IF(T$49="Y",Oct!I63,0)</f>
        <v>0</v>
      </c>
      <c r="J53" s="92">
        <f>IF(T$49="Y",Oct!J63,0)</f>
        <v>0</v>
      </c>
      <c r="K53" s="92">
        <f>IF(T$49="Y",Oct!K63,I53*J53)</f>
        <v>0</v>
      </c>
      <c r="L53" s="111">
        <f>IF(T$49="Y",Oct!L63,0)</f>
        <v>0</v>
      </c>
      <c r="M53" s="100" t="str">
        <f>IF(E53=" "," ",IF(T$49="Y",Oct!M63,IF((H53+K53+L53)&gt;0,H53+K53+L53,"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IF(Employee!H$87=E$49,Employee!D$86+SUM(M53)+Oct!V63,SUM(M53)+Oct!V63)</f>
        <v>0</v>
      </c>
      <c r="W53" s="49">
        <f>IF(Employee!H$87=E$49,Employee!D$87+SUM(N53)+Oct!W63,SUM(N53)+Oct!W63)</f>
        <v>0</v>
      </c>
      <c r="X53" s="49">
        <f>IF(O53=" ",Oct!X63,O53+Oct!X63)</f>
        <v>0</v>
      </c>
      <c r="Y53" s="49">
        <f>IF(P53=" ",Oct!Y63,P53+Oct!Y63)</f>
        <v>0</v>
      </c>
      <c r="Z53" s="49">
        <f>IF(Q53=" ",Oct!Z63,Q53+Oct!Z63)</f>
        <v>0</v>
      </c>
      <c r="AA53" s="49">
        <f>IF(R53=" ",Oct!AA63,R53+Oct!AA63)</f>
        <v>0</v>
      </c>
      <c r="AC53" s="49">
        <f>IF(T53=" ",Oct!AC63,T53+Oct!AC63)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IF(T$49="Y",Oct!H64,0)</f>
        <v>0</v>
      </c>
      <c r="I54" s="92">
        <f>IF(T$49="Y",Oct!I64,0)</f>
        <v>0</v>
      </c>
      <c r="J54" s="92">
        <f>IF(T$49="Y",Oct!J64,0)</f>
        <v>0</v>
      </c>
      <c r="K54" s="92">
        <f>IF(T$49="Y",Oct!K64,I54*J54)</f>
        <v>0</v>
      </c>
      <c r="L54" s="111">
        <f>IF(T$49="Y",Oct!L64,0)</f>
        <v>0</v>
      </c>
      <c r="M54" s="100" t="str">
        <f>IF(E54=" "," ",IF(T$49="Y",Oct!M64,IF((H54+K54+L54)&gt;0,H54+K54+L54,"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IF(Employee!H$113=E$49,Employee!D$112+SUM(M54)+Oct!V64,SUM(M54)+Oct!V64)</f>
        <v>0</v>
      </c>
      <c r="W54" s="49">
        <f>IF(Employee!H$113=E$49,Employee!D$113+SUM(N54)+Oct!W64,SUM(N54)+Oct!W64)</f>
        <v>0</v>
      </c>
      <c r="X54" s="49">
        <f>IF(O54=" ",Oct!X64,O54+Oct!X64)</f>
        <v>0</v>
      </c>
      <c r="Y54" s="49">
        <f>IF(P54=" ",Oct!Y64,P54+Oct!Y64)</f>
        <v>0</v>
      </c>
      <c r="Z54" s="49">
        <f>IF(Q54=" ",Oct!Z64,Q54+Oct!Z64)</f>
        <v>0</v>
      </c>
      <c r="AA54" s="49">
        <f>IF(R54=" ",Oct!AA64,R54+Oct!AA64)</f>
        <v>0</v>
      </c>
      <c r="AC54" s="49">
        <f>IF(T54=" ",Oct!AC64,T54+Oct!AC64)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IF(T$49="Y",Oct!H65,0)</f>
        <v>0</v>
      </c>
      <c r="I55" s="245">
        <f>IF(T$49="Y",Oct!I65,0)</f>
        <v>0</v>
      </c>
      <c r="J55" s="245">
        <f>IF(T$49="Y",Oct!J65,0)</f>
        <v>0</v>
      </c>
      <c r="K55" s="245">
        <f>IF(T$49="Y",Oct!K65,I55*J55)</f>
        <v>0</v>
      </c>
      <c r="L55" s="246">
        <f>IF(T$49="Y",Oct!L65,0)</f>
        <v>0</v>
      </c>
      <c r="M55" s="100" t="str">
        <f>IF(E55=" "," ",IF(T$49="Y",Oct!M65,IF((H55+K55+L55)&gt;0,H55+K55+L55,"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IF(Employee!H$139=E$49,Employee!D$138+SUM(M55)+Oct!V65,SUM(M55)+Oct!V65)</f>
        <v>0</v>
      </c>
      <c r="W55" s="49">
        <f>IF(Employee!H$139=E$49,Employee!D$139+SUM(N55)+Oct!W65,SUM(N55)+Oct!W65)</f>
        <v>0</v>
      </c>
      <c r="X55" s="49">
        <f>IF(O55=" ",Oct!X65,O55+Oct!X65)</f>
        <v>0</v>
      </c>
      <c r="Y55" s="49">
        <f>IF(P55=" ",Oct!Y65,P55+Oct!Y65)</f>
        <v>0</v>
      </c>
      <c r="Z55" s="49">
        <f>IF(Q55=" ",Oct!Z65,Q55+Oct!Z65)</f>
        <v>0</v>
      </c>
      <c r="AA55" s="49">
        <f>IF(R55=" ",Oct!AA65,R55+Oct!AA65)</f>
        <v>0</v>
      </c>
      <c r="AC55" s="49">
        <f>IF(T55=" ",Oct!AC65,T55+Oct!AC65)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AD60+Oct!AD75</f>
        <v>0</v>
      </c>
      <c r="AE65" s="158">
        <f>AE60+Oct!AE75</f>
        <v>0</v>
      </c>
      <c r="AF65" s="158">
        <f>AF60+Oct!AF75</f>
        <v>0</v>
      </c>
      <c r="AG65" s="158">
        <f>AG60+Oct!AG75</f>
        <v>0</v>
      </c>
    </row>
    <row r="66" spans="6:33" ht="14" thickTop="1" x14ac:dyDescent="0.15"/>
    <row r="67" spans="6:33" x14ac:dyDescent="0.15">
      <c r="AD67" s="162"/>
      <c r="AE67" s="158">
        <f>AE62+Oct!AE77</f>
        <v>0</v>
      </c>
      <c r="AF67" s="158">
        <f>AF62+Oct!AF77</f>
        <v>0</v>
      </c>
      <c r="AG67" s="158">
        <f>AG62+Oct!AG77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Nov!M39+1</f>
        <v>45687</v>
      </c>
      <c r="L9" s="203" t="s">
        <v>76</v>
      </c>
      <c r="M9" s="205">
        <f>K9+6</f>
        <v>45693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IF(T$19="Y",Nov!L45,0)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45694</v>
      </c>
      <c r="L19" s="203" t="s">
        <v>76</v>
      </c>
      <c r="M19" s="205">
        <f>K19+6</f>
        <v>45700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45701</v>
      </c>
      <c r="L29" s="203" t="s">
        <v>76</v>
      </c>
      <c r="M29" s="205">
        <f>K29+6</f>
        <v>45707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45708</v>
      </c>
      <c r="L39" s="203" t="s">
        <v>76</v>
      </c>
      <c r="M39" s="205">
        <f>K39+6</f>
        <v>45714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DATE(2024,12,1)</f>
        <v>45627</v>
      </c>
      <c r="L49" s="203" t="s">
        <v>76</v>
      </c>
      <c r="M49" s="205">
        <f>DATE(2024,12,31)</f>
        <v>45657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IF(T$49="Y",Nov!H51,0)</f>
        <v>0</v>
      </c>
      <c r="I51" s="89">
        <f>IF(T$49="Y",Nov!I51,0)</f>
        <v>0</v>
      </c>
      <c r="J51" s="89">
        <f>IF(T$49="Y",Nov!J51,0)</f>
        <v>0</v>
      </c>
      <c r="K51" s="89">
        <f>IF(T$49="Y",Nov!K51,I51*J51)</f>
        <v>0</v>
      </c>
      <c r="L51" s="110">
        <f>IF(T$49="Y",Nov!L51,0)</f>
        <v>0</v>
      </c>
      <c r="M51" s="99" t="str">
        <f>IF(E51=" "," ",IF(T$49="Y",Nov!M51,IF((H51+K51+L51)&gt;0,H51+K51+L51,"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IF(Employee!H$35=E$49,Employee!D$34+SUM(M51)+Nov!V51,SUM(M51)+Nov!V51)</f>
        <v>0</v>
      </c>
      <c r="W51" s="49">
        <f>IF(Employee!H$35=E$49,Employee!D$35+SUM(N51)+Nov!W51,SUM(N51)+Nov!W51)</f>
        <v>0</v>
      </c>
      <c r="X51" s="49">
        <f>IF(O51=" ",Nov!X51,O51+Nov!X51)</f>
        <v>0</v>
      </c>
      <c r="Y51" s="49">
        <f>IF(P51=" ",Nov!Y51,P51+Nov!Y51)</f>
        <v>0</v>
      </c>
      <c r="Z51" s="49">
        <f>IF(Q51=" ",Nov!Z51,Q51+Nov!Z51)</f>
        <v>0</v>
      </c>
      <c r="AA51" s="49">
        <f>IF(R51=" ",Nov!AA51,R51+Nov!AA51)</f>
        <v>0</v>
      </c>
      <c r="AC51" s="49">
        <f>IF(T51=" ",Nov!AC51,T51+Nov!AC51)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IF(T$49="Y",Nov!H52,0)</f>
        <v>0</v>
      </c>
      <c r="I52" s="92">
        <f>IF(T$49="Y",Nov!I52,0)</f>
        <v>0</v>
      </c>
      <c r="J52" s="92">
        <f>IF(T$49="Y",Nov!J52,0)</f>
        <v>0</v>
      </c>
      <c r="K52" s="92">
        <f>IF(T$49="Y",Nov!K52,I52*J52)</f>
        <v>0</v>
      </c>
      <c r="L52" s="111">
        <f>IF(T$49="Y",Nov!L52,0)</f>
        <v>0</v>
      </c>
      <c r="M52" s="100" t="str">
        <f>IF(E52=" "," ",IF(T$49="Y",Nov!M52,IF((H52+K52+L52)&gt;0,H52+K52+L52,"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IF(Employee!H$61=E$49,Employee!D$60+SUM(M52)+Nov!V52,SUM(M52)+Nov!V52)</f>
        <v>0</v>
      </c>
      <c r="W52" s="49">
        <f>IF(Employee!H$61=E$49,Employee!D$61+SUM(N52)+Nov!W52,SUM(N52)+Nov!W52)</f>
        <v>0</v>
      </c>
      <c r="X52" s="49">
        <f>IF(O52=" ",Nov!X52,O52+Nov!X52)</f>
        <v>0</v>
      </c>
      <c r="Y52" s="49">
        <f>IF(P52=" ",Nov!Y52,P52+Nov!Y52)</f>
        <v>0</v>
      </c>
      <c r="Z52" s="49">
        <f>IF(Q52=" ",Nov!Z52,Q52+Nov!Z52)</f>
        <v>0</v>
      </c>
      <c r="AA52" s="49">
        <f>IF(R52=" ",Nov!AA52,R52+Nov!AA52)</f>
        <v>0</v>
      </c>
      <c r="AC52" s="49">
        <f>IF(T52=" ",Nov!AC52,T52+Nov!AC52)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IF(T$49="Y",Nov!H53,0)</f>
        <v>0</v>
      </c>
      <c r="I53" s="92">
        <f>IF(T$49="Y",Nov!I53,0)</f>
        <v>0</v>
      </c>
      <c r="J53" s="92">
        <f>IF(T$49="Y",Nov!J53,0)</f>
        <v>0</v>
      </c>
      <c r="K53" s="92">
        <f>IF(T$49="Y",Nov!K53,I53*J53)</f>
        <v>0</v>
      </c>
      <c r="L53" s="111">
        <f>IF(T$49="Y",Nov!L53,0)</f>
        <v>0</v>
      </c>
      <c r="M53" s="100" t="str">
        <f>IF(E53=" "," ",IF(T$49="Y",Nov!M53,IF((H53+K53+L53)&gt;0,H53+K53+L53,"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IF(Employee!H$87=E$49,Employee!D$86+SUM(M53)+Nov!V53,SUM(M53)+Nov!V53)</f>
        <v>0</v>
      </c>
      <c r="W53" s="49">
        <f>IF(Employee!H$87=E$49,Employee!D$87+SUM(N53)+Nov!W53,SUM(N53)+Nov!W53)</f>
        <v>0</v>
      </c>
      <c r="X53" s="49">
        <f>IF(O53=" ",Nov!X53,O53+Nov!X53)</f>
        <v>0</v>
      </c>
      <c r="Y53" s="49">
        <f>IF(P53=" ",Nov!Y53,P53+Nov!Y53)</f>
        <v>0</v>
      </c>
      <c r="Z53" s="49">
        <f>IF(Q53=" ",Nov!Z53,Q53+Nov!Z53)</f>
        <v>0</v>
      </c>
      <c r="AA53" s="49">
        <f>IF(R53=" ",Nov!AA53,R53+Nov!AA53)</f>
        <v>0</v>
      </c>
      <c r="AC53" s="49">
        <f>IF(T53=" ",Nov!AC53,T53+Nov!AC53)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IF(T$49="Y",Nov!H54,0)</f>
        <v>0</v>
      </c>
      <c r="I54" s="92">
        <f>IF(T$49="Y",Nov!I54,0)</f>
        <v>0</v>
      </c>
      <c r="J54" s="92">
        <f>IF(T$49="Y",Nov!J54,0)</f>
        <v>0</v>
      </c>
      <c r="K54" s="92">
        <f>IF(T$49="Y",Nov!K54,I54*J54)</f>
        <v>0</v>
      </c>
      <c r="L54" s="111">
        <f>IF(T$49="Y",Nov!L54,0)</f>
        <v>0</v>
      </c>
      <c r="M54" s="100" t="str">
        <f>IF(E54=" "," ",IF(T$49="Y",Nov!M54,IF((H54+K54+L54)&gt;0,H54+K54+L54,"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IF(Employee!H$113=E$49,Employee!D$112+SUM(M54)+Nov!V54,SUM(M54)+Nov!V54)</f>
        <v>0</v>
      </c>
      <c r="W54" s="49">
        <f>IF(Employee!H$113=E$49,Employee!D$113+SUM(N54)+Nov!W54,SUM(N54)+Nov!W54)</f>
        <v>0</v>
      </c>
      <c r="X54" s="49">
        <f>IF(O54=" ",Nov!X54,O54+Nov!X54)</f>
        <v>0</v>
      </c>
      <c r="Y54" s="49">
        <f>IF(P54=" ",Nov!Y54,P54+Nov!Y54)</f>
        <v>0</v>
      </c>
      <c r="Z54" s="49">
        <f>IF(Q54=" ",Nov!Z54,Q54+Nov!Z54)</f>
        <v>0</v>
      </c>
      <c r="AA54" s="49">
        <f>IF(R54=" ",Nov!AA54,R54+Nov!AA54)</f>
        <v>0</v>
      </c>
      <c r="AC54" s="49">
        <f>IF(T54=" ",Nov!AC54,T54+Nov!AC54)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IF(T$49="Y",Nov!H55,0)</f>
        <v>0</v>
      </c>
      <c r="I55" s="245">
        <f>IF(T$49="Y",Nov!I55,0)</f>
        <v>0</v>
      </c>
      <c r="J55" s="245">
        <f>IF(T$49="Y",Nov!J55,0)</f>
        <v>0</v>
      </c>
      <c r="K55" s="245">
        <f>IF(T$49="Y",Nov!K55,I55*J55)</f>
        <v>0</v>
      </c>
      <c r="L55" s="246">
        <f>IF(T$49="Y",Nov!L55,0)</f>
        <v>0</v>
      </c>
      <c r="M55" s="100" t="str">
        <f>IF(E55=" "," ",IF(T$49="Y",Nov!M55,IF((H55+K55+L55)&gt;0,H55+K55+L55,"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IF(Employee!H$139=E$49,Employee!D$138+SUM(M55)+Nov!V55,SUM(M55)+Nov!V55)</f>
        <v>0</v>
      </c>
      <c r="W55" s="49">
        <f>IF(Employee!H$139=E$49,Employee!D$139+SUM(N55)+Nov!W55,SUM(N55)+Nov!W55)</f>
        <v>0</v>
      </c>
      <c r="X55" s="49">
        <f>IF(O55=" ",Nov!X55,O55+Nov!X55)</f>
        <v>0</v>
      </c>
      <c r="Y55" s="49">
        <f>IF(P55=" ",Nov!Y55,P55+Nov!Y55)</f>
        <v>0</v>
      </c>
      <c r="Z55" s="49">
        <f>IF(Q55=" ",Nov!Z55,Q55+Nov!Z55)</f>
        <v>0</v>
      </c>
      <c r="AA55" s="49">
        <f>IF(R55=" ",Nov!AA55,R55+Nov!AA55)</f>
        <v>0</v>
      </c>
      <c r="AC55" s="49">
        <f>IF(T55=" ",Nov!AC55,T55+Nov!AC55)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AD60+Nov!AD65</f>
        <v>0</v>
      </c>
      <c r="AE65" s="158">
        <f>AE60+Nov!AE65</f>
        <v>0</v>
      </c>
      <c r="AF65" s="158">
        <f>AF60+Nov!AF65</f>
        <v>0</v>
      </c>
      <c r="AG65" s="158">
        <f>AG60+Nov!AG65</f>
        <v>0</v>
      </c>
    </row>
    <row r="66" spans="6:33" ht="14" thickTop="1" x14ac:dyDescent="0.15"/>
    <row r="67" spans="6:33" x14ac:dyDescent="0.15">
      <c r="AD67" s="162"/>
      <c r="AE67" s="158">
        <f>AE62+Nov!AE67</f>
        <v>0</v>
      </c>
      <c r="AF67" s="158">
        <f>AF62+Nov!AF67</f>
        <v>0</v>
      </c>
      <c r="AG67" s="158">
        <f>AG62+Nov!AG67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Dec!M39+1</f>
        <v>45715</v>
      </c>
      <c r="L9" s="203" t="s">
        <v>76</v>
      </c>
      <c r="M9" s="205">
        <f>K9+6</f>
        <v>45721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11" t="str">
        <f>IF(E12=" "," ",IF(T$9="Y",Dec!M42,IF((H12+K12+L12)&gt;0,H12+K12+L12,"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11" t="str">
        <f>IF(E13=" "," ",IF(T$9="Y",Dec!M43,IF((H13+K13+L13)&gt;0,H13+K13+L13,"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11" t="str">
        <f>IF(E14=" "," ",IF(T$9="Y",Dec!M44,IF((H14+K14+L14)&gt;0,H14+K14+L14,"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111" t="str">
        <f>IF(E15=" "," ",IF(T$9="Y",Dec!M45,IF((H15+K15+L15)&gt;0,H15+K15+L15,"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45722</v>
      </c>
      <c r="L19" s="203" t="s">
        <v>76</v>
      </c>
      <c r="M19" s="205">
        <f>K19+6</f>
        <v>45728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45729</v>
      </c>
      <c r="L29" s="203" t="s">
        <v>76</v>
      </c>
      <c r="M29" s="205">
        <f>K29+6</f>
        <v>45735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45736</v>
      </c>
      <c r="L39" s="203" t="s">
        <v>76</v>
      </c>
      <c r="M39" s="205">
        <f>K39+6</f>
        <v>45742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45743</v>
      </c>
      <c r="L49" s="203" t="s">
        <v>76</v>
      </c>
      <c r="M49" s="205">
        <f>K49+6</f>
        <v>45749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45750</v>
      </c>
      <c r="L59" s="203" t="s">
        <v>76</v>
      </c>
      <c r="M59" s="205">
        <f>K59+4</f>
        <v>45754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DATE(2025,1,1)</f>
        <v>45658</v>
      </c>
      <c r="L69" s="203" t="s">
        <v>76</v>
      </c>
      <c r="M69" s="205">
        <f>DATE(2025,1,31)</f>
        <v>45688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IF(T$69="Y",Dec!H51,0)</f>
        <v>0</v>
      </c>
      <c r="I71" s="89">
        <f>IF(T$69="Y",Dec!I51,0)</f>
        <v>0</v>
      </c>
      <c r="J71" s="89">
        <f>IF(T$69="Y",Dec!J51,0)</f>
        <v>0</v>
      </c>
      <c r="K71" s="89">
        <f>IF(T$69="Y",Dec!K51,I71*J71)</f>
        <v>0</v>
      </c>
      <c r="L71" s="110">
        <f>IF(T$69="Y",Dec!L51,0)</f>
        <v>0</v>
      </c>
      <c r="M71" s="99" t="str">
        <f>IF(E71=" "," ",IF(T$69="Y",Dec!M51,IF((H71+K71+L71)&gt;0,H71+K71+L71,"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IF(Employee!H$35=E$69,Employee!D$34+SUM(M71)+Dec!V51,SUM(M71)+Dec!V51)</f>
        <v>0</v>
      </c>
      <c r="W71" s="49">
        <f>IF(Employee!H$35=E$69,Employee!D$35+SUM(N71)+Dec!W51,SUM(N71)+Dec!W51)</f>
        <v>0</v>
      </c>
      <c r="X71" s="49">
        <f>IF(O71=" ",Dec!X51,O71+Dec!X51)</f>
        <v>0</v>
      </c>
      <c r="Y71" s="49">
        <f>IF(P71=" ",Dec!Y51,P71+Dec!Y51)</f>
        <v>0</v>
      </c>
      <c r="Z71" s="49">
        <f>IF(Q71=" ",Dec!Z51,Q71+Dec!Z51)</f>
        <v>0</v>
      </c>
      <c r="AA71" s="49">
        <f>IF(R71=" ",Dec!AA51,R71+Dec!AA51)</f>
        <v>0</v>
      </c>
      <c r="AC71" s="49">
        <f>IF(T71=" ",Dec!AC51,T71+Dec!AC51)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IF(T$69="Y",Dec!H52,0)</f>
        <v>0</v>
      </c>
      <c r="I72" s="92">
        <f>IF(T$69="Y",Dec!I52,0)</f>
        <v>0</v>
      </c>
      <c r="J72" s="92">
        <f>IF(T$69="Y",Dec!J52,0)</f>
        <v>0</v>
      </c>
      <c r="K72" s="92">
        <f>IF(T$69="Y",Dec!K52,I72*J72)</f>
        <v>0</v>
      </c>
      <c r="L72" s="111">
        <f>IF(T$69="Y",Dec!L52,0)</f>
        <v>0</v>
      </c>
      <c r="M72" s="100" t="str">
        <f>IF(E72=" "," ",IF(T$69="Y",Dec!M52,IF((H72+K72+L72)&gt;0,H72+K72+L72,"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IF(Employee!H$61=E$69,Employee!D$60+SUM(M72)+Dec!V52,SUM(M72)+Dec!V52)</f>
        <v>0</v>
      </c>
      <c r="W72" s="49">
        <f>IF(Employee!H$61=E$69,Employee!D$61+SUM(N72)+Dec!W52,SUM(N72)+Dec!W52)</f>
        <v>0</v>
      </c>
      <c r="X72" s="49">
        <f>IF(O72=" ",Dec!X52,O72+Dec!X52)</f>
        <v>0</v>
      </c>
      <c r="Y72" s="49">
        <f>IF(P72=" ",Dec!Y52,P72+Dec!Y52)</f>
        <v>0</v>
      </c>
      <c r="Z72" s="49">
        <f>IF(Q72=" ",Dec!Z52,Q72+Dec!Z52)</f>
        <v>0</v>
      </c>
      <c r="AA72" s="49">
        <f>IF(R72=" ",Dec!AA52,R72+Dec!AA52)</f>
        <v>0</v>
      </c>
      <c r="AC72" s="49">
        <f>IF(T72=" ",Dec!AC52,T72+Dec!AC52)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IF(T$69="Y",Dec!H53,0)</f>
        <v>0</v>
      </c>
      <c r="I73" s="92">
        <f>IF(T$69="Y",Dec!I53,0)</f>
        <v>0</v>
      </c>
      <c r="J73" s="92">
        <f>IF(T$69="Y",Dec!J53,0)</f>
        <v>0</v>
      </c>
      <c r="K73" s="92">
        <f>IF(T$69="Y",Dec!K53,I73*J73)</f>
        <v>0</v>
      </c>
      <c r="L73" s="111">
        <f>IF(T$69="Y",Dec!L53,0)</f>
        <v>0</v>
      </c>
      <c r="M73" s="100" t="str">
        <f>IF(E73=" "," ",IF(T$69="Y",Dec!M53,IF((H73+K73+L73)&gt;0,H73+K73+L73,"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IF(Employee!H$87=E$69,Employee!D$86+SUM(M73)+Dec!V53,SUM(M73)+Dec!V53)</f>
        <v>0</v>
      </c>
      <c r="W73" s="49">
        <f>IF(Employee!H$87=E$69,Employee!D$87+SUM(N73)+Dec!W53,SUM(N73)+Dec!W53)</f>
        <v>0</v>
      </c>
      <c r="X73" s="49">
        <f>IF(O73=" ",Dec!X53,O73+Dec!X53)</f>
        <v>0</v>
      </c>
      <c r="Y73" s="49">
        <f>IF(P73=" ",Dec!Y53,P73+Dec!Y53)</f>
        <v>0</v>
      </c>
      <c r="Z73" s="49">
        <f>IF(Q73=" ",Dec!Z53,Q73+Dec!Z53)</f>
        <v>0</v>
      </c>
      <c r="AA73" s="49">
        <f>IF(R73=" ",Dec!AA53,R73+Dec!AA53)</f>
        <v>0</v>
      </c>
      <c r="AC73" s="49">
        <f>IF(T73=" ",Dec!AC53,T73+Dec!AC53)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IF(T$69="Y",Dec!H54,0)</f>
        <v>0</v>
      </c>
      <c r="I74" s="92">
        <f>IF(T$69="Y",Dec!I54,0)</f>
        <v>0</v>
      </c>
      <c r="J74" s="92">
        <f>IF(T$69="Y",Dec!J54,0)</f>
        <v>0</v>
      </c>
      <c r="K74" s="92">
        <f>IF(T$69="Y",Dec!K54,I74*J74)</f>
        <v>0</v>
      </c>
      <c r="L74" s="111">
        <f>IF(T$69="Y",Dec!L54,0)</f>
        <v>0</v>
      </c>
      <c r="M74" s="100" t="str">
        <f>IF(E74=" "," ",IF(T$69="Y",Dec!M54,IF((H74+K74+L74)&gt;0,H74+K74+L74,"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IF(Employee!H$113=E$69,Employee!D$112+SUM(M74)+Dec!V54,SUM(M74)+Dec!V54)</f>
        <v>0</v>
      </c>
      <c r="W74" s="49">
        <f>IF(Employee!H$113=E$69,Employee!D$113+SUM(N74)+Dec!W54,SUM(N74)+Dec!W54)</f>
        <v>0</v>
      </c>
      <c r="X74" s="49">
        <f>IF(O74=" ",Dec!X54,O74+Dec!X54)</f>
        <v>0</v>
      </c>
      <c r="Y74" s="49">
        <f>IF(P74=" ",Dec!Y54,P74+Dec!Y54)</f>
        <v>0</v>
      </c>
      <c r="Z74" s="49">
        <f>IF(Q74=" ",Dec!Z54,Q74+Dec!Z54)</f>
        <v>0</v>
      </c>
      <c r="AA74" s="49">
        <f>IF(R74=" ",Dec!AA54,R74+Dec!AA54)</f>
        <v>0</v>
      </c>
      <c r="AC74" s="49">
        <f>IF(T74=" ",Dec!AC54,T74+Dec!AC54)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IF(T$69="Y",Dec!H55,0)</f>
        <v>0</v>
      </c>
      <c r="I75" s="245">
        <f>IF(T$69="Y",Dec!I55,0)</f>
        <v>0</v>
      </c>
      <c r="J75" s="245">
        <f>IF(T$69="Y",Dec!J55,0)</f>
        <v>0</v>
      </c>
      <c r="K75" s="245">
        <f>IF(T$69="Y",Dec!K55,I75*J75)</f>
        <v>0</v>
      </c>
      <c r="L75" s="246">
        <f>IF(T$69="Y",Dec!L55,0)</f>
        <v>0</v>
      </c>
      <c r="M75" s="100" t="str">
        <f>IF(E75=" "," ",IF(T$69="Y",Dec!M55,IF((H75+K75+L75)&gt;0,H75+K75+L75,"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IF(Employee!H$139=E$69,Employee!D$138+SUM(M75)+Dec!V55,SUM(M75)+Dec!V55)</f>
        <v>0</v>
      </c>
      <c r="W75" s="49">
        <f>IF(Employee!H$139=E$69,Employee!D$139+SUM(N75)+Dec!W55,SUM(N75)+Dec!W55)</f>
        <v>0</v>
      </c>
      <c r="X75" s="49">
        <f>IF(O75=" ",Dec!X55,O75+Dec!X55)</f>
        <v>0</v>
      </c>
      <c r="Y75" s="49">
        <f>IF(P75=" ",Dec!Y55,P75+Dec!Y55)</f>
        <v>0</v>
      </c>
      <c r="Z75" s="49">
        <f>IF(Q75=" ",Dec!Z55,Q75+Dec!Z55)</f>
        <v>0</v>
      </c>
      <c r="AA75" s="49">
        <f>IF(R75=" ",Dec!AA55,R75+Dec!AA55)</f>
        <v>0</v>
      </c>
      <c r="AC75" s="49">
        <f>IF(T75=" ",Dec!AC55,T75+Dec!AC55)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AD80+Dec!AD65</f>
        <v>0</v>
      </c>
      <c r="AE85" s="158">
        <f>AE80+Dec!AE65</f>
        <v>0</v>
      </c>
      <c r="AF85" s="158">
        <f>AF80+Dec!AF65</f>
        <v>0</v>
      </c>
      <c r="AG85" s="158">
        <f>AG80+Dec!AG65</f>
        <v>0</v>
      </c>
    </row>
    <row r="86" spans="6:33" ht="14" thickTop="1" x14ac:dyDescent="0.15"/>
    <row r="87" spans="6:33" x14ac:dyDescent="0.15">
      <c r="AD87" s="162"/>
      <c r="AE87" s="158">
        <f>AE82+Dec!AE67</f>
        <v>0</v>
      </c>
      <c r="AF87" s="158">
        <f>AF82+Dec!AF67</f>
        <v>0</v>
      </c>
      <c r="AG87" s="158">
        <f>AG82+Dec!AG67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Feb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45389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45389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45389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45389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45389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DATE(2024,4,30)</f>
        <v>45412</v>
      </c>
      <c r="C4" s="229">
        <f>DATE(2024,5,19)</f>
        <v>45431</v>
      </c>
      <c r="D4" s="227">
        <f>Apr!T1+Apr!O1</f>
        <v>0</v>
      </c>
      <c r="E4" s="228">
        <f>Apr!N1</f>
        <v>0</v>
      </c>
      <c r="F4" s="228">
        <f>Apr!AD70+Apr!AE70+Apr!AF70+Apr!AG70</f>
        <v>0</v>
      </c>
      <c r="G4" s="228">
        <f>Apr!AE72+Apr!AF72+Apr!AG72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2501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DATE(2024,5,31)</f>
        <v>45443</v>
      </c>
      <c r="C5" s="229">
        <f>DATE(2024,6,19)</f>
        <v>45462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2502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DATE(2024,6,30)</f>
        <v>45473</v>
      </c>
      <c r="C6" s="229">
        <f>DATE(2024,7,19)</f>
        <v>45492</v>
      </c>
      <c r="D6" s="227">
        <f>Jun!T1+Jun!O1</f>
        <v>0</v>
      </c>
      <c r="E6" s="228">
        <f>Jun!N1</f>
        <v>0</v>
      </c>
      <c r="F6" s="228">
        <f>Jun!AD60+Jun!AE60+Jun!AF60+Jun!AG60</f>
        <v>0</v>
      </c>
      <c r="G6" s="228">
        <f>Jun!AE62+Jun!AF62+Jun!AG62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2503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DATE(2024,7,31)</f>
        <v>45504</v>
      </c>
      <c r="C7" s="229">
        <f>DATE(2024,8,19)</f>
        <v>45523</v>
      </c>
      <c r="D7" s="227">
        <f>Jul!T1+Jul!O1</f>
        <v>0</v>
      </c>
      <c r="E7" s="228">
        <f>Jul!N1</f>
        <v>0</v>
      </c>
      <c r="F7" s="228">
        <f>Jul!AD70+Jul!AE70+Jul!AF70+Jul!AG70</f>
        <v>0</v>
      </c>
      <c r="G7" s="228">
        <f>Jul!AE72+Jul!AF72+Jul!AG72</f>
        <v>0</v>
      </c>
      <c r="H7" s="228">
        <f>Jul!P1</f>
        <v>0</v>
      </c>
      <c r="I7" s="227">
        <f t="shared" si="0"/>
        <v>0</v>
      </c>
      <c r="M7" s="212">
        <f t="shared" si="2"/>
        <v>2504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DATE(2024,8,31)</f>
        <v>45535</v>
      </c>
      <c r="C8" s="229">
        <f>DATE(2024,9,19)</f>
        <v>45554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2505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DATE(2024,9,30)</f>
        <v>45565</v>
      </c>
      <c r="C9" s="229">
        <f>DATE(2024,10,19)</f>
        <v>45584</v>
      </c>
      <c r="D9" s="227">
        <f>Sep!T1+Sep!O1</f>
        <v>0</v>
      </c>
      <c r="E9" s="228">
        <f>Sep!N1</f>
        <v>0</v>
      </c>
      <c r="F9" s="228">
        <f>Sep!AD60+Sep!AE60+Sep!AF60+Sep!AG60</f>
        <v>0</v>
      </c>
      <c r="G9" s="228">
        <f>Sep!AE62+Sep!AF62+Sep!AG62</f>
        <v>0</v>
      </c>
      <c r="H9" s="228">
        <f>Sep!P1</f>
        <v>0</v>
      </c>
      <c r="I9" s="227">
        <f t="shared" si="0"/>
        <v>0</v>
      </c>
      <c r="M9" s="212">
        <f t="shared" si="2"/>
        <v>2506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DATE(2024,10,31)</f>
        <v>45596</v>
      </c>
      <c r="C10" s="229">
        <f>DATE(2024,11,19)</f>
        <v>45615</v>
      </c>
      <c r="D10" s="227">
        <f>Oct!T1+Oct!O1</f>
        <v>0</v>
      </c>
      <c r="E10" s="228">
        <f>Oct!N1</f>
        <v>0</v>
      </c>
      <c r="F10" s="228">
        <f>Oct!AD70+Oct!AE70+Oct!AF70+Oct!AG70</f>
        <v>0</v>
      </c>
      <c r="G10" s="228">
        <f>Oct!AE72+Oct!AF72+Oct!AG72</f>
        <v>0</v>
      </c>
      <c r="H10" s="228">
        <f>Oct!P1</f>
        <v>0</v>
      </c>
      <c r="I10" s="227">
        <f t="shared" si="0"/>
        <v>0</v>
      </c>
      <c r="M10" s="212">
        <f t="shared" si="2"/>
        <v>2507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DATE(2024,11,30)</f>
        <v>45626</v>
      </c>
      <c r="C11" s="229">
        <f>DATE(2024,12,19)</f>
        <v>45645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2508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DATE(2024,12,31)</f>
        <v>45657</v>
      </c>
      <c r="C12" s="229">
        <f>DATE(2025,1,19)</f>
        <v>45676</v>
      </c>
      <c r="D12" s="227">
        <f>Dec!T1+Dec!O1</f>
        <v>0</v>
      </c>
      <c r="E12" s="228">
        <f>Dec!N1</f>
        <v>0</v>
      </c>
      <c r="F12" s="228">
        <f>Dec!AD60+Dec!AE60+Dec!AF60+Dec!AG60</f>
        <v>0</v>
      </c>
      <c r="G12" s="228">
        <f>Dec!AE62+Dec!AF62+Dec!AG62</f>
        <v>0</v>
      </c>
      <c r="H12" s="228">
        <f>Dec!P1</f>
        <v>0</v>
      </c>
      <c r="I12" s="227">
        <f t="shared" si="0"/>
        <v>0</v>
      </c>
      <c r="M12" s="212">
        <f t="shared" si="2"/>
        <v>2509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DATE(2025,1,31)</f>
        <v>45688</v>
      </c>
      <c r="C13" s="229">
        <f>DATE(2025,2,19)</f>
        <v>45707</v>
      </c>
      <c r="D13" s="227">
        <f>Jan!T1+Jan!O1</f>
        <v>0</v>
      </c>
      <c r="E13" s="228">
        <f>Jan!N1</f>
        <v>0</v>
      </c>
      <c r="F13" s="228">
        <f>Jan!AD80+Jan!AE80+Jan!AF80+Jan!AG80</f>
        <v>0</v>
      </c>
      <c r="G13" s="228">
        <f>Jan!AE82+Jan!AF82+Jan!AG82</f>
        <v>0</v>
      </c>
      <c r="H13" s="228">
        <f>Jan!P1</f>
        <v>0</v>
      </c>
      <c r="I13" s="227">
        <f t="shared" si="0"/>
        <v>0</v>
      </c>
      <c r="M13" s="212">
        <f t="shared" si="2"/>
        <v>2510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DATE(2025,2,28)</f>
        <v>45716</v>
      </c>
      <c r="C14" s="229">
        <f>DATE(2025,3,19)</f>
        <v>45735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2511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DATE(2025,3,31)</f>
        <v>45747</v>
      </c>
      <c r="C15" s="229">
        <f>DATE(2025,4,19)</f>
        <v>45766</v>
      </c>
      <c r="D15" s="227">
        <f>Mar!T1+Mar!O1</f>
        <v>0</v>
      </c>
      <c r="E15" s="228">
        <f>Mar!N1</f>
        <v>0</v>
      </c>
      <c r="F15" s="228">
        <f>Mar!AD60+Mar!AE60+Mar!AF60+Mar!AG60</f>
        <v>0</v>
      </c>
      <c r="G15" s="228">
        <f>Mar!AE62+Mar!AF62+Mar!AG62</f>
        <v>0</v>
      </c>
      <c r="H15" s="228">
        <f>Mar!P1</f>
        <v>0</v>
      </c>
      <c r="I15" s="227">
        <f t="shared" si="0"/>
        <v>0</v>
      </c>
      <c r="M15" s="212">
        <f t="shared" si="2"/>
        <v>2512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45752</v>
      </c>
      <c r="J1" s="493"/>
      <c r="K1" s="303"/>
      <c r="L1" s="303"/>
      <c r="M1" s="304"/>
      <c r="N1" s="305" t="str">
        <f>TEXT(YEAR(I1)-1,"0") &amp; "-" &amp; TEXT(YEAR(I1)-2000,"0")</f>
        <v>2024-25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TEXT(DATE(YEAR(B$2),MONTH(B$2)+(D2-1)+10,1),"Mmm")</f>
        <v>Feb</v>
      </c>
      <c r="B2" s="308">
        <v>45388</v>
      </c>
      <c r="C2" s="309">
        <v>1</v>
      </c>
      <c r="D2" s="309">
        <v>1</v>
      </c>
      <c r="E2" s="310">
        <f>B2</f>
        <v>45388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TEXT(DATE(YEAR(B$2),MONTH(B$2)+(D3-1)+10,1),"Mmm")</f>
        <v>Feb</v>
      </c>
      <c r="B3" s="308">
        <f>B2+1</f>
        <v>45389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Feb</v>
      </c>
      <c r="B4" s="308">
        <f t="shared" ref="B4:B67" si="1">B3+1</f>
        <v>45390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Feb</v>
      </c>
      <c r="B5" s="308">
        <f t="shared" si="1"/>
        <v>45391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Feb</v>
      </c>
      <c r="B6" s="308">
        <f t="shared" si="1"/>
        <v>45392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Feb</v>
      </c>
      <c r="B7" s="308">
        <f t="shared" si="1"/>
        <v>45393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Feb</v>
      </c>
      <c r="B8" s="308">
        <f t="shared" si="1"/>
        <v>45394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Feb</v>
      </c>
      <c r="B9" s="308">
        <f t="shared" si="1"/>
        <v>45395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Feb</v>
      </c>
      <c r="B10" s="308">
        <f t="shared" si="1"/>
        <v>45396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Feb</v>
      </c>
      <c r="B11" s="308">
        <f t="shared" si="1"/>
        <v>45397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Feb</v>
      </c>
      <c r="B12" s="308">
        <f t="shared" si="1"/>
        <v>45398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Feb</v>
      </c>
      <c r="B13" s="308">
        <f t="shared" si="1"/>
        <v>45399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Feb</v>
      </c>
      <c r="B14" s="308">
        <f t="shared" si="1"/>
        <v>45400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Feb</v>
      </c>
      <c r="B15" s="308">
        <f t="shared" si="1"/>
        <v>45401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Feb</v>
      </c>
      <c r="B16" s="308">
        <f t="shared" si="1"/>
        <v>45402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Feb</v>
      </c>
      <c r="B17" s="308">
        <f t="shared" si="1"/>
        <v>45403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Feb</v>
      </c>
      <c r="B18" s="308">
        <f t="shared" si="1"/>
        <v>45404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Feb</v>
      </c>
      <c r="B19" s="308">
        <f t="shared" si="1"/>
        <v>45405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Feb</v>
      </c>
      <c r="B20" s="308">
        <f t="shared" si="1"/>
        <v>45406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Feb</v>
      </c>
      <c r="B21" s="308">
        <f t="shared" si="1"/>
        <v>45407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Feb</v>
      </c>
      <c r="B22" s="308">
        <f t="shared" si="1"/>
        <v>45408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Feb</v>
      </c>
      <c r="B23" s="308">
        <f t="shared" si="1"/>
        <v>45409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Feb</v>
      </c>
      <c r="B24" s="308">
        <f t="shared" si="1"/>
        <v>45410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Feb</v>
      </c>
      <c r="B25" s="308">
        <f t="shared" si="1"/>
        <v>45411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Feb</v>
      </c>
      <c r="B26" s="308">
        <f t="shared" si="1"/>
        <v>45412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Feb</v>
      </c>
      <c r="B27" s="308">
        <f t="shared" si="1"/>
        <v>45413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Mar</v>
      </c>
      <c r="B28" s="308">
        <f t="shared" si="1"/>
        <v>45414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Mar</v>
      </c>
      <c r="B29" s="308">
        <f t="shared" si="1"/>
        <v>45415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Mar</v>
      </c>
      <c r="B30" s="308">
        <f t="shared" si="1"/>
        <v>45416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Mar</v>
      </c>
      <c r="B31" s="308">
        <f t="shared" si="1"/>
        <v>45417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Mar</v>
      </c>
      <c r="B32" s="308">
        <f t="shared" si="1"/>
        <v>45418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Mar</v>
      </c>
      <c r="B33" s="308">
        <f t="shared" si="1"/>
        <v>45419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Mar</v>
      </c>
      <c r="B34" s="308">
        <f t="shared" si="1"/>
        <v>45420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Mar</v>
      </c>
      <c r="B35" s="308">
        <f t="shared" si="1"/>
        <v>45421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Mar</v>
      </c>
      <c r="B36" s="308">
        <f t="shared" si="1"/>
        <v>45422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Mar</v>
      </c>
      <c r="B37" s="308">
        <f t="shared" si="1"/>
        <v>45423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Mar</v>
      </c>
      <c r="B38" s="308">
        <f t="shared" si="1"/>
        <v>45424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Mar</v>
      </c>
      <c r="B39" s="308">
        <f t="shared" si="1"/>
        <v>45425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Mar</v>
      </c>
      <c r="B40" s="308">
        <f t="shared" si="1"/>
        <v>45426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Mar</v>
      </c>
      <c r="B41" s="308">
        <f t="shared" si="1"/>
        <v>45427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Mar</v>
      </c>
      <c r="B42" s="308">
        <f t="shared" si="1"/>
        <v>45428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Mar</v>
      </c>
      <c r="B43" s="308">
        <f t="shared" si="1"/>
        <v>45429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Mar</v>
      </c>
      <c r="B44" s="308">
        <f t="shared" si="1"/>
        <v>45430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Mar</v>
      </c>
      <c r="B45" s="308">
        <f t="shared" si="1"/>
        <v>45431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Mar</v>
      </c>
      <c r="B46" s="308">
        <f t="shared" si="1"/>
        <v>45432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Mar</v>
      </c>
      <c r="B47" s="308">
        <f t="shared" si="1"/>
        <v>45433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Mar</v>
      </c>
      <c r="B48" s="308">
        <f t="shared" si="1"/>
        <v>45434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Mar</v>
      </c>
      <c r="B49" s="308">
        <f t="shared" si="1"/>
        <v>45435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Mar</v>
      </c>
      <c r="B50" s="308">
        <f t="shared" si="1"/>
        <v>45436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Mar</v>
      </c>
      <c r="B51" s="308">
        <f t="shared" si="1"/>
        <v>45437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Mar</v>
      </c>
      <c r="B52" s="308">
        <f t="shared" si="1"/>
        <v>45438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Mar</v>
      </c>
      <c r="B53" s="308">
        <f t="shared" si="1"/>
        <v>45439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Mar</v>
      </c>
      <c r="B54" s="308">
        <f t="shared" si="1"/>
        <v>45440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Mar</v>
      </c>
      <c r="B55" s="308">
        <f t="shared" si="1"/>
        <v>45441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Apr</v>
      </c>
      <c r="B56" s="308">
        <f t="shared" si="1"/>
        <v>45442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Apr</v>
      </c>
      <c r="B57" s="308">
        <f t="shared" si="1"/>
        <v>45443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Apr</v>
      </c>
      <c r="B58" s="308">
        <f t="shared" si="1"/>
        <v>45444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Apr</v>
      </c>
      <c r="B59" s="308">
        <f t="shared" si="1"/>
        <v>45445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Apr</v>
      </c>
      <c r="B60" s="308">
        <f t="shared" si="1"/>
        <v>45446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Apr</v>
      </c>
      <c r="B61" s="308">
        <f t="shared" si="1"/>
        <v>45447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Apr</v>
      </c>
      <c r="B62" s="308">
        <f t="shared" si="1"/>
        <v>45448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Apr</v>
      </c>
      <c r="B63" s="308">
        <f t="shared" si="1"/>
        <v>45449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Apr</v>
      </c>
      <c r="B64" s="308">
        <f t="shared" si="1"/>
        <v>45450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Apr</v>
      </c>
      <c r="B65" s="308">
        <f t="shared" si="1"/>
        <v>45451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Apr</v>
      </c>
      <c r="B66" s="308">
        <f t="shared" si="1"/>
        <v>45452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TEXT(DATE(YEAR(B$2),MONTH(B$2)+(D67-1)+10,1),"Mmm")</f>
        <v>Apr</v>
      </c>
      <c r="B67" s="308">
        <f t="shared" si="1"/>
        <v>45453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Apr</v>
      </c>
      <c r="B68" s="308">
        <f t="shared" ref="B68:B131" si="3">B67+1</f>
        <v>45454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Apr</v>
      </c>
      <c r="B69" s="308">
        <f t="shared" si="3"/>
        <v>45455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Apr</v>
      </c>
      <c r="B70" s="308">
        <f t="shared" si="3"/>
        <v>45456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Apr</v>
      </c>
      <c r="B71" s="308">
        <f t="shared" si="3"/>
        <v>45457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Apr</v>
      </c>
      <c r="B72" s="308">
        <f t="shared" si="3"/>
        <v>45458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Apr</v>
      </c>
      <c r="B73" s="308">
        <f t="shared" si="3"/>
        <v>45459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Apr</v>
      </c>
      <c r="B74" s="308">
        <f t="shared" si="3"/>
        <v>45460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Apr</v>
      </c>
      <c r="B75" s="308">
        <f t="shared" si="3"/>
        <v>45461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Apr</v>
      </c>
      <c r="B76" s="308">
        <f t="shared" si="3"/>
        <v>45462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Apr</v>
      </c>
      <c r="B77" s="308">
        <f t="shared" si="3"/>
        <v>45463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Apr</v>
      </c>
      <c r="B78" s="308">
        <f t="shared" si="3"/>
        <v>45464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Apr</v>
      </c>
      <c r="B79" s="308">
        <f t="shared" si="3"/>
        <v>45465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Apr</v>
      </c>
      <c r="B80" s="308">
        <f t="shared" si="3"/>
        <v>45466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Apr</v>
      </c>
      <c r="B81" s="308">
        <f t="shared" si="3"/>
        <v>45467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Apr</v>
      </c>
      <c r="B82" s="308">
        <f t="shared" si="3"/>
        <v>45468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Apr</v>
      </c>
      <c r="B83" s="308">
        <f t="shared" si="3"/>
        <v>45469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Apr</v>
      </c>
      <c r="B84" s="308">
        <f t="shared" si="3"/>
        <v>45470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Apr</v>
      </c>
      <c r="B85" s="308">
        <f t="shared" si="3"/>
        <v>45471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Apr</v>
      </c>
      <c r="B86" s="308">
        <f t="shared" si="3"/>
        <v>45472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Apr</v>
      </c>
      <c r="B87" s="308">
        <f t="shared" si="3"/>
        <v>45473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Apr</v>
      </c>
      <c r="B88" s="308">
        <f t="shared" si="3"/>
        <v>45474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Apr</v>
      </c>
      <c r="B89" s="308">
        <f t="shared" si="3"/>
        <v>45475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Apr</v>
      </c>
      <c r="B90" s="308">
        <f t="shared" si="3"/>
        <v>45476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May</v>
      </c>
      <c r="B91" s="308">
        <f t="shared" si="3"/>
        <v>45477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May</v>
      </c>
      <c r="B92" s="308">
        <f t="shared" si="3"/>
        <v>45478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May</v>
      </c>
      <c r="B93" s="308">
        <f t="shared" si="3"/>
        <v>45479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May</v>
      </c>
      <c r="B94" s="308">
        <f t="shared" si="3"/>
        <v>45480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May</v>
      </c>
      <c r="B95" s="308">
        <f t="shared" si="3"/>
        <v>45481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May</v>
      </c>
      <c r="B96" s="308">
        <f t="shared" si="3"/>
        <v>45482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May</v>
      </c>
      <c r="B97" s="308">
        <f t="shared" si="3"/>
        <v>45483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May</v>
      </c>
      <c r="B98" s="308">
        <f t="shared" si="3"/>
        <v>45484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May</v>
      </c>
      <c r="B99" s="308">
        <f t="shared" si="3"/>
        <v>45485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May</v>
      </c>
      <c r="B100" s="308">
        <f t="shared" si="3"/>
        <v>45486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May</v>
      </c>
      <c r="B101" s="308">
        <f t="shared" si="3"/>
        <v>45487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May</v>
      </c>
      <c r="B102" s="308">
        <f t="shared" si="3"/>
        <v>45488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May</v>
      </c>
      <c r="B103" s="308">
        <f t="shared" si="3"/>
        <v>45489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May</v>
      </c>
      <c r="B104" s="308">
        <f t="shared" si="3"/>
        <v>45490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May</v>
      </c>
      <c r="B105" s="308">
        <f t="shared" si="3"/>
        <v>45491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May</v>
      </c>
      <c r="B106" s="308">
        <f t="shared" si="3"/>
        <v>45492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May</v>
      </c>
      <c r="B107" s="308">
        <f t="shared" si="3"/>
        <v>45493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May</v>
      </c>
      <c r="B108" s="308">
        <f t="shared" si="3"/>
        <v>45494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May</v>
      </c>
      <c r="B109" s="308">
        <f t="shared" si="3"/>
        <v>45495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May</v>
      </c>
      <c r="B110" s="308">
        <f t="shared" si="3"/>
        <v>45496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May</v>
      </c>
      <c r="B111" s="308">
        <f t="shared" si="3"/>
        <v>45497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May</v>
      </c>
      <c r="B112" s="308">
        <f t="shared" si="3"/>
        <v>45498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May</v>
      </c>
      <c r="B113" s="308">
        <f t="shared" si="3"/>
        <v>45499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May</v>
      </c>
      <c r="B114" s="308">
        <f t="shared" si="3"/>
        <v>45500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May</v>
      </c>
      <c r="B115" s="308">
        <f t="shared" si="3"/>
        <v>45501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May</v>
      </c>
      <c r="B116" s="308">
        <f t="shared" si="3"/>
        <v>45502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May</v>
      </c>
      <c r="B117" s="308">
        <f t="shared" si="3"/>
        <v>45503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May</v>
      </c>
      <c r="B118" s="308">
        <f t="shared" si="3"/>
        <v>45504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Jun</v>
      </c>
      <c r="B119" s="308">
        <f t="shared" si="3"/>
        <v>45505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Jun</v>
      </c>
      <c r="B120" s="308">
        <f t="shared" si="3"/>
        <v>45506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Jun</v>
      </c>
      <c r="B121" s="308">
        <f t="shared" si="3"/>
        <v>45507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Jun</v>
      </c>
      <c r="B122" s="308">
        <f t="shared" si="3"/>
        <v>45508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Jun</v>
      </c>
      <c r="B123" s="308">
        <f t="shared" si="3"/>
        <v>45509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Jun</v>
      </c>
      <c r="B124" s="308">
        <f t="shared" si="3"/>
        <v>45510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Jun</v>
      </c>
      <c r="B125" s="308">
        <f t="shared" si="3"/>
        <v>45511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Jun</v>
      </c>
      <c r="B126" s="308">
        <f t="shared" si="3"/>
        <v>45512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Jun</v>
      </c>
      <c r="B127" s="308">
        <f t="shared" si="3"/>
        <v>45513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Jun</v>
      </c>
      <c r="B128" s="308">
        <f t="shared" si="3"/>
        <v>45514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Jun</v>
      </c>
      <c r="B129" s="308">
        <f t="shared" si="3"/>
        <v>45515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Jun</v>
      </c>
      <c r="B130" s="308">
        <f t="shared" si="3"/>
        <v>45516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TEXT(DATE(YEAR(B$2),MONTH(B$2)+(D131-1)+10,1),"Mmm")</f>
        <v>Jun</v>
      </c>
      <c r="B131" s="308">
        <f t="shared" si="3"/>
        <v>45517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Jun</v>
      </c>
      <c r="B132" s="308">
        <f t="shared" ref="B132:B195" si="5">B131+1</f>
        <v>45518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Jun</v>
      </c>
      <c r="B133" s="308">
        <f t="shared" si="5"/>
        <v>45519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Jun</v>
      </c>
      <c r="B134" s="308">
        <f t="shared" si="5"/>
        <v>45520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Jun</v>
      </c>
      <c r="B135" s="308">
        <f t="shared" si="5"/>
        <v>45521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Jun</v>
      </c>
      <c r="B136" s="308">
        <f t="shared" si="5"/>
        <v>45522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Jun</v>
      </c>
      <c r="B137" s="308">
        <f t="shared" si="5"/>
        <v>45523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Jun</v>
      </c>
      <c r="B138" s="308">
        <f t="shared" si="5"/>
        <v>45524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Jun</v>
      </c>
      <c r="B139" s="308">
        <f t="shared" si="5"/>
        <v>45525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Jun</v>
      </c>
      <c r="B140" s="308">
        <f t="shared" si="5"/>
        <v>45526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Jun</v>
      </c>
      <c r="B141" s="308">
        <f t="shared" si="5"/>
        <v>45527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Jun</v>
      </c>
      <c r="B142" s="308">
        <f t="shared" si="5"/>
        <v>45528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Jun</v>
      </c>
      <c r="B143" s="308">
        <f t="shared" si="5"/>
        <v>45529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Jun</v>
      </c>
      <c r="B144" s="308">
        <f t="shared" si="5"/>
        <v>45530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Jun</v>
      </c>
      <c r="B145" s="308">
        <f t="shared" si="5"/>
        <v>45531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Jun</v>
      </c>
      <c r="B146" s="308">
        <f t="shared" si="5"/>
        <v>45532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Jul</v>
      </c>
      <c r="B147" s="308">
        <f t="shared" si="5"/>
        <v>45533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Jul</v>
      </c>
      <c r="B148" s="308">
        <f t="shared" si="5"/>
        <v>45534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Jul</v>
      </c>
      <c r="B149" s="308">
        <f t="shared" si="5"/>
        <v>45535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Jul</v>
      </c>
      <c r="B150" s="308">
        <f t="shared" si="5"/>
        <v>45536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Jul</v>
      </c>
      <c r="B151" s="308">
        <f t="shared" si="5"/>
        <v>45537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Jul</v>
      </c>
      <c r="B152" s="308">
        <f t="shared" si="5"/>
        <v>45538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Jul</v>
      </c>
      <c r="B153" s="308">
        <f t="shared" si="5"/>
        <v>45539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Jul</v>
      </c>
      <c r="B154" s="308">
        <f t="shared" si="5"/>
        <v>45540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Jul</v>
      </c>
      <c r="B155" s="321">
        <f t="shared" si="5"/>
        <v>45541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Jul</v>
      </c>
      <c r="B156" s="308">
        <f t="shared" si="5"/>
        <v>45542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Jul</v>
      </c>
      <c r="B157" s="308">
        <f t="shared" si="5"/>
        <v>45543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Jul</v>
      </c>
      <c r="B158" s="308">
        <f t="shared" si="5"/>
        <v>45544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Jul</v>
      </c>
      <c r="B159" s="308">
        <f t="shared" si="5"/>
        <v>45545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Jul</v>
      </c>
      <c r="B160" s="308">
        <f t="shared" si="5"/>
        <v>45546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Jul</v>
      </c>
      <c r="B161" s="308">
        <f t="shared" si="5"/>
        <v>45547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Jul</v>
      </c>
      <c r="B162" s="308">
        <f t="shared" si="5"/>
        <v>45548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Jul</v>
      </c>
      <c r="B163" s="308">
        <f t="shared" si="5"/>
        <v>45549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Jul</v>
      </c>
      <c r="B164" s="308">
        <f t="shared" si="5"/>
        <v>45550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Jul</v>
      </c>
      <c r="B165" s="308">
        <f t="shared" si="5"/>
        <v>45551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Jul</v>
      </c>
      <c r="B166" s="308">
        <f t="shared" si="5"/>
        <v>45552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Jul</v>
      </c>
      <c r="B167" s="308">
        <f t="shared" si="5"/>
        <v>45553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Jul</v>
      </c>
      <c r="B168" s="308">
        <f t="shared" si="5"/>
        <v>45554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Jul</v>
      </c>
      <c r="B169" s="308">
        <f t="shared" si="5"/>
        <v>45555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Jul</v>
      </c>
      <c r="B170" s="308">
        <f t="shared" si="5"/>
        <v>45556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Jul</v>
      </c>
      <c r="B171" s="308">
        <f t="shared" si="5"/>
        <v>45557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Jul</v>
      </c>
      <c r="B172" s="308">
        <f t="shared" si="5"/>
        <v>45558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Jul</v>
      </c>
      <c r="B173" s="308">
        <f t="shared" si="5"/>
        <v>45559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Jul</v>
      </c>
      <c r="B174" s="308">
        <f t="shared" si="5"/>
        <v>45560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Jul</v>
      </c>
      <c r="B175" s="308">
        <f t="shared" si="5"/>
        <v>45561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Jul</v>
      </c>
      <c r="B176" s="308">
        <f t="shared" si="5"/>
        <v>45562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Jul</v>
      </c>
      <c r="B177" s="308">
        <f t="shared" si="5"/>
        <v>45563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Jul</v>
      </c>
      <c r="B178" s="308">
        <f t="shared" si="5"/>
        <v>45564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Jul</v>
      </c>
      <c r="B179" s="308">
        <f t="shared" si="5"/>
        <v>45565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Jul</v>
      </c>
      <c r="B180" s="308">
        <f t="shared" si="5"/>
        <v>45566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Jul</v>
      </c>
      <c r="B181" s="308">
        <f t="shared" si="5"/>
        <v>45567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Aug</v>
      </c>
      <c r="B182" s="308">
        <f t="shared" si="5"/>
        <v>45568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Aug</v>
      </c>
      <c r="B183" s="308">
        <f t="shared" si="5"/>
        <v>45569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Aug</v>
      </c>
      <c r="B184" s="308">
        <f t="shared" si="5"/>
        <v>45570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Aug</v>
      </c>
      <c r="B185" s="321">
        <f t="shared" si="5"/>
        <v>45571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Aug</v>
      </c>
      <c r="B186" s="308">
        <f t="shared" si="5"/>
        <v>45572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Aug</v>
      </c>
      <c r="B187" s="308">
        <f t="shared" si="5"/>
        <v>45573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Aug</v>
      </c>
      <c r="B188" s="308">
        <f t="shared" si="5"/>
        <v>45574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Aug</v>
      </c>
      <c r="B189" s="308">
        <f t="shared" si="5"/>
        <v>45575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Aug</v>
      </c>
      <c r="B190" s="308">
        <f t="shared" si="5"/>
        <v>45576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Aug</v>
      </c>
      <c r="B191" s="308">
        <f t="shared" si="5"/>
        <v>45577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Aug</v>
      </c>
      <c r="B192" s="308">
        <f t="shared" si="5"/>
        <v>45578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Aug</v>
      </c>
      <c r="B193" s="308">
        <f t="shared" si="5"/>
        <v>45579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Aug</v>
      </c>
      <c r="B194" s="308">
        <f t="shared" si="5"/>
        <v>45580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TEXT(DATE(YEAR(B$2),MONTH(B$2)+(D195-1)+10,1),"Mmm")</f>
        <v>Aug</v>
      </c>
      <c r="B195" s="308">
        <f t="shared" si="5"/>
        <v>45581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Aug</v>
      </c>
      <c r="B196" s="308">
        <f t="shared" ref="B196:B259" si="7">B195+1</f>
        <v>45582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Aug</v>
      </c>
      <c r="B197" s="308">
        <f t="shared" si="7"/>
        <v>45583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Aug</v>
      </c>
      <c r="B198" s="308">
        <f t="shared" si="7"/>
        <v>45584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Aug</v>
      </c>
      <c r="B199" s="308">
        <f t="shared" si="7"/>
        <v>45585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Aug</v>
      </c>
      <c r="B200" s="308">
        <f t="shared" si="7"/>
        <v>45586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Aug</v>
      </c>
      <c r="B201" s="308">
        <f t="shared" si="7"/>
        <v>45587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Aug</v>
      </c>
      <c r="B202" s="308">
        <f t="shared" si="7"/>
        <v>45588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Aug</v>
      </c>
      <c r="B203" s="308">
        <f t="shared" si="7"/>
        <v>45589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Aug</v>
      </c>
      <c r="B204" s="308">
        <f t="shared" si="7"/>
        <v>45590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Aug</v>
      </c>
      <c r="B205" s="308">
        <f t="shared" si="7"/>
        <v>45591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Aug</v>
      </c>
      <c r="B206" s="308">
        <f t="shared" si="7"/>
        <v>45592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Aug</v>
      </c>
      <c r="B207" s="308">
        <f t="shared" si="7"/>
        <v>45593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Aug</v>
      </c>
      <c r="B208" s="308">
        <f t="shared" si="7"/>
        <v>45594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Aug</v>
      </c>
      <c r="B209" s="308">
        <f t="shared" si="7"/>
        <v>45595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Sep</v>
      </c>
      <c r="B210" s="308">
        <f t="shared" si="7"/>
        <v>45596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Sep</v>
      </c>
      <c r="B211" s="308">
        <f t="shared" si="7"/>
        <v>45597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Sep</v>
      </c>
      <c r="B212" s="308">
        <f t="shared" si="7"/>
        <v>45598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Sep</v>
      </c>
      <c r="B213" s="308">
        <f t="shared" si="7"/>
        <v>45599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Sep</v>
      </c>
      <c r="B214" s="308">
        <f t="shared" si="7"/>
        <v>45600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Sep</v>
      </c>
      <c r="B215" s="308">
        <f t="shared" si="7"/>
        <v>45601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Sep</v>
      </c>
      <c r="B216" s="321">
        <f t="shared" si="7"/>
        <v>45602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Sep</v>
      </c>
      <c r="B217" s="308">
        <f t="shared" si="7"/>
        <v>45603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Sep</v>
      </c>
      <c r="B218" s="308">
        <f t="shared" si="7"/>
        <v>45604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Sep</v>
      </c>
      <c r="B219" s="308">
        <f t="shared" si="7"/>
        <v>45605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Sep</v>
      </c>
      <c r="B220" s="308">
        <f t="shared" si="7"/>
        <v>45606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Sep</v>
      </c>
      <c r="B221" s="308">
        <f t="shared" si="7"/>
        <v>45607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Sep</v>
      </c>
      <c r="B222" s="308">
        <f t="shared" si="7"/>
        <v>45608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Sep</v>
      </c>
      <c r="B223" s="308">
        <f t="shared" si="7"/>
        <v>45609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Sep</v>
      </c>
      <c r="B224" s="308">
        <f t="shared" si="7"/>
        <v>45610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Sep</v>
      </c>
      <c r="B225" s="308">
        <f t="shared" si="7"/>
        <v>45611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Sep</v>
      </c>
      <c r="B226" s="308">
        <f t="shared" si="7"/>
        <v>45612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Sep</v>
      </c>
      <c r="B227" s="308">
        <f t="shared" si="7"/>
        <v>45613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Sep</v>
      </c>
      <c r="B228" s="308">
        <f t="shared" si="7"/>
        <v>45614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Sep</v>
      </c>
      <c r="B229" s="308">
        <f t="shared" si="7"/>
        <v>45615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Sep</v>
      </c>
      <c r="B230" s="308">
        <f t="shared" si="7"/>
        <v>45616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Sep</v>
      </c>
      <c r="B231" s="308">
        <f t="shared" si="7"/>
        <v>45617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Sep</v>
      </c>
      <c r="B232" s="308">
        <f t="shared" si="7"/>
        <v>45618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Sep</v>
      </c>
      <c r="B233" s="308">
        <f t="shared" si="7"/>
        <v>45619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Sep</v>
      </c>
      <c r="B234" s="308">
        <f t="shared" si="7"/>
        <v>45620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Sep</v>
      </c>
      <c r="B235" s="308">
        <f t="shared" si="7"/>
        <v>45621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Sep</v>
      </c>
      <c r="B236" s="308">
        <f t="shared" si="7"/>
        <v>45622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Sep</v>
      </c>
      <c r="B237" s="308">
        <f t="shared" si="7"/>
        <v>45623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Oct</v>
      </c>
      <c r="B238" s="308">
        <f t="shared" si="7"/>
        <v>45624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Oct</v>
      </c>
      <c r="B239" s="308">
        <f t="shared" si="7"/>
        <v>45625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Oct</v>
      </c>
      <c r="B240" s="308">
        <f t="shared" si="7"/>
        <v>45626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Oct</v>
      </c>
      <c r="B241" s="308">
        <f t="shared" si="7"/>
        <v>45627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Oct</v>
      </c>
      <c r="B242" s="308">
        <f t="shared" si="7"/>
        <v>45628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Oct</v>
      </c>
      <c r="B243" s="308">
        <f t="shared" si="7"/>
        <v>45629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Oct</v>
      </c>
      <c r="B244" s="308">
        <f t="shared" si="7"/>
        <v>45630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Oct</v>
      </c>
      <c r="B245" s="308">
        <f t="shared" si="7"/>
        <v>45631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Oct</v>
      </c>
      <c r="B246" s="321">
        <f t="shared" si="7"/>
        <v>45632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Oct</v>
      </c>
      <c r="B247" s="308">
        <f t="shared" si="7"/>
        <v>45633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Oct</v>
      </c>
      <c r="B248" s="308">
        <f t="shared" si="7"/>
        <v>45634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Oct</v>
      </c>
      <c r="B249" s="308">
        <f t="shared" si="7"/>
        <v>45635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Oct</v>
      </c>
      <c r="B250" s="308">
        <f t="shared" si="7"/>
        <v>45636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Oct</v>
      </c>
      <c r="B251" s="308">
        <f t="shared" si="7"/>
        <v>45637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Oct</v>
      </c>
      <c r="B252" s="308">
        <f t="shared" si="7"/>
        <v>45638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Oct</v>
      </c>
      <c r="B253" s="308">
        <f t="shared" si="7"/>
        <v>45639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Oct</v>
      </c>
      <c r="B254" s="308">
        <f t="shared" si="7"/>
        <v>45640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Oct</v>
      </c>
      <c r="B255" s="308">
        <f t="shared" si="7"/>
        <v>45641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Oct</v>
      </c>
      <c r="B256" s="308">
        <f t="shared" si="7"/>
        <v>45642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Oct</v>
      </c>
      <c r="B257" s="308">
        <f t="shared" si="7"/>
        <v>45643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Oct</v>
      </c>
      <c r="B258" s="308">
        <f t="shared" si="7"/>
        <v>45644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TEXT(DATE(YEAR(B$2),MONTH(B$2)+(D259-1)+10,1),"Mmm")</f>
        <v>Oct</v>
      </c>
      <c r="B259" s="308">
        <f t="shared" si="7"/>
        <v>45645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Oct</v>
      </c>
      <c r="B260" s="308">
        <f t="shared" ref="B260:B323" si="9">B259+1</f>
        <v>45646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Oct</v>
      </c>
      <c r="B261" s="308">
        <f t="shared" si="9"/>
        <v>45647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Oct</v>
      </c>
      <c r="B262" s="308">
        <f t="shared" si="9"/>
        <v>45648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Oct</v>
      </c>
      <c r="B263" s="308">
        <f t="shared" si="9"/>
        <v>45649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Oct</v>
      </c>
      <c r="B264" s="308">
        <f t="shared" si="9"/>
        <v>45650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Oct</v>
      </c>
      <c r="B265" s="308">
        <f t="shared" si="9"/>
        <v>45651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Oct</v>
      </c>
      <c r="B266" s="308">
        <f t="shared" si="9"/>
        <v>45652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Oct</v>
      </c>
      <c r="B267" s="308">
        <f t="shared" si="9"/>
        <v>45653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Oct</v>
      </c>
      <c r="B268" s="308">
        <f t="shared" si="9"/>
        <v>45654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Oct</v>
      </c>
      <c r="B269" s="308">
        <f t="shared" si="9"/>
        <v>45655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Oct</v>
      </c>
      <c r="B270" s="308">
        <f t="shared" si="9"/>
        <v>45656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Oct</v>
      </c>
      <c r="B271" s="308">
        <f t="shared" si="9"/>
        <v>45657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Oct</v>
      </c>
      <c r="B272" s="308">
        <f t="shared" si="9"/>
        <v>45658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Nov</v>
      </c>
      <c r="B273" s="308">
        <f t="shared" si="9"/>
        <v>45659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Nov</v>
      </c>
      <c r="B274" s="308">
        <f t="shared" si="9"/>
        <v>45660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Nov</v>
      </c>
      <c r="B275" s="308">
        <f t="shared" si="9"/>
        <v>45661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Nov</v>
      </c>
      <c r="B276" s="321">
        <f t="shared" si="9"/>
        <v>45662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Nov</v>
      </c>
      <c r="B277" s="321">
        <f t="shared" si="9"/>
        <v>45663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Nov</v>
      </c>
      <c r="B278" s="308">
        <f t="shared" si="9"/>
        <v>45664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Nov</v>
      </c>
      <c r="B279" s="308">
        <f t="shared" si="9"/>
        <v>45665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Nov</v>
      </c>
      <c r="B280" s="308">
        <f t="shared" si="9"/>
        <v>45666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Nov</v>
      </c>
      <c r="B281" s="308">
        <f t="shared" si="9"/>
        <v>45667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Nov</v>
      </c>
      <c r="B282" s="308">
        <f t="shared" si="9"/>
        <v>45668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Nov</v>
      </c>
      <c r="B283" s="308">
        <f t="shared" si="9"/>
        <v>45669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Nov</v>
      </c>
      <c r="B284" s="308">
        <f t="shared" si="9"/>
        <v>45670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Nov</v>
      </c>
      <c r="B285" s="308">
        <f t="shared" si="9"/>
        <v>45671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Nov</v>
      </c>
      <c r="B286" s="308">
        <f t="shared" si="9"/>
        <v>45672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Nov</v>
      </c>
      <c r="B287" s="308">
        <f t="shared" si="9"/>
        <v>45673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Nov</v>
      </c>
      <c r="B288" s="308">
        <f t="shared" si="9"/>
        <v>45674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Nov</v>
      </c>
      <c r="B289" s="308">
        <f t="shared" si="9"/>
        <v>45675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Nov</v>
      </c>
      <c r="B290" s="308">
        <f t="shared" si="9"/>
        <v>45676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Nov</v>
      </c>
      <c r="B291" s="308">
        <f t="shared" si="9"/>
        <v>45677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Nov</v>
      </c>
      <c r="B292" s="308">
        <f t="shared" si="9"/>
        <v>45678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Nov</v>
      </c>
      <c r="B293" s="308">
        <f t="shared" si="9"/>
        <v>45679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Nov</v>
      </c>
      <c r="B294" s="308">
        <f t="shared" si="9"/>
        <v>45680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Nov</v>
      </c>
      <c r="B295" s="308">
        <f t="shared" si="9"/>
        <v>45681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Nov</v>
      </c>
      <c r="B296" s="308">
        <f t="shared" si="9"/>
        <v>45682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Nov</v>
      </c>
      <c r="B297" s="308">
        <f t="shared" si="9"/>
        <v>45683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Nov</v>
      </c>
      <c r="B298" s="308">
        <f t="shared" si="9"/>
        <v>45684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Nov</v>
      </c>
      <c r="B299" s="308">
        <f t="shared" si="9"/>
        <v>45685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Nov</v>
      </c>
      <c r="B300" s="308">
        <f t="shared" si="9"/>
        <v>45686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Dec</v>
      </c>
      <c r="B301" s="308">
        <f t="shared" si="9"/>
        <v>45687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Dec</v>
      </c>
      <c r="B302" s="308">
        <f t="shared" si="9"/>
        <v>45688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Dec</v>
      </c>
      <c r="B303" s="308">
        <f t="shared" si="9"/>
        <v>45689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Dec</v>
      </c>
      <c r="B304" s="308">
        <f t="shared" si="9"/>
        <v>45690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Dec</v>
      </c>
      <c r="B305" s="308">
        <f t="shared" si="9"/>
        <v>45691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Dec</v>
      </c>
      <c r="B306" s="308">
        <f t="shared" si="9"/>
        <v>45692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Dec</v>
      </c>
      <c r="B307" s="308">
        <f t="shared" si="9"/>
        <v>45693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Dec</v>
      </c>
      <c r="B308" s="321">
        <f t="shared" si="9"/>
        <v>45694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Dec</v>
      </c>
      <c r="B309" s="308">
        <f t="shared" si="9"/>
        <v>45695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Dec</v>
      </c>
      <c r="B310" s="308">
        <f t="shared" si="9"/>
        <v>45696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Dec</v>
      </c>
      <c r="B311" s="308">
        <f t="shared" si="9"/>
        <v>45697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Dec</v>
      </c>
      <c r="B312" s="308">
        <f t="shared" si="9"/>
        <v>45698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Dec</v>
      </c>
      <c r="B313" s="308">
        <f t="shared" si="9"/>
        <v>45699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Dec</v>
      </c>
      <c r="B314" s="308">
        <f t="shared" si="9"/>
        <v>45700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Dec</v>
      </c>
      <c r="B315" s="308">
        <f t="shared" si="9"/>
        <v>45701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Dec</v>
      </c>
      <c r="B316" s="308">
        <f t="shared" si="9"/>
        <v>45702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Dec</v>
      </c>
      <c r="B317" s="308">
        <f t="shared" si="9"/>
        <v>45703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Dec</v>
      </c>
      <c r="B318" s="308">
        <f t="shared" si="9"/>
        <v>45704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Dec</v>
      </c>
      <c r="B319" s="308">
        <f t="shared" si="9"/>
        <v>45705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Dec</v>
      </c>
      <c r="B320" s="308">
        <f t="shared" si="9"/>
        <v>45706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Dec</v>
      </c>
      <c r="B321" s="308">
        <f t="shared" si="9"/>
        <v>45707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Dec</v>
      </c>
      <c r="B322" s="308">
        <f t="shared" si="9"/>
        <v>45708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TEXT(DATE(YEAR(B$2),MONTH(B$2)+(D323-1)+10,1),"Mmm")</f>
        <v>Dec</v>
      </c>
      <c r="B323" s="308">
        <f t="shared" si="9"/>
        <v>45709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Dec</v>
      </c>
      <c r="B324" s="308">
        <f t="shared" ref="B324:B381" si="11">B323+1</f>
        <v>45710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Dec</v>
      </c>
      <c r="B325" s="308">
        <f t="shared" si="11"/>
        <v>45711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Dec</v>
      </c>
      <c r="B326" s="308">
        <f t="shared" si="11"/>
        <v>45712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Dec</v>
      </c>
      <c r="B327" s="308">
        <f t="shared" si="11"/>
        <v>45713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Dec</v>
      </c>
      <c r="B328" s="308">
        <f t="shared" si="11"/>
        <v>45714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Jan</v>
      </c>
      <c r="B329" s="308">
        <f t="shared" si="11"/>
        <v>45715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Jan</v>
      </c>
      <c r="B330" s="308">
        <f t="shared" si="11"/>
        <v>45716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Jan</v>
      </c>
      <c r="B331" s="308">
        <f t="shared" si="11"/>
        <v>45717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Jan</v>
      </c>
      <c r="B332" s="308">
        <f t="shared" si="11"/>
        <v>45718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Jan</v>
      </c>
      <c r="B333" s="308">
        <f t="shared" si="11"/>
        <v>45719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Jan</v>
      </c>
      <c r="B334" s="308">
        <f t="shared" si="11"/>
        <v>45720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Jan</v>
      </c>
      <c r="B335" s="308">
        <f t="shared" si="11"/>
        <v>45721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Jan</v>
      </c>
      <c r="B336" s="321">
        <f t="shared" si="11"/>
        <v>45722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Jan</v>
      </c>
      <c r="B337" s="308">
        <f t="shared" si="11"/>
        <v>45723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Jan</v>
      </c>
      <c r="B338" s="308">
        <f t="shared" si="11"/>
        <v>45724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Jan</v>
      </c>
      <c r="B339" s="308">
        <f t="shared" si="11"/>
        <v>45725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Jan</v>
      </c>
      <c r="B340" s="308">
        <f t="shared" si="11"/>
        <v>45726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Jan</v>
      </c>
      <c r="B341" s="308">
        <f t="shared" si="11"/>
        <v>45727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Jan</v>
      </c>
      <c r="B342" s="308">
        <f t="shared" si="11"/>
        <v>45728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Jan</v>
      </c>
      <c r="B343" s="308">
        <f t="shared" si="11"/>
        <v>45729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Jan</v>
      </c>
      <c r="B344" s="308">
        <f t="shared" si="11"/>
        <v>45730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Jan</v>
      </c>
      <c r="B345" s="308">
        <f t="shared" si="11"/>
        <v>45731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Jan</v>
      </c>
      <c r="B346" s="308">
        <f t="shared" si="11"/>
        <v>45732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Jan</v>
      </c>
      <c r="B347" s="308">
        <f t="shared" si="11"/>
        <v>45733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Jan</v>
      </c>
      <c r="B348" s="308">
        <f t="shared" si="11"/>
        <v>45734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Jan</v>
      </c>
      <c r="B349" s="308">
        <f t="shared" si="11"/>
        <v>45735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Jan</v>
      </c>
      <c r="B350" s="308">
        <f t="shared" si="11"/>
        <v>45736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Jan</v>
      </c>
      <c r="B351" s="308">
        <f t="shared" si="11"/>
        <v>45737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Jan</v>
      </c>
      <c r="B352" s="308">
        <f t="shared" si="11"/>
        <v>45738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Jan</v>
      </c>
      <c r="B353" s="308">
        <f t="shared" si="11"/>
        <v>45739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Jan</v>
      </c>
      <c r="B354" s="308">
        <f t="shared" si="11"/>
        <v>45740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Jan</v>
      </c>
      <c r="B355" s="308">
        <f t="shared" si="11"/>
        <v>45741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Jan</v>
      </c>
      <c r="B356" s="308">
        <f t="shared" si="11"/>
        <v>45742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Jan</v>
      </c>
      <c r="B357" s="308">
        <f t="shared" si="11"/>
        <v>45743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Jan</v>
      </c>
      <c r="B358" s="308">
        <f t="shared" si="11"/>
        <v>45744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Jan</v>
      </c>
      <c r="B359" s="308">
        <f t="shared" si="11"/>
        <v>45745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Jan</v>
      </c>
      <c r="B360" s="308">
        <f t="shared" si="11"/>
        <v>45746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Jan</v>
      </c>
      <c r="B361" s="308">
        <f t="shared" si="11"/>
        <v>45747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Jan</v>
      </c>
      <c r="B362" s="308">
        <f t="shared" si="11"/>
        <v>45748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Jan</v>
      </c>
      <c r="B363" s="308">
        <f t="shared" si="11"/>
        <v>45749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Jan</v>
      </c>
      <c r="B364" s="308">
        <f t="shared" si="11"/>
        <v>45750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Jan</v>
      </c>
      <c r="B365" s="308">
        <f t="shared" si="11"/>
        <v>45751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Jan</v>
      </c>
      <c r="B366" s="308">
        <f t="shared" si="11"/>
        <v>45752</v>
      </c>
      <c r="C366" s="309">
        <v>53</v>
      </c>
      <c r="D366" s="309">
        <v>12</v>
      </c>
      <c r="E366" s="310">
        <f>B366</f>
        <v>45752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Jan</v>
      </c>
      <c r="B367" s="308">
        <f t="shared" si="11"/>
        <v>45753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Jan</v>
      </c>
      <c r="B368" s="308">
        <f t="shared" si="11"/>
        <v>45754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Jan</v>
      </c>
      <c r="B369" s="308">
        <f t="shared" si="11"/>
        <v>45755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Jan</v>
      </c>
      <c r="B370" s="308">
        <f t="shared" si="11"/>
        <v>45756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Jan</v>
      </c>
      <c r="B371" s="308">
        <f t="shared" si="11"/>
        <v>45757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Jan</v>
      </c>
      <c r="B372" s="308">
        <f t="shared" si="11"/>
        <v>45758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Jan</v>
      </c>
      <c r="B373" s="308">
        <f t="shared" si="11"/>
        <v>45759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Jan</v>
      </c>
      <c r="B374" s="308">
        <f t="shared" si="11"/>
        <v>45760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Jan</v>
      </c>
      <c r="B375" s="308">
        <f t="shared" si="11"/>
        <v>45761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Jan</v>
      </c>
      <c r="B376" s="308">
        <f t="shared" si="11"/>
        <v>45762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Jan</v>
      </c>
      <c r="B377" s="308">
        <f t="shared" si="11"/>
        <v>45763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Jan</v>
      </c>
      <c r="B378" s="308">
        <f t="shared" si="11"/>
        <v>45764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Jan</v>
      </c>
      <c r="B379" s="308">
        <f t="shared" si="11"/>
        <v>45765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Jan</v>
      </c>
      <c r="B380" s="308">
        <f t="shared" si="11"/>
        <v>45766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Jan</v>
      </c>
      <c r="B381" s="308">
        <f t="shared" si="11"/>
        <v>45767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