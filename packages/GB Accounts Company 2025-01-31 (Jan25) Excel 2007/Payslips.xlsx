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<sst xmlns="http://schemas.openxmlformats.org/spreadsheetml/2006/main" count="1383" uniqueCount="138">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</sst>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45390</v>
      </c>
      <c r="L19" s="200" t="s">
        <v>76</v>
      </c>
      <c r="M19" s="202">
        <f>K19+6</f>
        <v>45396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45397</v>
      </c>
      <c r="L29" s="200" t="s">
        <v>76</v>
      </c>
      <c r="M29" s="202">
        <f>K29+6</f>
        <v>45403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45404</v>
      </c>
      <c r="L39" s="200" t="s">
        <v>76</v>
      </c>
      <c r="M39" s="202">
        <f>K39+6</f>
        <v>45410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DATE(2024,2,1)</f>
        <v>45323</v>
      </c>
      <c r="L49" s="203" t="s">
        <v>76</v>
      </c>
      <c r="M49" s="205">
        <f>DATE(2024,2,29)</f>
        <v>45351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45411</v>
      </c>
      <c r="L9" s="203" t="s">
        <v>76</v>
      </c>
      <c r="M9" s="205">
        <f>K9+6</f>
        <v>45417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45418</v>
      </c>
      <c r="L19" s="203" t="s">
        <v>76</v>
      </c>
      <c r="M19" s="205">
        <f>K19+6</f>
        <v>45424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45425</v>
      </c>
      <c r="L29" s="203" t="s">
        <v>76</v>
      </c>
      <c r="M29" s="205">
        <f>K29+6</f>
        <v>45431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45432</v>
      </c>
      <c r="L39" s="203" t="s">
        <v>76</v>
      </c>
      <c r="M39" s="205">
        <f>K39+6</f>
        <v>45438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DATE(2024,3,1)</f>
        <v>45352</v>
      </c>
      <c r="L49" s="203" t="s">
        <v>76</v>
      </c>
      <c r="M49" s="205">
        <f>DATE(2024,3,31)</f>
        <v>45382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45439</v>
      </c>
      <c r="L9" s="203" t="s">
        <v>76</v>
      </c>
      <c r="M9" s="205">
        <f>K9+6</f>
        <v>45445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45446</v>
      </c>
      <c r="L19" s="203" t="s">
        <v>76</v>
      </c>
      <c r="M19" s="205">
        <f>K19+6</f>
        <v>45452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45453</v>
      </c>
      <c r="L29" s="203" t="s">
        <v>76</v>
      </c>
      <c r="M29" s="205">
        <f>K29+6</f>
        <v>45459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45460</v>
      </c>
      <c r="L39" s="203" t="s">
        <v>76</v>
      </c>
      <c r="M39" s="205">
        <f>K39+6</f>
        <v>45466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45467</v>
      </c>
      <c r="L49" s="203" t="s">
        <v>76</v>
      </c>
      <c r="M49" s="205">
        <f>K49+6</f>
        <v>45473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DATE(2024,4,1)</f>
        <v>45383</v>
      </c>
      <c r="L59" s="203" t="s">
        <v>76</v>
      </c>
      <c r="M59" s="205">
        <f>DATE(2024,4,30)</f>
        <v>45412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DATE(2024,5,1)</f>
        <v>45413</v>
      </c>
      <c r="L49" s="203" t="s">
        <v>76</v>
      </c>
      <c r="M49" s="205">
        <f>DATE(2024,5,31)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DATE(2024,6,1)</f>
        <v>45444</v>
      </c>
      <c r="L49" s="203" t="s">
        <v>76</v>
      </c>
      <c r="M49" s="205">
        <f>DATE(2024,6,30)</f>
        <v>45473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DATE(2024,7,1)</f>
        <v>45474</v>
      </c>
      <c r="L59" s="203" t="s">
        <v>76</v>
      </c>
      <c r="M59" s="205">
        <f>DATE(2024,7,31)</f>
        <v>45504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DATE(2024,8,1)</f>
        <v>45505</v>
      </c>
      <c r="L49" s="203" t="s">
        <v>76</v>
      </c>
      <c r="M49" s="205">
        <f>DATE(2024,8,31)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DATE(2024,9,1)</f>
        <v>45536</v>
      </c>
      <c r="L49" s="203" t="s">
        <v>76</v>
      </c>
      <c r="M49" s="205">
        <f>DATE(2024,9,30)</f>
        <v>45565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DATE(2024,10,1)</f>
        <v>45566</v>
      </c>
      <c r="L59" s="203" t="s">
        <v>76</v>
      </c>
      <c r="M59" s="205">
        <f>DATE(2024,10,31)</f>
        <v>45596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DATE(2024,11,1)</f>
        <v>45597</v>
      </c>
      <c r="L49" s="203" t="s">
        <v>76</v>
      </c>
      <c r="M49" s="205">
        <f>DATE(2024,11,30)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DATE(2024,12,1)</f>
        <v>45627</v>
      </c>
      <c r="L49" s="203" t="s">
        <v>76</v>
      </c>
      <c r="M49" s="205">
        <f>DATE(2024,12,31)</f>
        <v>45657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DATE(2025,1,1)</f>
        <v>45658</v>
      </c>
      <c r="L69" s="203" t="s">
        <v>76</v>
      </c>
      <c r="M69" s="205">
        <f>DATE(2025,1,31)</f>
        <v>45688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45389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DATE(2024,4,30)</f>
        <v>45412</v>
      </c>
      <c r="C4" s="229">
        <f>DATE(2024,5,19)</f>
        <v>45431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DATE(2024,5,31)</f>
        <v>45443</v>
      </c>
      <c r="C5" s="229">
        <f>DATE(2024,6,19)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DATE(2024,6,30)</f>
        <v>45473</v>
      </c>
      <c r="C6" s="229">
        <f>DATE(2024,7,19)</f>
        <v>45492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DATE(2024,7,31)</f>
        <v>45504</v>
      </c>
      <c r="C7" s="229">
        <f>DATE(2024,8,19)</f>
        <v>45523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DATE(2024,8,31)</f>
        <v>45535</v>
      </c>
      <c r="C8" s="229">
        <f>DATE(2024,9,19)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DATE(2024,9,30)</f>
        <v>45565</v>
      </c>
      <c r="C9" s="229">
        <f>DATE(2024,10,19)</f>
        <v>45584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DATE(2024,10,31)</f>
        <v>45596</v>
      </c>
      <c r="C10" s="229">
        <f>DATE(2024,11,19)</f>
        <v>45615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DATE(2024,11,30)</f>
        <v>45626</v>
      </c>
      <c r="C11" s="229">
        <f>DATE(2024,12,19)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DATE(2024,12,31)</f>
        <v>45657</v>
      </c>
      <c r="C12" s="229">
        <f>DATE(2025,1,19)</f>
        <v>45676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DATE(2025,1,31)</f>
        <v>45688</v>
      </c>
      <c r="C13" s="229">
        <f>DATE(2025,2,19)</f>
        <v>45707</v>
      </c>
      <c r="D13" s="227">
        <f>Jan!T1+Jan!O1</f>
        <v>0</v>
      </c>
      <c r="E13" s="228">
        <f>Jan!N1</f>
        <v>0</v>
      </c>
      <c r="F13" s="228">
        <f>Jan!AD80+Jan!AE80+Jan!AF80+Jan!AG80</f>
        <v>0</v>
      </c>
      <c r="G13" s="228">
        <f>Jan!AE82+Jan!AF82+Jan!AG82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DATE(2025,2,28)</f>
        <v>45716</v>
      </c>
      <c r="C14" s="229">
        <f>DATE(2025,3,19)</f>
        <v>45735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DATE(2025,3,31)</f>
        <v>45747</v>
      </c>
      <c r="C15" s="229">
        <f>DATE(2025,4,19)</f>
        <v>45766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