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<sst xmlns="http://schemas.openxmlformats.org/spreadsheetml/2006/main" count="1383" uniqueCount="138">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</sst>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9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45448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45474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45500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45526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45390</v>
      </c>
      <c r="L19" s="200" t="s">
        <v>76</v>
      </c>
      <c r="M19" s="202">
        <f>K19+6</f>
        <v>45396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45397</v>
      </c>
      <c r="L29" s="200" t="s">
        <v>76</v>
      </c>
      <c r="M29" s="202">
        <f>K29+6</f>
        <v>45403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45404</v>
      </c>
      <c r="L39" s="200" t="s">
        <v>76</v>
      </c>
      <c r="M39" s="202">
        <f>K39+6</f>
        <v>45410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DATE(2024,4,6)</f>
        <v>45388</v>
      </c>
      <c r="L49" s="203" t="s">
        <v>76</v>
      </c>
      <c r="M49" s="205">
        <f>DATE(2024,4,30)</f>
        <v>45412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45411</v>
      </c>
      <c r="L9" s="203" t="s">
        <v>76</v>
      </c>
      <c r="M9" s="205">
        <f>K9+6</f>
        <v>45417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45418</v>
      </c>
      <c r="L19" s="203" t="s">
        <v>76</v>
      </c>
      <c r="M19" s="205">
        <f>K19+6</f>
        <v>45424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45425</v>
      </c>
      <c r="L29" s="203" t="s">
        <v>76</v>
      </c>
      <c r="M29" s="205">
        <f>K29+6</f>
        <v>45431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45432</v>
      </c>
      <c r="L39" s="203" t="s">
        <v>76</v>
      </c>
      <c r="M39" s="205">
        <f>K39+6</f>
        <v>45438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DATE(2024,5,1)</f>
        <v>45413</v>
      </c>
      <c r="L49" s="203" t="s">
        <v>76</v>
      </c>
      <c r="M49" s="205">
        <f>DATE(2024,5,31)</f>
        <v>45443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45439</v>
      </c>
      <c r="L9" s="203" t="s">
        <v>76</v>
      </c>
      <c r="M9" s="205">
        <f>K9+6</f>
        <v>45445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45446</v>
      </c>
      <c r="L19" s="203" t="s">
        <v>76</v>
      </c>
      <c r="M19" s="205">
        <f>K19+6</f>
        <v>45452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45453</v>
      </c>
      <c r="L29" s="203" t="s">
        <v>76</v>
      </c>
      <c r="M29" s="205">
        <f>K29+6</f>
        <v>45459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45460</v>
      </c>
      <c r="L39" s="203" t="s">
        <v>76</v>
      </c>
      <c r="M39" s="205">
        <f>K39+6</f>
        <v>45466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45467</v>
      </c>
      <c r="L49" s="203" t="s">
        <v>76</v>
      </c>
      <c r="M49" s="205">
        <f>K49+6</f>
        <v>45473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DATE(2024,6,1)</f>
        <v>45444</v>
      </c>
      <c r="L59" s="203" t="s">
        <v>76</v>
      </c>
      <c r="M59" s="205">
        <f>DATE(2024,6,30)</f>
        <v>45473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45477</v>
      </c>
      <c r="L9" s="203" t="s">
        <v>76</v>
      </c>
      <c r="M9" s="205">
        <f>K9+6</f>
        <v>45483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45484</v>
      </c>
      <c r="L19" s="203" t="s">
        <v>76</v>
      </c>
      <c r="M19" s="205">
        <f>K19+6</f>
        <v>45490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45491</v>
      </c>
      <c r="L29" s="203" t="s">
        <v>76</v>
      </c>
      <c r="M29" s="205">
        <f>K29+6</f>
        <v>45497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45498</v>
      </c>
      <c r="L39" s="203" t="s">
        <v>76</v>
      </c>
      <c r="M39" s="205">
        <f>K39+6</f>
        <v>45504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DATE(2024,7,1)</f>
        <v>45474</v>
      </c>
      <c r="L49" s="203" t="s">
        <v>76</v>
      </c>
      <c r="M49" s="205">
        <f>DATE(2024,7,31)</f>
        <v>45504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45505</v>
      </c>
      <c r="L9" s="203" t="s">
        <v>76</v>
      </c>
      <c r="M9" s="205">
        <f>K9+6</f>
        <v>45511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45512</v>
      </c>
      <c r="L19" s="203" t="s">
        <v>76</v>
      </c>
      <c r="M19" s="205">
        <f>K19+6</f>
        <v>45518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45519</v>
      </c>
      <c r="L29" s="203" t="s">
        <v>76</v>
      </c>
      <c r="M29" s="205">
        <f>K29+6</f>
        <v>45525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45526</v>
      </c>
      <c r="L39" s="203" t="s">
        <v>76</v>
      </c>
      <c r="M39" s="205">
        <f>K39+6</f>
        <v>45532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DATE(2024,8,1)</f>
        <v>45505</v>
      </c>
      <c r="L49" s="203" t="s">
        <v>76</v>
      </c>
      <c r="M49" s="205">
        <f>DATE(2024,8,31)</f>
        <v>45535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45533</v>
      </c>
      <c r="L9" s="203" t="s">
        <v>76</v>
      </c>
      <c r="M9" s="205">
        <f>K9+6</f>
        <v>45539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45540</v>
      </c>
      <c r="L19" s="203" t="s">
        <v>76</v>
      </c>
      <c r="M19" s="205">
        <f>K19+6</f>
        <v>45546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45547</v>
      </c>
      <c r="L29" s="203" t="s">
        <v>76</v>
      </c>
      <c r="M29" s="205">
        <f>K29+6</f>
        <v>45553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45554</v>
      </c>
      <c r="L39" s="203" t="s">
        <v>76</v>
      </c>
      <c r="M39" s="205">
        <f>K39+6</f>
        <v>45560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45561</v>
      </c>
      <c r="L49" s="203" t="s">
        <v>76</v>
      </c>
      <c r="M49" s="205">
        <f>K49+6</f>
        <v>45567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DATE(2024,9,1)</f>
        <v>45536</v>
      </c>
      <c r="L59" s="203" t="s">
        <v>76</v>
      </c>
      <c r="M59" s="205">
        <f>DATE(2024,9,30)</f>
        <v>45565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45568</v>
      </c>
      <c r="L9" s="203" t="s">
        <v>76</v>
      </c>
      <c r="M9" s="205">
        <f>Admin!B188</f>
        <v>45574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45575</v>
      </c>
      <c r="L19" s="203" t="s">
        <v>76</v>
      </c>
      <c r="M19" s="205">
        <f>K19+6</f>
        <v>45581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45582</v>
      </c>
      <c r="L29" s="203" t="s">
        <v>76</v>
      </c>
      <c r="M29" s="205">
        <f>K29+6</f>
        <v>45588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45589</v>
      </c>
      <c r="L39" s="203" t="s">
        <v>76</v>
      </c>
      <c r="M39" s="205">
        <f>K39+6</f>
        <v>45595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DATE(2024,10,1)</f>
        <v>45566</v>
      </c>
      <c r="L49" s="203" t="s">
        <v>76</v>
      </c>
      <c r="M49" s="205">
        <f>DATE(2024,10,31)</f>
        <v>45596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45596</v>
      </c>
      <c r="L9" s="203" t="s">
        <v>76</v>
      </c>
      <c r="M9" s="205">
        <f>K9+6</f>
        <v>45602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45603</v>
      </c>
      <c r="L19" s="203" t="s">
        <v>76</v>
      </c>
      <c r="M19" s="205">
        <f>K19+6</f>
        <v>45609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45610</v>
      </c>
      <c r="L29" s="203" t="s">
        <v>76</v>
      </c>
      <c r="M29" s="205">
        <f>K29+6</f>
        <v>45616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45617</v>
      </c>
      <c r="L39" s="203" t="s">
        <v>76</v>
      </c>
      <c r="M39" s="205">
        <f>K39+6</f>
        <v>45623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DATE(2024,11,1)</f>
        <v>45597</v>
      </c>
      <c r="L49" s="203" t="s">
        <v>76</v>
      </c>
      <c r="M49" s="205">
        <f>DATE(2024,11,30)</f>
        <v>45626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45624</v>
      </c>
      <c r="L9" s="203" t="s">
        <v>76</v>
      </c>
      <c r="M9" s="205">
        <f>K9+6</f>
        <v>45630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45631</v>
      </c>
      <c r="L19" s="203" t="s">
        <v>76</v>
      </c>
      <c r="M19" s="205">
        <f>K19+6</f>
        <v>45637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45638</v>
      </c>
      <c r="L29" s="203" t="s">
        <v>76</v>
      </c>
      <c r="M29" s="205">
        <f>K29+6</f>
        <v>45644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45645</v>
      </c>
      <c r="L39" s="203" t="s">
        <v>76</v>
      </c>
      <c r="M39" s="205">
        <f>K39+6</f>
        <v>45651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45652</v>
      </c>
      <c r="L49" s="203" t="s">
        <v>76</v>
      </c>
      <c r="M49" s="205">
        <f>K49+6</f>
        <v>45658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DATE(2024,12,1)</f>
        <v>45627</v>
      </c>
      <c r="L59" s="203" t="s">
        <v>76</v>
      </c>
      <c r="M59" s="205">
        <f>DATE(2024,12,31)</f>
        <v>45657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45659</v>
      </c>
      <c r="L9" s="203" t="s">
        <v>76</v>
      </c>
      <c r="M9" s="205">
        <f>K9+6</f>
        <v>45665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45666</v>
      </c>
      <c r="L19" s="203" t="s">
        <v>76</v>
      </c>
      <c r="M19" s="205">
        <f>K19+6</f>
        <v>45672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45673</v>
      </c>
      <c r="L29" s="203" t="s">
        <v>76</v>
      </c>
      <c r="M29" s="205">
        <f>K29+6</f>
        <v>45679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45680</v>
      </c>
      <c r="L39" s="203" t="s">
        <v>76</v>
      </c>
      <c r="M39" s="205">
        <f>K39+6</f>
        <v>45686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DATE(2025,1,1)</f>
        <v>45658</v>
      </c>
      <c r="L49" s="203" t="s">
        <v>76</v>
      </c>
      <c r="M49" s="205">
        <f>DATE(2025,1,31)</f>
        <v>45688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45687</v>
      </c>
      <c r="L9" s="203" t="s">
        <v>76</v>
      </c>
      <c r="M9" s="205">
        <f>K9+6</f>
        <v>45693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45694</v>
      </c>
      <c r="L19" s="203" t="s">
        <v>76</v>
      </c>
      <c r="M19" s="205">
        <f>K19+6</f>
        <v>45700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45701</v>
      </c>
      <c r="L29" s="203" t="s">
        <v>76</v>
      </c>
      <c r="M29" s="205">
        <f>K29+6</f>
        <v>45707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45708</v>
      </c>
      <c r="L39" s="203" t="s">
        <v>76</v>
      </c>
      <c r="M39" s="205">
        <f>K39+6</f>
        <v>45714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DATE(2025,2,1)</f>
        <v>45689</v>
      </c>
      <c r="L49" s="203" t="s">
        <v>76</v>
      </c>
      <c r="M49" s="205">
        <f>DATE(2025,2,28)</f>
        <v>45716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45715</v>
      </c>
      <c r="L9" s="203" t="s">
        <v>76</v>
      </c>
      <c r="M9" s="205">
        <f>K9+6</f>
        <v>45721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45722</v>
      </c>
      <c r="L19" s="203" t="s">
        <v>76</v>
      </c>
      <c r="M19" s="205">
        <f>K19+6</f>
        <v>45728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45729</v>
      </c>
      <c r="L29" s="203" t="s">
        <v>76</v>
      </c>
      <c r="M29" s="205">
        <f>K29+6</f>
        <v>45735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45736</v>
      </c>
      <c r="L39" s="203" t="s">
        <v>76</v>
      </c>
      <c r="M39" s="205">
        <f>K39+6</f>
        <v>45742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45743</v>
      </c>
      <c r="L49" s="203" t="s">
        <v>76</v>
      </c>
      <c r="M49" s="205">
        <f>K49+6</f>
        <v>45749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45750</v>
      </c>
      <c r="L59" s="203" t="s">
        <v>76</v>
      </c>
      <c r="M59" s="205">
        <f>K59+4</f>
        <v>45754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DATE(2025,3,1)</f>
        <v>45717</v>
      </c>
      <c r="L69" s="203" t="s">
        <v>76</v>
      </c>
      <c r="M69" s="205">
        <f>DATE(2025,3,31)</f>
        <v>45747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INDIRECT(ADDRESS($H$4,2,1,TRUE,$H$3))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INDIRECT(ADDRESS($H$4+1,5,1,TRUE,$H$3))</f>
        <v>1</v>
      </c>
      <c r="J10" s="467" t="str">
        <f ca="1">IF(M8=" "," ",INDIRECT(ADDRESS($H$4+2+C10,4,1,TRUE,$H$3)))</f>
        <v xml:space="preserve"> </v>
      </c>
      <c r="K10" s="46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75" t="str">
        <f ca="1">IF(M8=" "," ",INDIRECT(ADDRESS($H$4+2+C10,16,1,TRUE,$H$3)))</f>
        <v xml:space="preserve"> </v>
      </c>
      <c r="K14" s="475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75" t="str">
        <f ca="1">IF(M8=" "," ",INDIRECT(ADDRESS($H$4+2+C10,25,1,TRUE,$H$3)))</f>
        <v xml:space="preserve"> </v>
      </c>
      <c r="K16" s="475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",INDIRECT(ADDRESS($H$4+2+C24,4,1,TRUE,$H$3)))</f>
        <v xml:space="preserve"> </v>
      </c>
      <c r="K24" s="46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75" t="str">
        <f ca="1">IF(M22=" "," ",INDIRECT(ADDRESS($H$4+2+C24,16,1,TRUE,$H$3)))</f>
        <v xml:space="preserve"> </v>
      </c>
      <c r="K28" s="475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75" t="str">
        <f ca="1">IF(M22=" "," ",INDIRECT(ADDRESS($H$4+2+C24,25,1,TRUE,$H$3)))</f>
        <v xml:space="preserve"> </v>
      </c>
      <c r="K30" s="475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",INDIRECT(ADDRESS($H$4+2+C39,4,1,TRUE,$H$3)))</f>
        <v xml:space="preserve"> </v>
      </c>
      <c r="K39" s="46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75" t="str">
        <f ca="1">IF(M37=" "," ",INDIRECT(ADDRESS($H$4+2+C39,16,1,TRUE,$H$3)))</f>
        <v xml:space="preserve"> </v>
      </c>
      <c r="K43" s="475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75" t="str">
        <f ca="1">IF(M37=" "," ",INDIRECT(ADDRESS($H$4+2+C39,25,1,TRUE,$H$3)))</f>
        <v xml:space="preserve"> </v>
      </c>
      <c r="K45" s="475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",INDIRECT(ADDRESS($H$4+2+C53,4,1,TRUE,$H$3)))</f>
        <v xml:space="preserve"> </v>
      </c>
      <c r="K53" s="46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75" t="str">
        <f ca="1">IF(M51=" "," ",INDIRECT(ADDRESS($H$4+2+C53,16,1,TRUE,$H$3)))</f>
        <v xml:space="preserve"> </v>
      </c>
      <c r="K57" s="475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75" t="str">
        <f ca="1">IF(M51=" "," ",INDIRECT(ADDRESS($H$4+2+C53,25,1,TRUE,$H$3)))</f>
        <v xml:space="preserve"> </v>
      </c>
      <c r="K59" s="475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",INDIRECT(ADDRESS($H$4+2+C68,4,1,TRUE,$H$3)))</f>
        <v xml:space="preserve"> </v>
      </c>
      <c r="K68" s="46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75" t="str">
        <f ca="1">IF(M66=" "," ",INDIRECT(ADDRESS($H$4+2+C68,16,1,TRUE,$H$3)))</f>
        <v xml:space="preserve"> </v>
      </c>
      <c r="K72" s="475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75" t="str">
        <f ca="1">IF(M66=" "," ",INDIRECT(ADDRESS($H$4+2+C68,25,1,TRUE,$H$3)))</f>
        <v xml:space="preserve"> </v>
      </c>
      <c r="K74" s="475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2025-04-03T22:50:03Z</dcterms:modified>
  <dc:description>Copyright (C) 2006-2026 DIY Accounting Limited. Licensed under the PolyForm Internal Use License 1.0.0 with an additional grant for accountants.</dc:description>
</cp:coreProperties>
</file>