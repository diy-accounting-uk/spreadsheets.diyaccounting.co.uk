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<sst xmlns="http://schemas.openxmlformats.org/spreadsheetml/2006/main" count="818" uniqueCount="442">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</sst>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  <cell r="AE1">
            <v>0</v>
          </cell>
          <cell r="AF1">
            <v>0</v>
          </cell>
          <cell r="AH1">
            <v>0</v>
          </cell>
          <cell r="AI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77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/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7" spans="1:23" x14ac:dyDescent="0.15">
      <c r="A57" s="181"/>
      <c r="B57" s="181"/>
      <c r="C57" s="208" t="inlineStr">
        <is>
          <t>ENTER: Overlap profit brought forward from earlier years</t>
        </is>
      </c>
      <c r="D57" s="181"/>
      <c r="E57" s="181"/>
      <c r="F57" s="181"/>
      <c r="G57" s="181"/>
      <c r="H57" s="181"/>
      <c r="I57" s="181"/>
      <c r="J57" s="181"/>
      <c r="K57" s="181"/>
      <c r="L57" s="181"/>
      <c r="M57" s="181"/>
      <c r="N57" s="208" t="inlineStr">
        <is>
          <t>ENTER: Transition profit not yet treated as arising at the start of this tax year</t>
        </is>
      </c>
      <c r="O57" s="182"/>
      <c r="P57" s="182"/>
      <c r="Q57" s="182"/>
      <c r="R57" s="182"/>
      <c r="S57" s="182"/>
      <c r="T57" s="182"/>
      <c r="U57" s="182"/>
      <c r="V57" s="182"/>
      <c r="W57" s="197"/>
    </row>
    <row r="58" spans="1:23" ht="12" customHeight="1" x14ac:dyDescent="0.15">
      <c r="A58" s="182"/>
      <c r="B58" s="181"/>
      <c r="C58" s="201" t="inlineStr">
        <is>
          <t> - box 69; the 2023-24 return uses all of it</t>
        </is>
      </c>
      <c r="D58" s="181"/>
      <c r="E58" s="181"/>
      <c r="F58" s="181"/>
      <c r="G58" s="181"/>
      <c r="H58" s="181"/>
      <c r="I58" s="181"/>
      <c r="J58" s="181"/>
      <c r="K58" s="181"/>
      <c r="L58" s="182"/>
      <c r="M58" s="181"/>
      <c r="N58" s="201" t="inlineStr">
        <is>
          <t> - your 2023-24 transition profit less every amount already charged</t>
        </is>
      </c>
      <c r="O58" s="182"/>
      <c r="P58" s="182"/>
      <c r="Q58" s="182"/>
      <c r="R58" s="182"/>
      <c r="S58" s="182"/>
      <c r="T58" s="182"/>
      <c r="U58" s="182"/>
      <c r="V58" s="182"/>
      <c r="W58" s="197"/>
    </row>
    <row r="59" spans="1:23" ht="15" customHeight="1" x14ac:dyDescent="0.15">
      <c r="A59" s="181"/>
      <c r="B59" s="181"/>
      <c r="C59" s="209" t="s">
        <v>51</v>
      </c>
      <c r="D59" s="328"/>
      <c r="E59" s="329"/>
      <c r="F59" s="330"/>
      <c r="G59" s="210" t="s">
        <v>178</v>
      </c>
      <c r="H59" s="211">
        <v>0</v>
      </c>
      <c r="I59" s="211">
        <v>0</v>
      </c>
      <c r="J59" s="181"/>
      <c r="K59" s="181"/>
      <c r="L59" s="181"/>
      <c r="M59" s="181"/>
      <c r="N59" s="209" t="s">
        <v>51</v>
      </c>
      <c r="O59" s="328"/>
      <c r="P59" s="331"/>
      <c r="Q59" s="332"/>
      <c r="R59" s="210" t="s">
        <v>178</v>
      </c>
      <c r="S59" s="211">
        <v>0</v>
      </c>
      <c r="T59" s="211">
        <v>0</v>
      </c>
      <c r="U59" s="181"/>
      <c r="V59" s="181"/>
      <c r="W59" s="197"/>
    </row>
    <row r="60" spans="1:23" ht="8" customHeight="1" x14ac:dyDescent="0.15">
      <c r="A60" s="181"/>
      <c r="B60" s="181"/>
      <c r="C60" s="181"/>
      <c r="D60" s="181"/>
      <c r="E60" s="181"/>
      <c r="F60" s="181"/>
      <c r="G60" s="181"/>
      <c r="H60" s="181"/>
      <c r="I60" s="181"/>
      <c r="J60" s="181"/>
      <c r="K60" s="181"/>
      <c r="L60" s="181"/>
      <c r="M60" s="181"/>
      <c r="N60" s="198"/>
      <c r="O60" s="198"/>
      <c r="P60" s="198"/>
      <c r="Q60" s="198"/>
      <c r="R60" s="181"/>
      <c r="S60" s="181"/>
      <c r="T60" s="181"/>
      <c r="U60" s="181"/>
      <c r="V60" s="181"/>
      <c r="W60" s="197"/>
    </row>
    <row r="61" spans="1:23" ht="12" customHeight="1" x14ac:dyDescent="0.15">
      <c r="A61" s="182"/>
      <c r="B61" s="181"/>
      <c r="C61" s="195" t="inlineStr">
        <is>
          <t>Overlap relief used this year</t>
        </is>
      </c>
      <c r="D61" s="181"/>
      <c r="E61" s="181"/>
      <c r="F61" s="181"/>
      <c r="G61" s="181"/>
      <c r="H61" s="181"/>
      <c r="I61" s="181"/>
      <c r="J61" s="181"/>
      <c r="K61" s="181"/>
      <c r="L61" s="182"/>
      <c r="M61" s="181"/>
      <c r="N61" s="195" t="inlineStr">
        <is>
          <t>Transition profit treated as arising this year, before any election</t>
        </is>
      </c>
      <c r="O61" s="182"/>
      <c r="P61" s="182"/>
      <c r="Q61" s="182"/>
      <c r="R61" s="182"/>
      <c r="S61" s="182"/>
      <c r="T61" s="182"/>
      <c r="U61" s="182"/>
      <c r="V61" s="182"/>
      <c r="W61" s="197"/>
    </row>
    <row r="62" spans="1:23" ht="12" customHeight="1" x14ac:dyDescent="0.15">
      <c r="A62" s="182"/>
      <c r="B62" s="181"/>
      <c r="C62" s="216" t="s">
        <v>181</v>
      </c>
      <c r="D62" s="181"/>
      <c r="E62" s="181"/>
      <c r="F62" s="181"/>
      <c r="G62" s="181"/>
      <c r="H62" s="181"/>
      <c r="I62" s="181"/>
      <c r="J62" s="181"/>
      <c r="K62" s="181"/>
      <c r="L62" s="182"/>
      <c r="M62" s="181"/>
      <c r="N62" s="216" t="s">
        <v>181</v>
      </c>
      <c r="O62" s="182"/>
      <c r="P62" s="182"/>
      <c r="Q62" s="182"/>
      <c r="R62" s="182"/>
      <c r="S62" s="182"/>
      <c r="T62" s="182"/>
      <c r="U62" s="182"/>
      <c r="V62" s="182"/>
      <c r="W62" s="197"/>
    </row>
    <row r="63" spans="1:23" ht="4" customHeight="1" x14ac:dyDescent="0.15">
      <c r="A63" s="181"/>
      <c r="B63" s="181"/>
      <c r="C63" s="181"/>
      <c r="D63" s="181"/>
      <c r="E63" s="181"/>
      <c r="F63" s="181"/>
      <c r="G63" s="181"/>
      <c r="H63" s="181"/>
      <c r="I63" s="181"/>
      <c r="J63" s="181"/>
      <c r="K63" s="181"/>
      <c r="L63" s="181"/>
      <c r="M63" s="181"/>
      <c r="N63" s="198"/>
      <c r="O63" s="198"/>
      <c r="P63" s="198"/>
      <c r="Q63" s="198"/>
      <c r="R63" s="181"/>
      <c r="S63" s="181"/>
      <c r="T63" s="181"/>
      <c r="U63" s="181"/>
      <c r="V63" s="181"/>
      <c r="W63" s="197"/>
    </row>
    <row r="64" spans="1:23" ht="15" customHeight="1" x14ac:dyDescent="0.15">
      <c r="A64" s="181"/>
      <c r="B64" s="181"/>
      <c r="C64" s="209" t="s">
        <v>51</v>
      </c>
      <c r="D64" s="324">
        <f>IF(YEAR(Admin!$B$17)=2024,D59,0)</f>
      </c>
      <c r="E64" s="325"/>
      <c r="F64" s="326"/>
      <c r="G64" s="210" t="s">
        <v>178</v>
      </c>
      <c r="H64" s="211">
        <v>0</v>
      </c>
      <c r="I64" s="211">
        <v>0</v>
      </c>
      <c r="J64" s="181"/>
      <c r="K64" s="181"/>
      <c r="L64" s="181"/>
      <c r="M64" s="181"/>
      <c r="N64" s="209" t="s">
        <v>51</v>
      </c>
      <c r="O64" s="324">
        <f>IF(YEAR(Admin!$B$17)&lt;2024,0,O59/MAX(1,2029-YEAR(Admin!$B$17)))</f>
      </c>
      <c r="P64" s="325"/>
      <c r="Q64" s="326"/>
      <c r="R64" s="210" t="s">
        <v>178</v>
      </c>
      <c r="S64" s="211">
        <v>0</v>
      </c>
      <c r="T64" s="211">
        <v>0</v>
      </c>
      <c r="U64" s="181"/>
      <c r="V64" s="181"/>
      <c r="W64" s="197"/>
    </row>
    <row r="65" spans="1:23" ht="8" customHeight="1" x14ac:dyDescent="0.15">
      <c r="A65" s="181"/>
      <c r="B65" s="181"/>
      <c r="C65" s="181"/>
      <c r="D65" s="181"/>
      <c r="E65" s="181"/>
      <c r="F65" s="181"/>
      <c r="G65" s="181"/>
      <c r="H65" s="181"/>
      <c r="I65" s="181"/>
      <c r="J65" s="181"/>
      <c r="K65" s="181"/>
      <c r="L65" s="181"/>
      <c r="M65" s="181"/>
      <c r="N65" s="198"/>
      <c r="O65" s="198"/>
      <c r="P65" s="198"/>
      <c r="Q65" s="198"/>
      <c r="R65" s="181"/>
      <c r="S65" s="181"/>
      <c r="T65" s="181"/>
      <c r="U65" s="181"/>
      <c r="V65" s="181"/>
      <c r="W65" s="197"/>
    </row>
    <row r="66" spans="1:23" ht="12" customHeight="1" x14ac:dyDescent="0.15">
      <c r="A66" s="182"/>
      <c r="B66" s="181"/>
      <c r="C66" s="195" t="inlineStr">
        <is>
          <t>Overlap profit carried forward</t>
        </is>
      </c>
      <c r="D66" s="181"/>
      <c r="E66" s="181"/>
      <c r="F66" s="181"/>
      <c r="G66" s="181"/>
      <c r="H66" s="181"/>
      <c r="I66" s="181"/>
      <c r="J66" s="181"/>
      <c r="K66" s="181"/>
      <c r="L66" s="182"/>
      <c r="M66" s="181"/>
      <c r="N66" s="195" t="inlineStr">
        <is>
          <t>ENTER: Additional transition profit you elect to treat as arising this year</t>
        </is>
      </c>
      <c r="O66" s="182"/>
      <c r="P66" s="182"/>
      <c r="Q66" s="182"/>
      <c r="R66" s="182"/>
      <c r="S66" s="182"/>
      <c r="T66" s="182"/>
      <c r="U66" s="182"/>
      <c r="V66" s="182"/>
      <c r="W66" s="197"/>
    </row>
    <row r="67" spans="1:23" ht="12" customHeight="1" x14ac:dyDescent="0.15">
      <c r="A67" s="182"/>
      <c r="B67" s="181"/>
      <c r="C67" s="216" t="s">
        <v>181</v>
      </c>
      <c r="D67" s="181"/>
      <c r="E67" s="181"/>
      <c r="F67" s="181"/>
      <c r="G67" s="181"/>
      <c r="H67" s="181"/>
      <c r="I67" s="181"/>
      <c r="J67" s="181"/>
      <c r="K67" s="181"/>
      <c r="L67" s="182"/>
      <c r="M67" s="181"/>
      <c r="N67" s="201" t="inlineStr">
        <is>
          <t> - the election itself goes in box 103</t>
        </is>
      </c>
      <c r="O67" s="182"/>
      <c r="P67" s="182"/>
      <c r="Q67" s="182"/>
      <c r="R67" s="182"/>
      <c r="S67" s="182"/>
      <c r="T67" s="182"/>
      <c r="U67" s="182"/>
      <c r="V67" s="182"/>
      <c r="W67" s="197"/>
    </row>
    <row r="68" spans="1:23" ht="4" customHeight="1" x14ac:dyDescent="0.15">
      <c r="A68" s="181"/>
      <c r="B68" s="181"/>
      <c r="C68" s="181"/>
      <c r="D68" s="181"/>
      <c r="E68" s="181"/>
      <c r="F68" s="181"/>
      <c r="G68" s="181"/>
      <c r="H68" s="181"/>
      <c r="I68" s="181"/>
      <c r="J68" s="181"/>
      <c r="K68" s="181"/>
      <c r="L68" s="181"/>
      <c r="M68" s="181"/>
      <c r="N68" s="198"/>
      <c r="O68" s="198"/>
      <c r="P68" s="198"/>
      <c r="Q68" s="198"/>
      <c r="R68" s="181"/>
      <c r="S68" s="181"/>
      <c r="T68" s="181"/>
      <c r="U68" s="181"/>
      <c r="V68" s="181"/>
      <c r="W68" s="197"/>
    </row>
    <row r="69" spans="1:23" ht="15" customHeight="1" x14ac:dyDescent="0.15">
      <c r="A69" s="181"/>
      <c r="B69" s="181"/>
      <c r="C69" s="209" t="s">
        <v>51</v>
      </c>
      <c r="D69" s="324">
        <f>D59-D64</f>
      </c>
      <c r="E69" s="325"/>
      <c r="F69" s="326"/>
      <c r="G69" s="210" t="s">
        <v>178</v>
      </c>
      <c r="H69" s="211">
        <v>0</v>
      </c>
      <c r="I69" s="211">
        <v>0</v>
      </c>
      <c r="J69" s="181"/>
      <c r="K69" s="181"/>
      <c r="L69" s="181"/>
      <c r="M69" s="181"/>
      <c r="N69" s="209" t="s">
        <v>51</v>
      </c>
      <c r="O69" s="328"/>
      <c r="P69" s="331"/>
      <c r="Q69" s="332"/>
      <c r="R69" s="210" t="s">
        <v>178</v>
      </c>
      <c r="S69" s="211">
        <v>0</v>
      </c>
      <c r="T69" s="211">
        <v>0</v>
      </c>
      <c r="U69" s="181"/>
      <c r="V69" s="181"/>
      <c r="W69" s="197"/>
    </row>
    <row r="70" spans="1:23" ht="8" customHeight="1" x14ac:dyDescent="0.15">
      <c r="A70" s="181"/>
      <c r="B70" s="181"/>
      <c r="C70" s="181"/>
      <c r="D70" s="181"/>
      <c r="E70" s="181"/>
      <c r="F70" s="181"/>
      <c r="G70" s="181"/>
      <c r="H70" s="181"/>
      <c r="I70" s="181"/>
      <c r="J70" s="181"/>
      <c r="K70" s="181"/>
      <c r="L70" s="181"/>
      <c r="M70" s="181"/>
      <c r="N70" s="198"/>
      <c r="O70" s="198"/>
      <c r="P70" s="198"/>
      <c r="Q70" s="198"/>
      <c r="R70" s="181"/>
      <c r="S70" s="181"/>
      <c r="T70" s="181"/>
      <c r="U70" s="181"/>
      <c r="V70" s="181"/>
      <c r="W70" s="197"/>
    </row>
    <row r="71" spans="1:23" ht="12" customHeight="1" x14ac:dyDescent="0.15">
      <c r="A71" s="182"/>
      <c r="B71" s="181"/>
      <c r="C71" s="195" t="inlineStr">
        <is>
          <t>ENTER: Profit of your next accounting period, a loss with a minus sign, provisional until its accounts are final</t>
        </is>
      </c>
      <c r="D71" s="181"/>
      <c r="E71" s="181"/>
      <c r="F71" s="181"/>
      <c r="G71" s="181"/>
      <c r="H71" s="181"/>
      <c r="I71" s="181"/>
      <c r="J71" s="181"/>
      <c r="K71" s="181"/>
      <c r="L71" s="182"/>
      <c r="M71" s="181"/>
      <c r="N71" s="195" t="inlineStr">
        <is>
          <t>Transition profit carried forward to next year</t>
        </is>
      </c>
      <c r="O71" s="182"/>
      <c r="P71" s="182"/>
      <c r="Q71" s="182"/>
      <c r="R71" s="182"/>
      <c r="S71" s="182"/>
      <c r="T71" s="182"/>
      <c r="U71" s="182"/>
      <c r="V71" s="182"/>
      <c r="W71" s="197"/>
    </row>
    <row r="72" spans="1:23" ht="12" customHeight="1" x14ac:dyDescent="0.15">
      <c r="A72" s="182"/>
      <c r="B72" s="181"/>
      <c r="C72" s="201" t="inlineStr">
        <is>
          <t> - only if box 9 is not 31 March to 5 April; box 68 apportions both periods to the tax year by days</t>
        </is>
      </c>
      <c r="D72" s="181"/>
      <c r="E72" s="181"/>
      <c r="F72" s="181"/>
      <c r="G72" s="181"/>
      <c r="H72" s="181"/>
      <c r="I72" s="181"/>
      <c r="J72" s="181"/>
      <c r="K72" s="181"/>
      <c r="L72" s="182"/>
      <c r="M72" s="181"/>
      <c r="N72" s="216" t="s">
        <v>181</v>
      </c>
      <c r="O72" s="182"/>
      <c r="P72" s="182"/>
      <c r="Q72" s="182"/>
      <c r="R72" s="182"/>
      <c r="S72" s="182"/>
      <c r="T72" s="182"/>
      <c r="U72" s="182"/>
      <c r="V72" s="182"/>
      <c r="W72" s="197"/>
    </row>
    <row r="73" spans="1:23" ht="4" customHeight="1" x14ac:dyDescent="0.15">
      <c r="A73" s="181"/>
      <c r="B73" s="181"/>
      <c r="C73" s="181"/>
      <c r="D73" s="181"/>
      <c r="E73" s="181"/>
      <c r="F73" s="181"/>
      <c r="G73" s="181"/>
      <c r="H73" s="181"/>
      <c r="I73" s="181"/>
      <c r="J73" s="181"/>
      <c r="K73" s="181"/>
      <c r="L73" s="181"/>
      <c r="M73" s="181"/>
      <c r="N73" s="198"/>
      <c r="O73" s="198"/>
      <c r="P73" s="198"/>
      <c r="Q73" s="198"/>
      <c r="R73" s="181"/>
      <c r="S73" s="181"/>
      <c r="T73" s="181"/>
      <c r="U73" s="181"/>
      <c r="V73" s="181"/>
      <c r="W73" s="197"/>
    </row>
    <row r="74" spans="1:23" ht="15" customHeight="1" x14ac:dyDescent="0.15">
      <c r="A74" s="181"/>
      <c r="B74" s="181"/>
      <c r="C74" s="209" t="s">
        <v>51</v>
      </c>
      <c r="D74" s="328"/>
      <c r="E74" s="329"/>
      <c r="F74" s="330"/>
      <c r="G74" s="210" t="s">
        <v>178</v>
      </c>
      <c r="H74" s="211">
        <v>0</v>
      </c>
      <c r="I74" s="211">
        <v>0</v>
      </c>
      <c r="J74" s="181"/>
      <c r="K74" s="181"/>
      <c r="L74" s="181"/>
      <c r="M74" s="181"/>
      <c r="N74" s="209" t="s">
        <v>51</v>
      </c>
      <c r="O74" s="324">
        <f>O59-O64-O69</f>
      </c>
      <c r="P74" s="325"/>
      <c r="Q74" s="326"/>
      <c r="R74" s="210" t="s">
        <v>178</v>
      </c>
      <c r="S74" s="211">
        <v>0</v>
      </c>
      <c r="T74" s="211">
        <v>0</v>
      </c>
      <c r="U74" s="181"/>
      <c r="V74" s="181"/>
      <c r="W74" s="197"/>
    </row>
    <row r="75" spans="1:23" ht="8" customHeight="1" x14ac:dyDescent="0.15">
      <c r="A75" s="181"/>
      <c r="B75" s="181"/>
      <c r="C75" s="181"/>
      <c r="D75" s="181"/>
      <c r="E75" s="181"/>
      <c r="F75" s="181"/>
      <c r="G75" s="181"/>
      <c r="H75" s="181"/>
      <c r="I75" s="181"/>
      <c r="J75" s="181"/>
      <c r="K75" s="181"/>
      <c r="L75" s="181"/>
      <c r="M75" s="181"/>
      <c r="N75" s="198"/>
      <c r="O75" s="198"/>
      <c r="P75" s="198"/>
      <c r="Q75" s="198"/>
      <c r="R75" s="181"/>
      <c r="S75" s="181"/>
      <c r="T75" s="181"/>
      <c r="U75" s="181"/>
      <c r="V75" s="181"/>
      <c r="W75" s="197"/>
    </row>
    <row r="76">
      <c r="A76" t="s">
        <v>440</v>
      </c>
    </row>
    <row r="77">
      <c r="A77" t="s">
        <v>441</v>
      </c>
    </row>
  </sheetData>
  <mergeCells count="34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  <mergeCell ref="D59:F59"/>
    <mergeCell ref="O59:Q59"/>
    <mergeCell ref="D64:F64"/>
    <mergeCell ref="O64:Q64"/>
    <mergeCell ref="D69:F69"/>
    <mergeCell ref="O69:Q69"/>
    <mergeCell ref="D74:F74"/>
    <mergeCell ref="O74:Q74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45388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45388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IF(([1]Schedule!$R$1-[1]Schedule!$AE$1+[1]Schedule!$AH$1)&lt;1000,[1]Schedule!$AH$1,0)+IF(([1]Schedule!$AC$1-[1]Schedule!$AF$1+[1]Schedule!$AI$1)&lt;1000,[1]Schedule!$AI$1,0)</f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2024-25 are less than £6,725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2026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45388</v>
      </c>
      <c r="R2" s="341"/>
      <c r="S2" s="341"/>
      <c r="T2" s="341"/>
      <c r="U2" s="222" t="s">
        <v>185</v>
      </c>
      <c r="V2" s="340">
        <f>Admin!B17</f>
        <v>45752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IF(([1]Schedule!$R$1-[1]Schedule!$AE$1+[1]Schedule!$AH$1)&lt;1000,[1]Schedule!$AH$1,0)+IF(([1]Schedule!$AC$1-[1]Schedule!$AF$1+[1]Schedule!$AI$1)&lt;1000,[1]Schedule!$AI$1,0)</f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6" customHeight="1" x14ac:dyDescent="0.15">
      <c r="A150" s="240"/>
      <c r="B150" s="220"/>
      <c r="C150" s="217" t="s">
        <v>51</v>
      </c>
      <c r="D150" s="356"/>
      <c r="E150" s="357"/>
      <c r="F150" s="358"/>
      <c r="G150" s="218" t="s">
        <v>178</v>
      </c>
      <c r="H150" s="219">
        <v>0</v>
      </c>
      <c r="I150" s="219">
        <v>0</v>
      </c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36">
        <v>52.1</v>
      </c>
      <c r="B151" s="220"/>
      <c r="C151" s="227" t="inlineStr">
        <is>
          <t>Zero-emission car allowance</t>
        </is>
      </c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53</v>
      </c>
      <c r="B154" s="220"/>
      <c r="C154" s="227" t="inlineStr">
        <is>
          <t>The Structures and Buildings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D139+D144+D147+D150+D152+D156+D160+O139+O144+O149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>
        <f>[1]Schedule!$K$120</f>
        <v>0</v>
      </c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53.1</v>
      </c>
      <c r="B157" s="220"/>
      <c r="C157" s="227" t="inlineStr">
        <is>
          <t>Freeport and Investment Zones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>
        <f>[1]Schedule!$K$121</f>
        <v>0</v>
      </c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356">
        <f>IF(OR('Business Details'!N32="",'Business Details'!N32&gt;=DATE(YEAR(Admin!$B$17),3,31)),0,('Business Details'!N32-MAX('Business Details'!N27,Admin!$B$4)+1)/('Business Details'!N32-'Business Details'!N27+1)*(O174-O179)+(Admin!$B$17-'Business Details'!N32)/(EDATE('Business Details'!N32,12)-'Business Details'!N32)*'Business Details'!D74-(O174-O179))</f>
      </c>
      <c r="E197" s="357"/>
      <c r="F197" s="358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73.3</v>
      </c>
      <c r="B199" s="220"/>
      <c r="C199" s="227" t="inlineStr">
        <is>
          <t>Spread of the transition profit treated as arising in this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 t="inlineStr">
        <is>
          <t>tax year - see the working sheet in the notes</t>
        </is>
      </c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>
        <f>'Business Details'!O64+'Business Details'!O69</f>
      </c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27" t="inlineStr">
        <is>
          <t>Boxes 69 and 70 are not in use</t>
        </is>
      </c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50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D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0:F150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 t="inlineStr">
        <is>
          <t>Income Tax on transition profit (box 73.3), charged as the top slice</t>
        </is>
      </c>
      <c r="C14" s="108"/>
      <c r="D14" s="103"/>
      <c r="E14" s="99">
        <f>IF('SE Full'!D201&gt;0,IF(E7+'SE Full'!D201&lt;C9,(E7+'SE Full'!D201)*D8,C9*D8)+IF(E7+'SE Full'!D201&gt;C9,(MIN(E7+'SE Full'!D201,C10)-C9)*D9,0)+IF(E7+'SE Full'!D201&gt;C10,(E7+'SE Full'!D201-C10)*D10,0)-E11,0)</f>
        <v>0</v>
      </c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IF((E5+'SE Full'!D201)&gt;Admin!N20,IF((E5+'SE Full'!D201)&lt;Admin!N$23,((E5+'SE Full'!D201)-Admin!N20)*D15,(Admin!N$23-Admin!N20)*D15),0)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IF(((E5+'SE Full'!D201)&gt;Admin!N$23),(((E5+'SE Full'!D201)-Admin!N$23)*D16),0)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45351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45382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45388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45412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45443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45473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45504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45535</v>
      </c>
      <c r="C9" s="147"/>
      <c r="D9" s="450" t="inlineStr">
        <is>
          <t xml:space="preserve">Structures and buildings allowance</t>
        </is>
      </c>
      <c r="E9" s="146"/>
      <c r="F9" s="147"/>
      <c r="G9" s="148">
        <v>0.03</v>
      </c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45565</v>
      </c>
      <c r="C10" s="147"/>
      <c r="D10" s="450" t="inlineStr">
        <is>
          <t xml:space="preserve">Freeport and Investment Zone SBA</t>
        </is>
      </c>
      <c r="E10" s="146"/>
      <c r="F10" s="147"/>
      <c r="G10" s="148">
        <v>0.1</v>
      </c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45596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45626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45657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45688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45716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45747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52">
        <v>6725</v>
      </c>
      <c r="O16" s="146" t="s">
        <v>51</v>
      </c>
    </row>
    <row r="17" spans="1:15" ht="12" customHeight="1" thickBot="1" x14ac:dyDescent="0.2">
      <c r="A17" s="147"/>
      <c r="B17" s="175">
        <v>45752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45777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45808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45838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46053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46234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2024-25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2025-26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45869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