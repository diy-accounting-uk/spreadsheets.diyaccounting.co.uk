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E12" i="8"/>
  <c r="C10" i="8"/>
  <c r="D10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J280" i="16"/>
  <c r="D169" i="16"/>
  <c r="G141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N44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44" i="16" l="1"/>
  <c r="D80" i="18"/>
  <c r="D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54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5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<sst xmlns="http://schemas.openxmlformats.org/spreadsheetml/2006/main" count="818" uniqueCount="442">
  <si>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</si>
  <si>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</si>
  <si>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</si>
  <si>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</si>
  <si>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</si>
  <si>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</si>
  <si>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</si>
  <si>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</si>
  <si>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</si>
  <si>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</si>
  <si>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</si>
  <si>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</si>
  <si>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</si>
  <si>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</si>
  <si>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</si>
  <si>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</si>
  <si>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</si>
  <si>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</si>
  <si>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</si>
  <si>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</si>
  <si>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</si>
  <si>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</si>
  <si>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</si>
  <si>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</si>
  <si>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</si>
  <si>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</si>
  <si>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</si>
  <si>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</si>
  <si>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</si>
  <si>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</si>
  <si>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</si>
  <si>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</si>
  <si>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</si>
  <si>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</si>
  <si>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</si>
  <si>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</si>
  <si>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</si>
  <si>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</si>
  <si>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</si>
  <si>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</si>
  <si>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</si>
  <si>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</si>
  <si>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</si>
  <si>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</si>
  <si>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</si>
  <si>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</si>
  <si>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</si>
  <si>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</si>
  <si>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</si>
  <si>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</si>
  <si>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</si>
  <si>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</si>
  <si>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</si>
  <si>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</si>
  <si>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</si>
  <si>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</si>
  <si>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</si>
  <si>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</si>
  <si>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</si>
  <si>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</si>
  <si>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</si>
  <si>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</si>
  <si>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</si>
  <si>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Promotion &amp; Entertainment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</si>
  <si>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</si>
  <si>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</si>
  <si>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</si>
  <si>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</si>
  <si>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</si>
  <si>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</si>
  <si>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</si>
  <si>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</si>
  <si>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</si>
  <si>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</si>
  <si>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</si>
  <si>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</si>
  <si>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</si>
  <si>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</si>
  <si>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</si>
  <si>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</si>
  <si>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</si>
  <si>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</si>
  <si>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</si>
  <si>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</si>
  <si>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</si>
  <si>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</si>
  <si>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</si>
  <si>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</si>
  <si>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</si>
  <si>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</si>
  <si>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</si>
  <si>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</si>
  <si>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</si>
  <si>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</si>
  <si>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</si>
  <si>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</si>
  <si>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</si>
  <si>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</si>
  <si>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</si>
  <si>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</si>
  <si>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</si>
  <si>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</si>
  <si>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</si>
  <si>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</si>
  <si>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</si>
  <si>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</si>
  <si>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</si>
  <si>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</si>
  <si>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</si>
  <si>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</si>
  <si>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</si>
  <si>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</si>
  <si>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</si>
  <si>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</si>
  <si>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</si>
  <si>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</si>
  <si>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</si>
  <si>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</si>
  <si>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</si>
  <si>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</si>
  <si>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</si>
  <si>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</si>
  <si>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</si>
  <si>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</si>
  <si>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</si>
  <si>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</si>
  <si>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</si>
  <si>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</si>
  <si>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</si>
  <si>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</si>
  <si>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</si>
  <si>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</si>
  <si>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</si>
  <si>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</si>
  <si>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</si>
  <si>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</si>
  <si>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</si>
  <si>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</si>
  <si>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</si>
  <si>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</si>
  <si>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</si>
  <si>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</si>
  <si>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</si>
  <si>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</si>
  <si>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</si>
  <si>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</si>
  <si>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</si>
  <si>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</si>
  <si>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</si>
  <si>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</si>
  <si>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</si>
  <si>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</si>
  <si>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</si>
  <si>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</si>
  <si>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</si>
  <si>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</si>
  <si>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</si>
  <si>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</si>
  <si>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</si>
  <si>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</si>
  <si>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</si>
  <si>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</si>
  <si>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</si>
  <si>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</si>
  <si>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</si>
  <si>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</si>
  <si>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</si>
  <si>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</si>
  <si>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</si>
  <si>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</si>
  <si>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</si>
  <si>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</si>
  <si>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</si>
  <si>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</si>
  <si>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</si>
  <si>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</si>
  <si>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</si>
  <si>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</si>
  <si>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</si>
  <si>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</si>
  <si>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</si>
  <si>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</si>
  <si>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</si>
  <si>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</si>
  <si>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</si>
  <si>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</si>
  <si>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</si>
  <si>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</si>
  <si>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</si>
  <si>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</si>
  <si>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</si>
  <si>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</si>
  <si>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</si>
  <si>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</si>
  <si>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</si>
  <si>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</si>
  <si>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</si>
  <si>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</si>
  <si>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</si>
  <si>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</si>
  <si>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</si>
  <si>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</si>
  <si>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</si>
  <si>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</si>
  <si>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</si>
  <si>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</si>
  <si>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</si>
  <si>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</si>
  <si>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</si>
  <si>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</si>
  <si>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</si>
  <si>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</si>
  <si>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</si>
  <si>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</si>
  <si>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</si>
  <si>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</si>
  <si>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</si>
  <si>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</si>
  <si>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</si>
  <si>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</si>
  <si>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</si>
  <si>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</si>
  <si>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</si>
  <si>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</si>
  <si>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</si>
  <si>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</si>
  <si>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</si>
  <si>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</si>
  <si>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</si>
  <si>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</si>
  <si>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</si>
  <si>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</si>
  <si>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</si>
  <si>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</si>
  <si>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</si>
  <si>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</si>
  <si>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</si>
  <si>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</si>
  <si>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</si>
  <si>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</si>
  <si>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</si>
  <si>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</si>
  <si>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</si>
  <si>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</si>
  <si>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</si>
  <si>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</si>
  <si>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</si>
  <si>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</si>
  <si>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</si>
  <si>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</si>
  <si>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</si>
  <si>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</si>
  <si>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</si>
  <si>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</si>
  <si>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</si>
  <si>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</si>
  <si>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</si>
  <si>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</si>
  <si>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</si>
  <si>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</si>
  <si>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</si>
  <si>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</si>
  <si>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</si>
  <si>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</si>
  <si>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</si>
  <si>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</si>
  <si>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</si>
  <si>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</si>
  <si>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</si>
  <si>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</si>
  <si>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</si>
  <si>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</si>
  <si>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</si>
  <si>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</si>
  <si>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</si>
  <si>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</si>
  <si>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</si>
  <si>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</si>
  <si>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</si>
  <si>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</si>
  <si>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</si>
  <si>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</si>
  <si>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</si>
  <si>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</si>
  <si>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</si>
  <si>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</si>
  <si>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</si>
  <si>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</si>
  <si>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</si>
  <si>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</si>
  <si>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</si>
  <si>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</si>
  <si>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</si>
  <si>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</si>
  <si>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</si>
  <si>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</si>
  <si>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</si>
  <si>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</si>
  <si>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</si>
  <si>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</si>
  <si>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</si>
  <si>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</si>
  <si>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</si>
  <si>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</si>
  <si>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</si>
  <si>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</si>
  <si>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</si>
  <si>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</si>
  <si>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</si>
  <si>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</si>
  <si>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</si>
  <si>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</si>
  <si>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</si>
  <si>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</si>
  <si>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</si>
  <si>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</si>
  <si>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</si>
  <si>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</si>
  <si>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9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</si>
  <si>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</si>
  <si>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the VAT threshold shown above</t>
    </r>
  </si>
  <si>
    <t>you may just put your total expenses in box 20,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</si>
  <si>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</si>
  <si>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</si>
  <si>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</si>
  <si>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</si>
  <si>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</si>
  <si>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</si>
  <si>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11 to 19</t>
    </r>
  </si>
  <si>
    <t>expenses (box 9 + box 10 minus box 20)</t>
  </si>
  <si>
    <t>income (box 9 + box 10 minus box 20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</si>
  <si>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</si>
  <si>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</si>
  <si>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</si>
  <si>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</si>
  <si>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</si>
  <si>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</si>
  <si>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</si>
  <si>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</si>
  <si>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9 or 10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</si>
  <si>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</si>
  <si>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</si>
  <si>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</si>
  <si>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32),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33 to 35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</si>
  <si>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</si>
  <si>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</si>
  <si>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</si>
  <si>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</si>
  <si>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</si>
  <si>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</si>
  <si>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</si>
  <si>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</si>
  <si>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</si>
  <si>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</si>
  <si>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</si>
  <si>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</si>
  <si>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</si>
  <si>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</si>
  <si>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</si>
  <si>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</si>
  <si>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</si>
  <si>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</si>
  <si>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</si>
  <si>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</si>
  <si>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</si>
  <si>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</si>
  <si>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</si>
  <si>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</si>
  <si>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</si>
  <si>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</si>
  <si>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</si>
  <si>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</si>
  <si>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</si>
  <si>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</si>
  <si>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</si>
  <si>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</si>
  <si>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</si>
  <si>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</si>
  <si>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</si>
  <si>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</si>
  <si>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</si>
  <si>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</si>
  <si>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</si>
  <si>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</si>
  <si>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</si>
  <si>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</si>
  <si>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</si>
  <si>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</si>
  <si>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</si>
  <si>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</si>
  <si>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</si>
  <si>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28</t>
    </r>
  </si>
  <si>
    <t>Net business profit for tax purposes (if box 21 + box 26 +</t>
  </si>
  <si>
    <t>box 27 minus boxes 22 to 25) is positive)</t>
  </si>
  <si>
    <t>Total taxable profits from this business</t>
  </si>
  <si>
    <t>Net business loss for tax purposes (if boxes 22 to 25</t>
  </si>
  <si>
    <t>if box 28 + box 30 minus box 29 is positive</t>
  </si>
  <si>
    <t>minus (box 21 + box 26 + box 27)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</si>
  <si>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</si>
  <si>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</si>
  <si>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</si>
  <si>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</si>
  <si>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</si>
  <si>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</si>
  <si>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</si>
  <si>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</si>
  <si>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Enter the % of this category that is private use or otherwise disallowable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</si>
  <si>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</si>
  <si>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</si>
  <si>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</si>
  <si>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</si>
  <si>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</si>
  <si>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</si>
  <si>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</si>
  <si>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</si>
  <si>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</si>
  <si>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</si>
  <si>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</si>
  <si>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</si>
  <si>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</si>
  <si>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</si>
  <si>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</si>
  <si>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</si>
  <si>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</si>
  <si>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</si>
  <si>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</si>
  <si>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</si>
  <si>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</si>
  <si>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</si>
  <si>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</si>
  <si>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</si>
  <si>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</si>
  <si>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</si>
  <si>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</si>
  <si>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</si>
  <si>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</si>
  <si>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</si>
  <si>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</si>
  <si>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</si>
  <si>
    <t>choose to pay Class 2 NICs voluntarily, put 'X' in the box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</si>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</sst>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C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9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inlineStr">
        <is>
          <t>If you used traditional accounting rather than cash basis to</t>
        </is>
      </c>
      <c r="D36" s="182"/>
      <c r="E36" s="182"/>
      <c r="F36" s="182"/>
      <c r="G36" s="182"/>
      <c r="H36" s="182"/>
      <c r="I36" s="182"/>
      <c r="J36" s="182"/>
      <c r="K36" s="182"/>
      <c r="L36" s="194">
        <v>13</v>
      </c>
      <c r="M36" s="181"/>
      <c r="N36" s="182" t="inlineStr">
        <is>
          <t>If special arrangements apply, put 'X' in the box - read the</t>
        </is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inlineStr">
        <is>
          <t>calculate your income and expenses, put 'X' in the box</t>
        </is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inlineStr">
        <is>
          <t>notes</t>
        </is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/>
      <c r="B41" s="181"/>
      <c r="C41" s="182" t="inlineStr">
        <is>
          <t>Boxes 11 and 12 are not in use</t>
        </is>
      </c>
      <c r="D41" s="182"/>
      <c r="E41" s="182"/>
      <c r="F41" s="182"/>
      <c r="G41" s="182"/>
      <c r="H41" s="182"/>
      <c r="I41" s="182"/>
      <c r="J41" s="182"/>
      <c r="K41" s="182"/>
      <c r="L41" s="194">
        <v>14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inlineStr">
        <is>
          <t>profit on last year's Tax Return put 'X' in the box</t>
        </is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/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  <row r="58">
      <c r="A58" t="s">
        <v>440</v>
      </c>
    </row>
    <row r="59">
      <c r="A59" t="s">
        <v>441</v>
      </c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45388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45388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IF(D38&gt;Admin!F26,"SELF-EMPLOYMENT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9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10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11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16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Account'!B9&gt;Admin!F26,'Profit &amp; Loss Account'!B17-'SE Full'!O66-'SE Full'!O70,"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Account'!B9&gt;Admin!F26,'Profit &amp; Loss Account'!B28-'SE Full'!O110,"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12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17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Account'!B9&gt;Admin!F26,'Profit &amp; Loss Account'!B25+'Profit &amp; Loss Account'!B26-'SE Full'!O78,"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Account'!B9&gt;Admin!F26,'Profit &amp; Loss Account'!B30+'Profit &amp; Loss Account'!B31-'SE Full'!O98-'SE Full'!O102,"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13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18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Account'!B9&gt;Admin!F26,'Profit &amp; Loss Account'!B21-'SE Full'!O74,"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Account'!B9&gt;Admin!F26,'Profit &amp; Loss Account'!B24-'SE Full'!O90,"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14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19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Account'!B9&gt;Admin!F26,'Profit &amp; Loss Account'!B22-'SE Full'!O82,"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Account'!B9&gt;Admin!F26,'Profit &amp; Loss Account'!B27+'Profit &amp; Loss Account'!B29+'Profit &amp; Loss Account'!B32+'Profit &amp; Loss Account'!B33-'SE Full'!O94-'SE Full'!O106-'SE Full'!O118,"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15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20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Account'!B9&gt;Admin!F26,'Profit &amp; Loss Account'!B23-'SE Full'!O86,"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Account'!B35-'SE Full'!O122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21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22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23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25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IF(([1]Schedule!$R$1+[1]Schedule!$Y$1+[1]Schedule!$AC$1)&gt;0,[1]Schedule!$R$1+[1]Schedule!$Y$1+[1]Schedule!$AC$1,0)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24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26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27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29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28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30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31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32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33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36</v>
      </c>
      <c r="M111" s="220"/>
      <c r="N111" s="227" t="str">
        <f>"If your total profits for "&amp;Admin!G2&amp;" are less than £"&amp;TEXT(Admin!N16,"#,##0")&amp;" and you"</f>
        <v>If your total profits for 2024-25 are less than £6,725 and you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439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34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37</v>
      </c>
      <c r="M116" s="220"/>
      <c r="N116" s="227" t="s">
        <v>345</v>
      </c>
      <c r="O116" s="220"/>
      <c r="P116" s="220"/>
      <c r="Q116" s="220"/>
      <c r="R116" s="370"/>
      <c r="S116" s="371"/>
      <c r="T116" s="371"/>
      <c r="U116" s="227"/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/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35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38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tr">
        <f>"COPY DETAILS TO HMRC FORM          Submit HMRC RETURN ONLINE                   by 31st January "&amp;TEXT(Admin!B21,"yyyy")</f>
        <v>COPY DETAILS TO HMRC FORM          Submit HMRC RETURN ONLINE                   by 31st January 2026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45388</v>
      </c>
      <c r="R2" s="341"/>
      <c r="S2" s="341"/>
      <c r="T2" s="341"/>
      <c r="U2" s="222" t="s">
        <v>185</v>
      </c>
      <c r="V2" s="340">
        <f>Admin!B17</f>
        <v>45752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inlineStr">
        <is>
          <t>If the details in boxes 1, 2, 3 or 4 have changed in the last 12</t>
        </is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inlineStr">
        <is>
          <t>months, put 'X' in the box and give details in the 'Any other</t>
        </is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inlineStr">
        <is>
          <t>information' box</t>
        </is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inlineStr">
        <is>
          <t>Postcode of your business address</t>
        </is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inlineStr">
        <is>
          <t>of your accounting period - read the notes if you have</t>
        </is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inlineStr">
        <is>
          <t>filled in box 6 or 7</t>
        </is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inlineStr">
        <is>
          <t>If you used traditional accounting rather than cash basis to</t>
        </is>
      </c>
      <c r="D39" s="227"/>
      <c r="E39" s="227"/>
      <c r="F39" s="227"/>
      <c r="G39" s="227"/>
      <c r="H39" s="227"/>
      <c r="I39" s="227"/>
      <c r="J39" s="227"/>
      <c r="K39" s="227"/>
      <c r="L39" s="236">
        <v>13</v>
      </c>
      <c r="M39" s="220"/>
      <c r="N39" s="227" t="inlineStr">
        <is>
          <t>If special arrangements apply, put 'X' in the box - read the</t>
        </is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inlineStr">
        <is>
          <t>calculate your income and expenses, put 'X' in the box</t>
        </is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inlineStr">
        <is>
          <t>notes</t>
        </is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/>
      <c r="B44" s="220"/>
      <c r="C44" s="227" t="inlineStr">
        <is>
          <t>Boxes 11 and 12 are not in use</t>
        </is>
      </c>
      <c r="D44" s="227"/>
      <c r="E44" s="227"/>
      <c r="F44" s="227"/>
      <c r="G44" s="227"/>
      <c r="H44" s="227"/>
      <c r="I44" s="227"/>
      <c r="J44" s="227"/>
      <c r="K44" s="227"/>
      <c r="L44" s="236">
        <v>14</v>
      </c>
      <c r="M44" s="220"/>
      <c r="N44" s="227" t="str">
        <f>"If you provided the information about your "&amp;Admin!G2</f>
        <v>If you provided the information about your 2025-26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inlineStr">
        <is>
          <t>profit on last year's tax return, put 'X' in the box</t>
        </is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/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27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15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16</v>
      </c>
      <c r="M52" s="220"/>
      <c r="N52" s="227" t="inlineStr">
        <is>
          <t>Any other business income not included in box 15</t>
        </is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/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inlineStr">
        <is>
          <t>Please read the 'Self-employment (full) notes' before filling in this section.</t>
        </is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inlineStr">
        <is>
          <t>If your annual turnover was below £90,000, you may</t>
        </is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inlineStr">
        <is>
          <t>Use this column if the figures in boxes 17 to 30</t>
        </is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inlineStr">
        <is>
          <t>just put your total expenses in box 31</t>
        </is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17</v>
      </c>
      <c r="B64" s="220"/>
      <c r="C64" s="227" t="inlineStr">
        <is>
          <t>Cost of goods bought for resale or goods used</t>
        </is>
      </c>
      <c r="D64" s="227"/>
      <c r="E64" s="227"/>
      <c r="F64" s="227"/>
      <c r="G64" s="227"/>
      <c r="H64" s="227"/>
      <c r="I64" s="227"/>
      <c r="J64" s="227"/>
      <c r="K64" s="227"/>
      <c r="L64" s="236">
        <v>32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>
        <f>VitalTax!G36</f>
        <v>0</v>
      </c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18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33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>
        <f>VitalTax!G37</f>
        <v>0</v>
      </c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19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34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>
        <f>VitalTax!G38</f>
        <v>0</v>
      </c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20</v>
      </c>
      <c r="B76" s="220"/>
      <c r="C76" s="227" t="inlineStr">
        <is>
          <t>Car, van and travel expenses</t>
        </is>
      </c>
      <c r="D76" s="227"/>
      <c r="E76" s="227"/>
      <c r="F76" s="227"/>
      <c r="G76" s="227"/>
      <c r="H76" s="227"/>
      <c r="I76" s="227"/>
      <c r="J76" s="227"/>
      <c r="K76" s="227"/>
      <c r="L76" s="236">
        <v>35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>
        <f>VitalTax!G39</f>
        <v>0</v>
      </c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21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36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>
        <f>VitalTax!G40</f>
        <v>0</v>
      </c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22</v>
      </c>
      <c r="B84" s="220"/>
      <c r="C84" s="227" t="inlineStr">
        <is>
          <t>Repairs and maintenance of property and equipment</t>
        </is>
      </c>
      <c r="D84" s="227"/>
      <c r="E84" s="227"/>
      <c r="F84" s="227"/>
      <c r="G84" s="227"/>
      <c r="H84" s="227"/>
      <c r="I84" s="227"/>
      <c r="J84" s="227"/>
      <c r="K84" s="227"/>
      <c r="L84" s="236">
        <v>37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>
        <f>VitalTax!G41</f>
        <v>0</v>
      </c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23</v>
      </c>
      <c r="B88" s="220"/>
      <c r="C88" s="227" t="inlineStr">
        <is>
          <t>Phone, fax, stationery and other office costs</t>
        </is>
      </c>
      <c r="D88" s="227"/>
      <c r="E88" s="227"/>
      <c r="F88" s="227"/>
      <c r="G88" s="227"/>
      <c r="H88" s="227"/>
      <c r="I88" s="227"/>
      <c r="J88" s="227"/>
      <c r="K88" s="227"/>
      <c r="L88" s="236">
        <v>38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>
        <f>VitalTax!G42</f>
        <v>0</v>
      </c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24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39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VitalTax!G43+VitalTax!G44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25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40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>
        <f>VitalTax!G45</f>
        <v>0</v>
      </c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26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41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>
        <f>VitalTax!G46</f>
        <v>0</v>
      </c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27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42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>
        <f>VitalTax!G47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28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43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>
        <f>VitalTax!G48</f>
        <v>0</v>
      </c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29</v>
      </c>
      <c r="B112" s="220"/>
      <c r="C112" s="227" t="inlineStr">
        <is>
          <t>Depreciation and loss or profit on sale of assets</t>
        </is>
      </c>
      <c r="D112" s="227"/>
      <c r="E112" s="227"/>
      <c r="F112" s="227"/>
      <c r="G112" s="227"/>
      <c r="H112" s="227"/>
      <c r="I112" s="227"/>
      <c r="J112" s="227"/>
      <c r="K112" s="227"/>
      <c r="L112" s="236">
        <v>44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30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45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>
        <f>VitalTax!G50</f>
        <v>0</v>
      </c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31</v>
      </c>
      <c r="B120" s="220"/>
      <c r="C120" s="227" t="inlineStr">
        <is>
          <t>Total expenses (total of boxes 17 to 30)</t>
        </is>
      </c>
      <c r="D120" s="227"/>
      <c r="E120" s="227"/>
      <c r="F120" s="227"/>
      <c r="G120" s="227"/>
      <c r="H120" s="227"/>
      <c r="I120" s="227"/>
      <c r="J120" s="227"/>
      <c r="K120" s="227"/>
      <c r="L120" s="236">
        <v>46</v>
      </c>
      <c r="M120" s="220"/>
      <c r="N120" s="227" t="inlineStr">
        <is>
          <t>Total disallowable expenses (total of boxes 32 to 45)</t>
        </is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O66+O70+O74+O78+O82+O86+O90+O94+O98+O102+O106+O110+O114+O118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47</v>
      </c>
      <c r="B126" s="220"/>
      <c r="C126" s="227" t="inlineStr">
        <is>
          <t>Net profit - if your business income is more than your</t>
        </is>
      </c>
      <c r="D126" s="227"/>
      <c r="E126" s="227"/>
      <c r="F126" s="227"/>
      <c r="G126" s="227"/>
      <c r="H126" s="227"/>
      <c r="I126" s="227"/>
      <c r="J126" s="227"/>
      <c r="K126" s="227"/>
      <c r="L126" s="236">
        <v>48</v>
      </c>
      <c r="M126" s="220"/>
      <c r="N126" s="227" t="inlineStr">
        <is>
          <t>Or, net loss - if your expenses are more than your</t>
        </is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inlineStr">
        <is>
          <t>expenses (if box 15 + box 16 minus box 31 is positive)</t>
        </is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inlineStr">
        <is>
          <t>business income (if box 31 minus (box 15 + box 16) is positive)</t>
        </is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inlineStr">
        <is>
          <t>There are 'capital' tax allowances for vehicles, equipment and certain buildings used in your business (do not include the cost</t>
        </is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inlineStr">
        <is>
          <t>of these in your business expenses). Please read the 'Self-employment (full) notes' and use the examples to work out your</t>
        </is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inlineStr">
        <is>
          <t>capital allowances.</t>
        </is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49</v>
      </c>
      <c r="B136" s="220"/>
      <c r="C136" s="288" t="inlineStr">
        <is>
          <t>Annual Investment Allowance</t>
        </is>
      </c>
      <c r="D136" s="227"/>
      <c r="E136" s="227"/>
      <c r="F136" s="227"/>
      <c r="G136" s="227"/>
      <c r="H136" s="379"/>
      <c r="I136" s="380"/>
      <c r="J136" s="227"/>
      <c r="K136" s="227"/>
      <c r="L136" s="236">
        <v>54</v>
      </c>
      <c r="M136" s="220"/>
      <c r="N136" s="227" t="inlineStr">
        <is>
          <t>Electric charge-point allowance</t>
        </is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/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/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50</v>
      </c>
      <c r="B141" s="220"/>
      <c r="C141" s="227" t="inlineStr">
        <is>
          <t xml:space="preserve">Capital allowances at </t>
        </is>
      </c>
      <c r="D141" s="227"/>
      <c r="E141" s="227"/>
      <c r="F141" s="227"/>
      <c r="G141" s="379">
        <f>Admin!G5</f>
        <v>0.18</v>
      </c>
      <c r="H141" s="381"/>
      <c r="I141" s="227" t="inlineStr">
        <is>
          <t>on equipment, including cars with lower CO2</t>
        </is>
      </c>
      <c r="J141" s="227"/>
      <c r="K141" s="227"/>
      <c r="L141" s="236">
        <v>55</v>
      </c>
      <c r="M141" s="220"/>
      <c r="N141" s="227" t="inlineStr">
        <is>
          <t>100% and other enhanced capital allowances</t>
        </is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inlineStr">
        <is>
          <t>emissions</t>
        </is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/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IF(([1]Schedule!$R$1+[1]Schedule!$S$1)&lt;1000,[1]Schedule!$S$1,0)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51</v>
      </c>
      <c r="B146" s="220"/>
      <c r="C146" s="288" t="inlineStr">
        <is>
          <t>Capital allowances at 6% on equipment, including cars with higher CO2 emissions</t>
        </is>
      </c>
      <c r="D146" s="227"/>
      <c r="E146" s="227"/>
      <c r="F146" s="227"/>
      <c r="G146" s="227"/>
      <c r="H146" s="379"/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>
        <f>[1]Schedule!$AC$1</f>
        <v>0</v>
      </c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inlineStr">
        <is>
          <t>Allowances on sale or cessation of business use (where you</t>
        </is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7" t="inlineStr">
        <is>
          <t>have disposed of assets for less than their tax value)</t>
        </is>
      </c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52</v>
      </c>
      <c r="B149" s="220"/>
      <c r="C149" s="227" t="inlineStr">
        <is>
          <t>Zero-emission goods vehicle allowance</t>
        </is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[1]Schedule!$Y$1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inlineStr">
        <is>
          <t>Total capital allowances (total of boxes 49 to 56)</t>
        </is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/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/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52.1</v>
      </c>
      <c r="B154" s="220"/>
      <c r="C154" s="227" t="inlineStr">
        <is>
          <t>Zero-emission car allowance</t>
        </is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>
        <f>D139+D144+D147+D152+D156+D160+O139+O144+O149</f>
        <v>0</v>
      </c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59</v>
      </c>
      <c r="M156" s="220"/>
      <c r="N156" s="227" t="inlineStr">
        <is>
          <t>Balancing charge on sales of assets or on the cessation of</t>
        </is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inlineStr">
        <is>
          <t>The Structures and Buildings Allowance</t>
        </is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inlineStr">
        <is>
          <t>business use (including where Business Premises Renovation</t>
        </is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inlineStr">
        <is>
          <t>Allowance has been claimed)</t>
        </is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inlineStr">
        <is>
          <t>You may have to adjust your net profit or loss for disallowable expenses or capital allowances to arrive at your taxable profit</t>
        </is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inlineStr">
        <is>
          <t>or your loss for tax purposes. Please read the 'Self-employment (full) notes' and fill in the boxes below that apply.</t>
        </is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60</v>
      </c>
      <c r="B166" s="220"/>
      <c r="C166" s="227" t="inlineStr">
        <is>
          <t>Goods and services for your own use</t>
        </is>
      </c>
      <c r="D166" s="227"/>
      <c r="E166" s="227"/>
      <c r="F166" s="227"/>
      <c r="G166" s="227"/>
      <c r="H166" s="227"/>
      <c r="I166" s="227"/>
      <c r="J166" s="227"/>
      <c r="K166" s="227"/>
      <c r="L166" s="236">
        <v>63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inlineStr">
        <is>
          <t>net loss (box 57 + box 62)</t>
        </is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O154+D179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61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64</v>
      </c>
      <c r="M171" s="220"/>
      <c r="N171" s="227" t="inlineStr">
        <is>
          <t>Net business profit for tax purposes (if box 47 + box 61</t>
        </is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inlineStr">
        <is>
          <t>(box 46 + box 59 + box 60)</t>
        </is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inlineStr">
        <is>
          <t>minus (box 48 + box 63) is positive)</t>
        </is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62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65</v>
      </c>
      <c r="M176" s="220"/>
      <c r="N176" s="227" t="inlineStr">
        <is>
          <t>Net business loss for tax purposes (if box 48 + box 63</t>
        </is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inlineStr">
        <is>
          <t>minus (box 47 + box 61) is positive)</t>
        </is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inlineStr">
        <is>
          <t>Please read the 'Self-employment (full) notes' and fill in the boxes below that apply. If your accounting date is not between</t>
        </is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inlineStr">
        <is>
          <t>31 March and 5 April you will need to apportion profits from each accounting period to the tax year - use box 68 to adjust</t>
        </is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inlineStr">
        <is>
          <t>your tax profit (box 64) or loss (box 65) accordingly.</t>
        </is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/>
      <c r="B186" s="220"/>
      <c r="C186" s="227" t="inlineStr">
        <is>
          <t>Boxes 66 and 67 are not in use</t>
        </is>
      </c>
      <c r="D186" s="227"/>
      <c r="E186" s="227"/>
      <c r="F186" s="227"/>
      <c r="G186" s="227"/>
      <c r="H186" s="227"/>
      <c r="I186" s="227"/>
      <c r="J186" s="227"/>
      <c r="K186" s="227"/>
      <c r="L186" s="236">
        <v>72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27"/>
      <c r="D188" s="385"/>
      <c r="E188" s="385"/>
      <c r="F188" s="385"/>
      <c r="G188" s="218"/>
      <c r="H188" s="227"/>
      <c r="I188" s="227"/>
      <c r="J188" s="220"/>
      <c r="K188" s="220"/>
      <c r="L188" s="227"/>
      <c r="M188" s="220"/>
      <c r="N188" s="248" t="inlineStr">
        <is>
          <t>adjustment needs to be taken off the profit figure, put a</t>
        </is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/>
      <c r="B189" s="220"/>
      <c r="C189" s="227"/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68</v>
      </c>
      <c r="B192" s="220"/>
      <c r="C192" s="227" t="inlineStr">
        <is>
          <t>Adjustment where your accounting period was not 12 months</t>
        </is>
      </c>
      <c r="D192" s="259"/>
      <c r="E192" s="259"/>
      <c r="F192" s="259"/>
      <c r="G192" s="218"/>
      <c r="H192" s="253"/>
      <c r="I192" s="253"/>
      <c r="J192" s="220"/>
      <c r="K192" s="220"/>
      <c r="L192" s="236">
        <v>73</v>
      </c>
      <c r="M192" s="220"/>
      <c r="N192" s="227" t="inlineStr">
        <is>
          <t xml:space="preserve">Adjusted profit for </t>
        </is>
      </c>
      <c r="O192" s="220"/>
      <c r="P192" s="220"/>
      <c r="Q192" s="290" t="str">
        <f>Admin!G2</f>
        <v>2025-26</v>
      </c>
      <c r="R192" s="227"/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inlineStr">
        <is>
          <t>long or ended before 31 March - if the adjustment needs to be</t>
        </is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inlineStr">
        <is>
          <t>- see the working sheet in the notes</t>
        </is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inlineStr">
        <is>
          <t>taken off the profit figure, put a minus sign (-) in the box</t>
        </is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MAX(0,O174-O179+N(D197)+D210+N(O190))</f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/>
      <c r="D196" s="227"/>
      <c r="E196" s="227"/>
      <c r="F196" s="227"/>
      <c r="G196" s="227"/>
      <c r="H196" s="227"/>
      <c r="I196" s="227"/>
      <c r="J196" s="227"/>
      <c r="K196" s="227"/>
      <c r="L196" s="236">
        <v>74</v>
      </c>
      <c r="M196" s="220"/>
      <c r="N196" s="227" t="inlineStr">
        <is>
          <t>Loss brought forward from earlier years set off against</t>
        </is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inlineStr">
        <is>
          <t>this year's adjusted profit</t>
        </is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/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/>
      <c r="B199" s="220"/>
      <c r="C199" s="227" t="inlineStr">
        <is>
          <t>Boxes 69 and 70 are not in use</t>
        </is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27"/>
      <c r="D201" s="227"/>
      <c r="E201" s="227"/>
      <c r="F201" s="227"/>
      <c r="G201" s="218"/>
      <c r="H201" s="227"/>
      <c r="I201" s="227"/>
      <c r="J201" s="220"/>
      <c r="K201" s="220"/>
      <c r="L201" s="236">
        <v>75</v>
      </c>
      <c r="M201" s="220"/>
      <c r="N201" s="227" t="inlineStr">
        <is>
          <t>Any other business income not included in</t>
        </is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inlineStr">
        <is>
          <t>boxes 15, 16 or 60</t>
        </is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/>
      <c r="B203" s="220"/>
      <c r="C203" s="227"/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27"/>
      <c r="D206" s="227"/>
      <c r="E206" s="227"/>
      <c r="F206" s="227"/>
      <c r="G206" s="218"/>
      <c r="H206" s="227"/>
      <c r="I206" s="227"/>
      <c r="J206" s="220"/>
      <c r="K206" s="220"/>
      <c r="L206" s="236">
        <v>76</v>
      </c>
      <c r="M206" s="220"/>
      <c r="N206" s="227" t="inlineStr">
        <is>
          <t>Total taxable profits from this business</t>
        </is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inlineStr">
        <is>
          <t>- see the working sheet in the notes</t>
        </is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71</v>
      </c>
      <c r="B208" s="220"/>
      <c r="C208" s="227" t="inlineStr">
        <is>
          <t>Adjustment for change of accounting practice</t>
        </is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/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inlineStr">
        <is>
          <t>If you have made a net loss for tax purposes (in box 65), or because of box 68, or if you have losses from previous years,</t>
        </is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inlineStr">
        <is>
          <t>read the 'Self-employment (full) notes' and fill in boxes 77 to 80 as appropriate.</t>
        </is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77</v>
      </c>
      <c r="B216" s="220"/>
      <c r="C216" s="227" t="inlineStr">
        <is>
          <t xml:space="preserve">Adjusted loss for </t>
        </is>
      </c>
      <c r="D216" s="227"/>
      <c r="E216" s="227"/>
      <c r="F216" s="289" t="str">
        <f>Admin!G2</f>
        <v>2025-26</v>
      </c>
      <c r="G216" s="227" t="inlineStr">
        <is>
          <t>- see the working sheet in the notes</t>
        </is>
      </c>
      <c r="H216" s="227"/>
      <c r="I216" s="227"/>
      <c r="J216" s="220"/>
      <c r="K216" s="227"/>
      <c r="L216" s="236">
        <v>79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MAX(0,O179-O174-N(D197)-D210-N(O190))</f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78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80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inlineStr">
        <is>
          <t>CIS deductions and tax taken off</t>
        </is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81</v>
      </c>
      <c r="B228" s="220"/>
      <c r="C228" s="227" t="inlineStr">
        <is>
          <t>Total Construction Industry Scheme (CIS) deductions taken from</t>
        </is>
      </c>
      <c r="D228" s="227"/>
      <c r="E228" s="227"/>
      <c r="F228" s="227"/>
      <c r="G228" s="227"/>
      <c r="H228" s="227"/>
      <c r="I228" s="227"/>
      <c r="J228" s="227"/>
      <c r="K228" s="227"/>
      <c r="L228" s="236">
        <v>82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inlineStr">
        <is>
          <t>your payments by contractors - CIS subcontractors only</t>
        </is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inlineStr">
        <is>
          <t>If your business accounts include a balance sheet showing the assets, liabilities and capital of the business, fill in the relevant</t>
        </is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inlineStr">
        <is>
          <t>boxes below. If you do not have a balance sheet, go to box 100.</t>
        </is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83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91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84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92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85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93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86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94</v>
      </c>
      <c r="M253" s="220"/>
      <c r="N253" s="227" t="inlineStr">
        <is>
          <t>Net business assets (box 90 minus (boxes 91 to 93))</t>
        </is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87</v>
      </c>
      <c r="B255" s="220"/>
      <c r="C255" s="227" t="inlineStr">
        <is>
          <t>Bank or building society balances</t>
        </is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88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95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89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96</v>
      </c>
      <c r="M263" s="220"/>
      <c r="N263" s="227" t="inlineStr">
        <is>
          <t>Net profit or loss (box 47 or box 48)</t>
        </is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90</v>
      </c>
      <c r="B267" s="220"/>
      <c r="C267" s="227" t="inlineStr">
        <is>
          <t>Total assets (total of boxes 83 to 89)</t>
        </is>
      </c>
      <c r="D267" s="227"/>
      <c r="E267" s="227"/>
      <c r="F267" s="227"/>
      <c r="G267" s="227"/>
      <c r="H267" s="227"/>
      <c r="I267" s="227"/>
      <c r="J267" s="227"/>
      <c r="K267" s="227"/>
      <c r="L267" s="236">
        <v>97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98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99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inlineStr">
        <is>
          <t>Class 2 and Class 4 National Insurance contributions (NICs)</t>
        </is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inlineStr">
        <is>
          <t>If your self employed profits are more than £</t>
        </is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Admin!N20</f>
        <v>12570</v>
      </c>
      <c r="K280" s="366" t="inlineStr">
        <is>
          <t>you must pay Class 4 NICs (unless you are exempt) - read the notes.</t>
        </is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inlineStr">
        <is>
          <t>If your total profits are below the Class 2 small profits threshold you do not have to pay Class 2 NICs, but you may pay them voluntarily.</t>
        </is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100</v>
      </c>
      <c r="B283" s="220"/>
      <c r="C283" s="227" t="inlineStr">
        <is>
          <t>If your total profits are below the Class 2 small profits threshold</t>
        </is>
      </c>
      <c r="D283" s="220"/>
      <c r="E283" s="220"/>
      <c r="F283" s="220"/>
      <c r="G283" s="220"/>
      <c r="H283" s="220"/>
      <c r="I283" s="220"/>
      <c r="J283" s="220"/>
      <c r="K283" s="220"/>
      <c r="L283" s="236">
        <v>102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inlineStr">
        <is>
          <t>and you choose to pay Class 2 NICs voluntarily, put 'X' in the box</t>
        </is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101</v>
      </c>
      <c r="B288" s="220"/>
      <c r="C288" s="227" t="inlineStr">
        <is>
          <t>If you are exempt from paying Class 4 NICs, put 'X' in the box</t>
        </is>
      </c>
      <c r="D288" s="220"/>
      <c r="E288" s="220"/>
      <c r="F288" s="220"/>
      <c r="G288" s="370"/>
      <c r="H288" s="371"/>
      <c r="I288" s="371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inlineStr">
        <is>
          <t>- read the notes</t>
        </is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103</v>
      </c>
      <c r="B296" s="220"/>
      <c r="C296" s="227" t="inlineStr">
        <is>
          <t>Please give any other information in this space</t>
        </is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9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[3]Apr!$Y$1+[3]Apr!$AC$1</f>
        <v>0</v>
      </c>
      <c r="D27" s="75">
        <f>[3]May!$Y$1+[3]May!$AC$1</f>
        <v>0</v>
      </c>
      <c r="E27" s="78">
        <f>[3]Jun!$Y$1+[3]Jun!$AC$1</f>
        <v>0</v>
      </c>
      <c r="F27" s="75">
        <f>[3]Jul!$Y$1+[3]Jul!$AC$1</f>
        <v>0</v>
      </c>
      <c r="G27" s="75">
        <f>[3]Aug!$Y$1+[3]Aug!$AC$1</f>
        <v>0</v>
      </c>
      <c r="H27" s="78">
        <f>[3]Sep!$Y$1+[3]Sep!$AC$1</f>
        <v>0</v>
      </c>
      <c r="I27" s="75">
        <f>[3]Oct!$Y$1+[3]Oct!$AC$1</f>
        <v>0</v>
      </c>
      <c r="J27" s="75">
        <f>[3]Nov!$Y$1+[3]Nov!$AC$1</f>
        <v>0</v>
      </c>
      <c r="K27" s="78">
        <f>[3]Dec!$Y$1+[3]Dec!$AC$1</f>
        <v>0</v>
      </c>
      <c r="L27" s="75">
        <f>[3]Jan!$Y$1+[3]Jan!$AC$1</f>
        <v>0</v>
      </c>
      <c r="M27" s="75">
        <f>[3]Feb!$Y$1+[3]Feb!$AC$1</f>
        <v>0</v>
      </c>
      <c r="N27" s="75">
        <f>[3]Mar!$Y$1+[3]Mar!$AC$1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9" spans="1:15" x14ac:dyDescent="0.15">
      <c r="A49" s="87" t="inlineStr">
        <is>
          <t>Business Entertainment (memo)</t>
        </is>
      </c>
      <c r="B49" s="62">
        <f>SUM(C49:N49)</f>
        <v>0</v>
      </c>
      <c r="C49" s="75">
        <f>[3]Apr!$AC$1</f>
        <v>0</v>
      </c>
      <c r="D49" s="75">
        <f>[3]May!$AC$1</f>
        <v>0</v>
      </c>
      <c r="E49" s="78">
        <f>[3]Jun!$AC$1</f>
        <v>0</v>
      </c>
      <c r="F49" s="75">
        <f>[3]Jul!$AC$1</f>
        <v>0</v>
      </c>
      <c r="G49" s="75">
        <f>[3]Aug!$AC$1</f>
        <v>0</v>
      </c>
      <c r="H49" s="78">
        <f>[3]Sep!$AC$1</f>
        <v>0</v>
      </c>
      <c r="I49" s="75">
        <f>[3]Oct!$AC$1</f>
        <v>0</v>
      </c>
      <c r="J49" s="75">
        <f>[3]Nov!$AC$1</f>
        <v>0</v>
      </c>
      <c r="K49" s="78">
        <f>[3]Dec!$AC$1</f>
        <v>0</v>
      </c>
      <c r="L49" s="75">
        <f>[3]Jan!$AC$1</f>
        <v>0</v>
      </c>
      <c r="M49" s="75">
        <f>[3]Feb!$AC$1</f>
        <v>0</v>
      </c>
      <c r="N49" s="78">
        <f>[3]Mar!$AC$1</f>
        <v>0</v>
      </c>
      <c r="O49" s="24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f>SUM('Profit &amp; Loss Account'!C49:E49)</f>
        <v>0</v>
      </c>
      <c r="D25" s="299">
        <f>SUM('Profit &amp; Loss Account'!F49:H49)</f>
        <v>0</v>
      </c>
      <c r="E25" s="299">
        <f>SUM('Profit &amp; Loss Account'!I49:K49)</f>
        <v>0</v>
      </c>
      <c r="F25" s="299">
        <f>SUM('Profit &amp; Loss Account'!L49:N49)</f>
        <v>0</v>
      </c>
      <c r="G25" s="299">
        <f>SUM(C25:F25)</f>
        <v>0</v>
      </c>
      <c r="H25" s="298"/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SUM(C7,C12,C13,C14,C15,C16,C17,C18,C19,C20,C21,C22,C24,C26)</f>
        <v>0</v>
      </c>
      <c r="D29" s="302">
        <f>SUM(D7,D12,D13,D14,D15,D16,D17,D18,D19,D20,D21,D22,D24,D26)</f>
        <v>0</v>
      </c>
      <c r="E29" s="302">
        <f>SUM(E7,E12,E13,E14,E15,E16,E17,E18,E19,E20,E21,E22,E24,E26)</f>
        <v>0</v>
      </c>
      <c r="F29" s="302">
        <f>SUM(F7,F12,F13,F14,F15,F16,F17,F18,F19,F20,F21,F22,F24,F26)</f>
        <v>0</v>
      </c>
      <c r="G29" s="302">
        <f>SUM(G7,G12,G13,G14,G15,G16,G17,G18,G19,G20,G21,G22,G24,G26)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f>C7*$I$36</f>
        <v>0</v>
      </c>
      <c r="D36" s="299">
        <f>D7*$I$36</f>
        <v>0</v>
      </c>
      <c r="E36" s="299">
        <f>E7*$I$36</f>
        <v>0</v>
      </c>
      <c r="F36" s="299">
        <f>F7*$I$36</f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f>C24*$I$37</f>
        <v>0</v>
      </c>
      <c r="D37" s="299">
        <f>D24*$I$37</f>
        <v>0</v>
      </c>
      <c r="E37" s="299">
        <f>E24*$I$37</f>
        <v>0</v>
      </c>
      <c r="F37" s="299">
        <f>F24*$I$37</f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f>C12*$I$38</f>
        <v>0</v>
      </c>
      <c r="D38" s="299">
        <f>D12*$I$38</f>
        <v>0</v>
      </c>
      <c r="E38" s="299">
        <f>E12*$I$38</f>
        <v>0</v>
      </c>
      <c r="F38" s="299">
        <f>F12*$I$38</f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f>C17*$I$39</f>
        <v>0</v>
      </c>
      <c r="D39" s="299">
        <f>D17*$I$39</f>
        <v>0</v>
      </c>
      <c r="E39" s="299">
        <f>E17*$I$39</f>
        <v>0</v>
      </c>
      <c r="F39" s="299">
        <f>F17*$I$39</f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f>C13*$I$40</f>
        <v>0</v>
      </c>
      <c r="D40" s="299">
        <f>D13*$I$40</f>
        <v>0</v>
      </c>
      <c r="E40" s="299">
        <f>E13*$I$40</f>
        <v>0</v>
      </c>
      <c r="F40" s="299">
        <f>F13*$I$40</f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f>C14*$I$41</f>
        <v>0</v>
      </c>
      <c r="D41" s="299">
        <f>D14*$I$41</f>
        <v>0</v>
      </c>
      <c r="E41" s="299">
        <f>E14*$I$41</f>
        <v>0</v>
      </c>
      <c r="F41" s="299">
        <f>F14*$I$41</f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f>C15*$I$42</f>
        <v>0</v>
      </c>
      <c r="D42" s="299">
        <f>D15*$I$42</f>
        <v>0</v>
      </c>
      <c r="E42" s="299">
        <f>E15*$I$42</f>
        <v>0</v>
      </c>
      <c r="F42" s="299">
        <f>F15*$I$42</f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f>C18*$I$43</f>
        <v>0</v>
      </c>
      <c r="D43" s="299">
        <f>D18*$I$43</f>
        <v>0</v>
      </c>
      <c r="E43" s="299">
        <f>E18*$I$43</f>
        <v>0</v>
      </c>
      <c r="F43" s="299">
        <f>F18*$I$43</f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f>C25</f>
        <v>0</v>
      </c>
      <c r="D44" s="299">
        <f>D25</f>
        <v>0</v>
      </c>
      <c r="E44" s="299">
        <f>E25</f>
        <v>0</v>
      </c>
      <c r="F44" s="299">
        <f>F25</f>
        <v>0</v>
      </c>
      <c r="G44" s="299">
        <f t="shared" si="1"/>
        <v>0</v>
      </c>
      <c r="H44" s="298" t="inlineStr">
        <is>
          <t>Wholly disallowable</t>
        </is>
      </c>
      <c r="I44" s="298"/>
    </row>
    <row r="45" spans="1:9" x14ac:dyDescent="0.15">
      <c r="A45" s="298"/>
      <c r="B45" s="298" t="s">
        <v>411</v>
      </c>
      <c r="C45" s="299">
        <f>C21*$I$45</f>
        <v>0</v>
      </c>
      <c r="D45" s="299">
        <f>D21*$I$45</f>
        <v>0</v>
      </c>
      <c r="E45" s="299">
        <f>E21*$I$45</f>
        <v>0</v>
      </c>
      <c r="F45" s="299">
        <f>F21*$I$45</f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f>C16*$I$46</f>
        <v>0</v>
      </c>
      <c r="D46" s="299">
        <f>D16*$I$46</f>
        <v>0</v>
      </c>
      <c r="E46" s="299">
        <f>E16*$I$46</f>
        <v>0</v>
      </c>
      <c r="F46" s="299">
        <f>F16*$I$46</f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f>C20*$I$47</f>
        <v>0</v>
      </c>
      <c r="D47" s="299">
        <f>D20*$I$47</f>
        <v>0</v>
      </c>
      <c r="E47" s="299">
        <f>E20*$I$47</f>
        <v>0</v>
      </c>
      <c r="F47" s="299">
        <f>F20*$I$47</f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f>C19*$I$48</f>
        <v>0</v>
      </c>
      <c r="D48" s="299">
        <f>D19*$I$48</f>
        <v>0</v>
      </c>
      <c r="E48" s="299">
        <f>E19*$I$48</f>
        <v>0</v>
      </c>
      <c r="F48" s="299">
        <f>F19*$I$48</f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f>SUM('Profit &amp; Loss Account'!C34:E34)</f>
        <v>0</v>
      </c>
      <c r="D49" s="299">
        <f>SUM('Profit &amp; Loss Account'!F34:H34)</f>
        <v>0</v>
      </c>
      <c r="E49" s="299">
        <f>SUM('Profit &amp; Loss Account'!I34:K34)</f>
        <v>0</v>
      </c>
      <c r="F49" s="299">
        <f>SUM('Profit &amp; Loss Account'!L34:N34)</f>
        <v>0</v>
      </c>
      <c r="G49" s="299">
        <f t="shared" si="1"/>
        <v>0</v>
      </c>
      <c r="H49" s="298" t="inlineStr">
        <is>
          <t>Reads the depreciation charge automatically</t>
        </is>
      </c>
      <c r="I49" s="298"/>
    </row>
    <row r="50" spans="1:9" x14ac:dyDescent="0.15">
      <c r="A50" s="298"/>
      <c r="B50" s="298" t="s">
        <v>407</v>
      </c>
      <c r="C50" s="299">
        <f>C22*$I$50</f>
        <v>0</v>
      </c>
      <c r="D50" s="299">
        <f>D22*$I$50</f>
        <v>0</v>
      </c>
      <c r="E50" s="299">
        <f>E22*$I$50</f>
        <v>0</v>
      </c>
      <c r="F50" s="299">
        <f>F22*$I$50</f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IF(E5&lt;=0,0,MAX(0,Admin!N$4-MAX(0,E5-Admin!N$5)/2))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x14ac:dyDescent="0.15">
      <c r="A9" s="96"/>
      <c r="B9" s="108" t="s">
        <v>128</v>
      </c>
      <c r="C9" s="108">
        <f>Admin!M$11</f>
        <v>37700</v>
      </c>
      <c r="D9" s="144">
        <f>Admin!N$7</f>
        <v>0.4</v>
      </c>
      <c r="E9" s="99">
        <f>IF(E7&gt;C9,(MIN(E7,C10)-C9)*D9,0)</f>
        <v>0</v>
      </c>
      <c r="F9" s="122"/>
      <c r="G9" s="120"/>
      <c r="M9" s="293"/>
    </row>
    <row r="10" spans="1:13" ht="14" thickBot="1" x14ac:dyDescent="0.2">
      <c r="A10" s="96"/>
      <c r="B10" s="108" t="inlineStr">
        <is>
          <t>Income Tax third band</t>
        </is>
      </c>
      <c r="C10" s="108">
        <f>Admin!N$13</f>
        <v>125140</v>
      </c>
      <c r="D10" s="144">
        <f>Admin!N$8</f>
        <v>0.45</v>
      </c>
      <c r="E10" s="99">
        <f>IF(E7&gt;C10,(E7-C10)*D10,0)</f>
        <v>0</v>
      </c>
      <c r="F10" s="122"/>
      <c r="G10" s="120"/>
      <c r="M10" s="293"/>
    </row>
    <row r="11" spans="1:13" ht="14" thickBot="1" x14ac:dyDescent="0.2">
      <c r="A11" s="96"/>
      <c r="B11" s="114" t="s">
        <v>101</v>
      </c>
      <c r="C11" s="139"/>
      <c r="D11" s="136"/>
      <c r="E11" s="292">
        <f>SUM(E8:E10)</f>
        <v>0</v>
      </c>
      <c r="F11" s="123"/>
      <c r="G11" s="121"/>
      <c r="M11" s="293"/>
    </row>
    <row r="12" spans="1:13" x14ac:dyDescent="0.15">
      <c r="A12" s="96"/>
      <c r="B12" s="108" t="s">
        <v>4</v>
      </c>
      <c r="C12" s="108"/>
      <c r="D12" s="101"/>
      <c r="E12" s="99">
        <f>-[2]Mar!$X$1</f>
        <v>0</v>
      </c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SUM(E11:E17)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[1]Schedule!$Q$1+[1]Schedule!$R$1+[1]Schedule!$AC$1+[1]Schedule!$Y$1-[1]Schedule!$Z$1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IF(C39&lt;=0,0,MAX(0,Admin!N$4-MAX(0,C39-Admin!N$5)/2))</f>
        <v>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IF((C41&gt;0),(IF((C41&lt;Admin!M$11),C41*Admin!N$6,Admin!M$11*Admin!N$6)),0)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IF(C41&gt;Admin!M$11,(MIN(C41,Admin!N$13)-Admin!M$11)*Admin!N$7,0)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inlineStr">
        <is>
          <t>Tax at additional rate</t>
        </is>
      </c>
      <c r="C44" s="128">
        <f>IF(C41&gt;Admin!N$13,(C41-Admin!N$13)*Admin!N$8,0)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x14ac:dyDescent="0.15">
      <c r="A45" s="23"/>
      <c r="B45" s="87" t="s">
        <v>93</v>
      </c>
      <c r="C45" s="128">
        <f>IF(C39&gt;Admin!N$20,IF(C39&lt;Admin!N$23,(C39-Admin!N$20)*Admin!L$20,(Admin!N$23-Admin!N$20)*Admin!L$20),0)+IF(C39&gt;Admin!N$23,(C39-Admin!N$23)*Admin!L$23,0)</f>
        <v>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C42+C43+C44+C45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45351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45382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45388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45412</v>
      </c>
      <c r="C5" s="147"/>
      <c r="D5" s="450" t="s">
        <v>104</v>
      </c>
      <c r="E5" s="450"/>
      <c r="F5" s="450"/>
      <c r="G5" s="148">
        <v>0.18</v>
      </c>
      <c r="H5" s="147"/>
      <c r="I5" s="450" t="inlineStr">
        <is>
          <t>Personal allowance taper threshold</t>
        </is>
      </c>
      <c r="J5" s="147"/>
      <c r="K5" s="147"/>
      <c r="L5" s="147"/>
      <c r="M5" s="147"/>
      <c r="N5" s="152">
        <v>100000</v>
      </c>
      <c r="O5" s="146" t="s">
        <v>51</v>
      </c>
    </row>
    <row r="6" spans="1:15" ht="12" customHeight="1" x14ac:dyDescent="0.15">
      <c r="A6" s="147"/>
      <c r="B6" s="164">
        <v>45443</v>
      </c>
      <c r="C6" s="147"/>
      <c r="D6" s="450" t="inlineStr">
        <is>
          <t>Special rate writing down allowance</t>
        </is>
      </c>
      <c r="E6" s="147"/>
      <c r="F6" s="147"/>
      <c r="G6" s="148">
        <v>0.06</v>
      </c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45473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45504</v>
      </c>
      <c r="C8" s="147"/>
      <c r="D8" s="147"/>
      <c r="E8" s="152"/>
      <c r="F8" s="147"/>
      <c r="G8" s="152"/>
      <c r="H8" s="147"/>
      <c r="I8" s="450" t="inlineStr">
        <is>
          <t>Additional rate applicable above the higher rate limit</t>
        </is>
      </c>
      <c r="J8" s="147"/>
      <c r="K8" s="147"/>
      <c r="L8" s="147"/>
      <c r="M8" s="147"/>
      <c r="N8" s="148">
        <v>0.45</v>
      </c>
      <c r="O8" s="146" t="s">
        <v>116</v>
      </c>
    </row>
    <row r="9" spans="1:15" ht="12" customHeight="1" x14ac:dyDescent="0.15">
      <c r="A9" s="147"/>
      <c r="B9" s="164">
        <v>45535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45565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45596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45626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0.4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45657</v>
      </c>
      <c r="C13" s="147"/>
      <c r="D13" s="450" t="s">
        <v>106</v>
      </c>
      <c r="E13" s="450"/>
      <c r="F13" s="450"/>
      <c r="G13" s="148">
        <v>0</v>
      </c>
      <c r="H13" s="147"/>
      <c r="I13" s="147" t="inlineStr">
        <is>
          <t>Additional rate</t>
        </is>
      </c>
      <c r="J13" s="147"/>
      <c r="K13" s="151">
        <v>0.45</v>
      </c>
      <c r="L13" s="146">
        <v>125141</v>
      </c>
      <c r="M13" s="147"/>
      <c r="N13" s="152">
        <v>125140</v>
      </c>
      <c r="O13" s="147"/>
    </row>
    <row r="14" spans="1:15" ht="12" customHeight="1" x14ac:dyDescent="0.15">
      <c r="A14" s="147"/>
      <c r="B14" s="164">
        <v>45688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45716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45747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0</v>
      </c>
      <c r="M16" s="147" t="s">
        <v>436</v>
      </c>
      <c r="N16" s="152">
        <v>6725</v>
      </c>
      <c r="O16" s="146" t="s">
        <v>51</v>
      </c>
    </row>
    <row r="17" spans="1:15" ht="12" customHeight="1" thickBot="1" x14ac:dyDescent="0.2">
      <c r="A17" s="147"/>
      <c r="B17" s="175">
        <v>45752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45777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45808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45838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0.06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46053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46234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2024-25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2025-26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64">
        <v>45869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8">
    <mergeCell ref="I5:M5"/>
    <mergeCell ref="I8:M8"/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DIY Accounting Limited</dc:creator>
  <cp:lastModifiedBy>DIY Accounting Limited</cp:lastModifiedBy>
  <cp:lastPrinted>2008-06-02T20:53:06Z</cp:lastPrinted>
  <dcterms:created xsi:type="dcterms:W3CDTF">2002-12-30T15:31:19Z</dcterms:created>
  <dcterms:modified xsi:type="dcterms:W3CDTF">2025-04-03T22:48:48Z</dcterms:modified>
  <dc:description>Copyright (C) 2006-2026 DIY Accounting Limited. Licensed under the PolyForm Internal Use License 1.0.0 with an additional grant for accountants.</dc:description>
</cp:coreProperties>
</file>