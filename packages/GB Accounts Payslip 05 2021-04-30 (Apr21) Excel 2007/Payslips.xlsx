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<sst xmlns="http://schemas.openxmlformats.org/spreadsheetml/2006/main" count="1383" uniqueCount="138">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</sst>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May!M39+1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Jun!M39+1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89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92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92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92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5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IF(T$9="Y",Aug!#REF!,0)</f>
        <v>0</v>
      </c>
      <c r="I11" s="89">
        <f>IF(T$9="Y",Aug!#REF!,0)</f>
        <v>0</v>
      </c>
      <c r="J11" s="89">
        <f>IF(T$9="Y",Aug!#REF!,0)</f>
        <v>0</v>
      </c>
      <c r="K11" s="89">
        <v>0</v>
      </c>
      <c r="L11" s="110">
        <f>IF(T$9="Y",Aug!#REF!,0)</f>
        <v>0</v>
      </c>
      <c r="M11" s="110" t="str">
        <f>IF(E11=" "," ",IF(T$9="Y",Aug!#REF!,IF((H11+K11+L11)&gt;0,H11+K11+L11,"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IF(T$9="Y",Aug!#REF!,0)</f>
        <v>0</v>
      </c>
      <c r="I12" s="92">
        <f>IF(T$9="Y",Aug!#REF!,0)</f>
        <v>0</v>
      </c>
      <c r="J12" s="92">
        <f>IF(T$9="Y",Aug!#REF!,0)</f>
        <v>0</v>
      </c>
      <c r="K12" s="92">
        <f>IF(T$9="Y",Aug!#REF!,I12*J12)</f>
        <v>0</v>
      </c>
      <c r="L12" s="111">
        <f>IF(T$9="Y",Aug!#REF!,0)</f>
        <v>0</v>
      </c>
      <c r="M12" s="111" t="str">
        <f>IF(E12=" "," ",IF(T$9="Y",Aug!#REF!,IF((H12+K12+L12)&gt;0,H12+K12+L12,"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IF(T$9="Y",Aug!#REF!,0)</f>
        <v>0</v>
      </c>
      <c r="I13" s="92">
        <f>IF(T$9="Y",Aug!#REF!,0)</f>
        <v>0</v>
      </c>
      <c r="J13" s="92">
        <f>IF(T$9="Y",Aug!#REF!,0)</f>
        <v>0</v>
      </c>
      <c r="K13" s="92">
        <f>IF(T$9="Y",Aug!#REF!,I13*J13)</f>
        <v>0</v>
      </c>
      <c r="L13" s="111">
        <f>IF(T$9="Y",Aug!#REF!,0)</f>
        <v>0</v>
      </c>
      <c r="M13" s="111" t="str">
        <f>IF(E13=" "," ",IF(T$9="Y",Aug!#REF!,IF((H13+K13+L13)&gt;0,H13+K13+L13,"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IF(T$9="Y",Aug!#REF!,0)</f>
        <v>0</v>
      </c>
      <c r="I14" s="92">
        <f>IF(T$9="Y",Aug!#REF!,0)</f>
        <v>0</v>
      </c>
      <c r="J14" s="92">
        <f>IF(T$9="Y",Aug!#REF!,0)</f>
        <v>0</v>
      </c>
      <c r="K14" s="92">
        <f>IF(T$9="Y",Aug!#REF!,I14*J14)</f>
        <v>0</v>
      </c>
      <c r="L14" s="111">
        <f>IF(T$9="Y",Aug!#REF!,0)</f>
        <v>0</v>
      </c>
      <c r="M14" s="111" t="str">
        <f>IF(E14=" "," ",IF(T$9="Y",Aug!#REF!,IF((H14+K14+L14)&gt;0,H14+K14+L14,"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IF(T$9="Y",Aug!#REF!,0)</f>
        <v>0</v>
      </c>
      <c r="I15" s="245">
        <f>IF(T$9="Y",Aug!#REF!,0)</f>
        <v>0</v>
      </c>
      <c r="J15" s="245">
        <f>IF(T$9="Y",Aug!#REF!,0)</f>
        <v>0</v>
      </c>
      <c r="K15" s="245">
        <f>IF(T$9="Y",Aug!#REF!,I15*J15)</f>
        <v>0</v>
      </c>
      <c r="L15" s="246">
        <f>IF(T$9="Y",Aug!#REF!,0)</f>
        <v>0</v>
      </c>
      <c r="M15" s="246" t="str">
        <f>IF(E15=" "," ",IF(T$9="Y",Aug!#REF!,IF((H15+K15+L15)&gt;0,H15+K15+L15,"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89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92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92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92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IF(T$49="Y",Aug!H55,0)</f>
        <v>0</v>
      </c>
      <c r="I55" s="92">
        <f>IF(T$49="Y",Aug!I55,0)</f>
        <v>0</v>
      </c>
      <c r="J55" s="92">
        <f>IF(T$49="Y",Aug!J55,0)</f>
        <v>0</v>
      </c>
      <c r="K55" s="92">
        <f>IF(T$49="Y",Aug!K55,I55*J55)</f>
        <v>0</v>
      </c>
      <c r="L55" s="92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Sep!M39+1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99" t="str">
        <f>IF(E11=" "," ",IF(T$9="Y",Oct!M51,IF((H11+K11+L11)&gt;0,H11+K11+L11,"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00" t="str">
        <f>IF(E12=" "," ",IF(T$9="Y",Oct!M52,IF((H12+K12+L12)&gt;0,H12+K12+L12,"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00" t="str">
        <f>IF(E13=" "," ",IF(T$9="Y",Oct!M53,IF((H13+K13+L13)&gt;0,H13+K13+L13,"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00" t="str">
        <f>IF(E14=" "," ",IF(T$9="Y",Oct!M54,IF((H14+K14+L14)&gt;0,H14+K14+L14,"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247" t="str">
        <f>IF(E15=" "," ",IF(T$9="Y",Oct!M55,IF((H15+K15+L15)&gt;0,H15+K15+L15,"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Dec!M39+1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Jan!M49+1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110" t="str">
        <f>IF(E11=" "," ",IF(T$9="Y",Jan!M51,IF((H11+K11+L11)&gt;0,H11+K11+L11,"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11" t="str">
        <f>IF(E12=" "," ",IF(T$9="Y",Jan!M52,IF((H12+K12+L12)&gt;0,H12+K12+L12,"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11" t="str">
        <f>IF(E13=" "," ",IF(T$9="Y",Jan!M53,IF((H13+K13+L13)&gt;0,H13+K13+L13,"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11" t="str">
        <f>IF(E14=" "," ",IF(T$9="Y",Jan!M54,IF((H14+K14+L14)&gt;0,H14+K14+L14,"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111" t="str">
        <f>IF(E15=" "," ",IF(T$9="Y",Jan!M55,IF((H15+K15+L15)&gt;0,H15+K15+L15,"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Feb!M39+1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IF(T$19="Y",Feb!L45,0)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Mar!M39+1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IF(T$69="Y",Mar!H51,0)</f>
        <v>0</v>
      </c>
      <c r="I71" s="89">
        <f>IF(T$69="Y",Mar!I51,0)</f>
        <v>0</v>
      </c>
      <c r="J71" s="89">
        <f>IF(T$69="Y",Mar!J51,0)</f>
        <v>0</v>
      </c>
      <c r="K71" s="89">
        <f>IF(T$69="Y",Mar!K51,I71*J71)</f>
        <v>0</v>
      </c>
      <c r="L71" s="110">
        <f>IF(T$69="Y",Mar!L51,0)</f>
        <v>0</v>
      </c>
      <c r="M71" s="99" t="str">
        <f>IF(E71=" "," ",IF(T$69="Y",Mar!M51,IF((H71+K71+L71)&gt;0,H71+K71+L71,"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IF(Employee!H$35=E$69,Employee!D$34+SUM(M71)+Mar!V51,SUM(M71)+Mar!V51)</f>
        <v>0</v>
      </c>
      <c r="W71" s="49">
        <f>IF(Employee!H$35=E$69,Employee!D$35+SUM(N71)+Mar!W51,SUM(N71)+Mar!W51)</f>
        <v>0</v>
      </c>
      <c r="X71" s="49">
        <f>IF(O71=" ",Mar!X51,O71+Mar!X51)</f>
        <v>0</v>
      </c>
      <c r="Y71" s="49">
        <f>IF(P71=" ",Mar!Y51,P71+Mar!Y51)</f>
        <v>0</v>
      </c>
      <c r="Z71" s="49">
        <f>IF(Q71=" ",Mar!Z51,Q71+Mar!Z51)</f>
        <v>0</v>
      </c>
      <c r="AA71" s="49">
        <f>IF(R71=" ",Mar!AA51,R71+Mar!AA51)</f>
        <v>0</v>
      </c>
      <c r="AC71" s="49">
        <f>IF(T71=" ",Mar!AC51,T71+Mar!AC51)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IF(T$69="Y",Mar!H52,0)</f>
        <v>0</v>
      </c>
      <c r="I72" s="92">
        <f>IF(T$69="Y",Mar!I52,0)</f>
        <v>0</v>
      </c>
      <c r="J72" s="92">
        <f>IF(T$69="Y",Mar!J52,0)</f>
        <v>0</v>
      </c>
      <c r="K72" s="92">
        <f>IF(T$69="Y",Mar!K52,I72*J72)</f>
        <v>0</v>
      </c>
      <c r="L72" s="111">
        <f>IF(T$69="Y",Mar!L52,0)</f>
        <v>0</v>
      </c>
      <c r="M72" s="100" t="str">
        <f>IF(E72=" "," ",IF(T$69="Y",Mar!M52,IF((H72+K72+L72)&gt;0,H72+K72+L72,"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IF(Employee!H$61=E$69,Employee!D$60+SUM(M72)+Mar!V52,SUM(M72)+Mar!V52)</f>
        <v>0</v>
      </c>
      <c r="W72" s="49">
        <f>IF(Employee!H$61=E$69,Employee!D$61+SUM(N72)+Mar!W52,SUM(N72)+Mar!W52)</f>
        <v>0</v>
      </c>
      <c r="X72" s="49">
        <f>IF(O72=" ",Mar!X52,O72+Mar!X52)</f>
        <v>0</v>
      </c>
      <c r="Y72" s="49">
        <f>IF(P72=" ",Mar!Y52,P72+Mar!Y52)</f>
        <v>0</v>
      </c>
      <c r="Z72" s="49">
        <f>IF(Q72=" ",Mar!Z52,Q72+Mar!Z52)</f>
        <v>0</v>
      </c>
      <c r="AA72" s="49">
        <f>IF(R72=" ",Mar!AA52,R72+Mar!AA52)</f>
        <v>0</v>
      </c>
      <c r="AC72" s="49">
        <f>IF(T72=" ",Mar!AC52,T72+Mar!AC52)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IF(T$69="Y",Mar!H53,0)</f>
        <v>0</v>
      </c>
      <c r="I73" s="92">
        <f>IF(T$69="Y",Mar!I53,0)</f>
        <v>0</v>
      </c>
      <c r="J73" s="92">
        <f>IF(T$69="Y",Mar!J53,0)</f>
        <v>0</v>
      </c>
      <c r="K73" s="92">
        <f>IF(T$69="Y",Mar!K53,I73*J73)</f>
        <v>0</v>
      </c>
      <c r="L73" s="111">
        <f>IF(T$69="Y",Mar!L53,0)</f>
        <v>0</v>
      </c>
      <c r="M73" s="100" t="str">
        <f>IF(E73=" "," ",IF(T$69="Y",Mar!M53,IF((H73+K73+L73)&gt;0,H73+K73+L73,"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IF(Employee!H$87=E$69,Employee!D$86+SUM(M73)+Mar!V53,SUM(M73)+Mar!V53)</f>
        <v>0</v>
      </c>
      <c r="W73" s="49">
        <f>IF(Employee!H$87=E$69,Employee!D$87+SUM(N73)+Mar!W53,SUM(N73)+Mar!W53)</f>
        <v>0</v>
      </c>
      <c r="X73" s="49">
        <f>IF(O73=" ",Mar!X53,O73+Mar!X53)</f>
        <v>0</v>
      </c>
      <c r="Y73" s="49">
        <f>IF(P73=" ",Mar!Y53,P73+Mar!Y53)</f>
        <v>0</v>
      </c>
      <c r="Z73" s="49">
        <f>IF(Q73=" ",Mar!Z53,Q73+Mar!Z53)</f>
        <v>0</v>
      </c>
      <c r="AA73" s="49">
        <f>IF(R73=" ",Mar!AA53,R73+Mar!AA53)</f>
        <v>0</v>
      </c>
      <c r="AC73" s="49">
        <f>IF(T73=" ",Mar!AC53,T73+Mar!AC53)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IF(T$69="Y",Mar!H54,0)</f>
        <v>0</v>
      </c>
      <c r="I74" s="92">
        <f>IF(T$69="Y",Mar!I54,0)</f>
        <v>0</v>
      </c>
      <c r="J74" s="92">
        <f>IF(T$69="Y",Mar!J54,0)</f>
        <v>0</v>
      </c>
      <c r="K74" s="92">
        <f>IF(T$69="Y",Mar!K54,I74*J74)</f>
        <v>0</v>
      </c>
      <c r="L74" s="111">
        <f>IF(T$69="Y",Mar!L54,0)</f>
        <v>0</v>
      </c>
      <c r="M74" s="100" t="str">
        <f>IF(E74=" "," ",IF(T$69="Y",Mar!M54,IF((H74+K74+L74)&gt;0,H74+K74+L74,"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IF(Employee!H$113=E$69,Employee!D$112+SUM(M74)+Mar!V54,SUM(M74)+Mar!V54)</f>
        <v>0</v>
      </c>
      <c r="W74" s="49">
        <f>IF(Employee!H$113=E$69,Employee!D$113+SUM(N74)+Mar!W54,SUM(N74)+Mar!W54)</f>
        <v>0</v>
      </c>
      <c r="X74" s="49">
        <f>IF(O74=" ",Mar!X54,O74+Mar!X54)</f>
        <v>0</v>
      </c>
      <c r="Y74" s="49">
        <f>IF(P74=" ",Mar!Y54,P74+Mar!Y54)</f>
        <v>0</v>
      </c>
      <c r="Z74" s="49">
        <f>IF(Q74=" ",Mar!Z54,Q74+Mar!Z54)</f>
        <v>0</v>
      </c>
      <c r="AA74" s="49">
        <f>IF(R74=" ",Mar!AA54,R74+Mar!AA54)</f>
        <v>0</v>
      </c>
      <c r="AC74" s="49">
        <f>IF(T74=" ",Mar!AC54,T74+Mar!AC54)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IF(T$69="Y",Mar!H55,0)</f>
        <v>0</v>
      </c>
      <c r="I75" s="245">
        <f>IF(T$69="Y",Mar!I55,0)</f>
        <v>0</v>
      </c>
      <c r="J75" s="245">
        <f>IF(T$69="Y",Mar!J55,0)</f>
        <v>0</v>
      </c>
      <c r="K75" s="245">
        <f>IF(T$69="Y",Mar!K55,I75*J75)</f>
        <v>0</v>
      </c>
      <c r="L75" s="246">
        <f>IF(T$69="Y",Mar!L55,0)</f>
        <v>0</v>
      </c>
      <c r="M75" s="100" t="str">
        <f>IF(E75=" "," ",IF(T$69="Y",Mar!M55,IF((H75+K75+L75)&gt;0,H75+K75+L75,"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IF(Employee!H$139=E$69,Employee!D$138+SUM(M75)+Mar!V55,SUM(M75)+Mar!V55)</f>
        <v>0</v>
      </c>
      <c r="W75" s="49">
        <f>IF(Employee!H$139=E$69,Employee!D$139+SUM(N75)+Mar!W55,SUM(N75)+Mar!W55)</f>
        <v>0</v>
      </c>
      <c r="X75" s="49">
        <f>IF(O75=" ",Mar!X55,O75+Mar!X55)</f>
        <v>0</v>
      </c>
      <c r="Y75" s="49">
        <f>IF(P75=" ",Mar!Y55,P75+Mar!Y55)</f>
        <v>0</v>
      </c>
      <c r="Z75" s="49">
        <f>IF(Q75=" ",Mar!Z55,Q75+Mar!Z55)</f>
        <v>0</v>
      </c>
      <c r="AA75" s="49">
        <f>IF(R75=" ",Mar!AA55,R75+Mar!AA55)</f>
        <v>0</v>
      </c>
      <c r="AC75" s="49">
        <f>IF(T75=" ",Mar!AC55,T75+Mar!AC55)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AD80+Mar!AD65</f>
        <v>0</v>
      </c>
      <c r="AE85" s="158">
        <f>AE80+Mar!AE65</f>
        <v>0</v>
      </c>
      <c r="AF85" s="158">
        <f>AF80+Mar!AF65</f>
        <v>0</v>
      </c>
      <c r="AG85" s="158">
        <f>AG80+Mar!AG65</f>
        <v>0</v>
      </c>
    </row>
    <row r="86" spans="6:33" ht="14" thickTop="1" x14ac:dyDescent="0.15"/>
    <row r="87" spans="6:33" x14ac:dyDescent="0.15">
      <c r="AD87" s="162"/>
      <c r="AE87" s="158">
        <f>AE82+Mar!AE67</f>
        <v>0</v>
      </c>
      <c r="AF87" s="158">
        <f>AF82+Mar!AF67</f>
        <v>0</v>
      </c>
      <c r="AG87" s="158">
        <f>AG82+Mar!AG67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May!T1+May!O1</f>
        <v>0</v>
      </c>
      <c r="E4" s="228">
        <f>May!N1</f>
        <v>0</v>
      </c>
      <c r="F4" s="228">
        <f>May!AD60+May!AE60+May!AF60+May!AG60</f>
        <v>0</v>
      </c>
      <c r="G4" s="228">
        <f>May!AE62+May!AF62+May!AG62</f>
        <v>0</v>
      </c>
      <c r="H4" s="228">
        <f>May!P1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Jun!T1+Jun!O1</f>
        <v>0</v>
      </c>
      <c r="E5" s="228">
        <f>Jun!N1</f>
        <v>0</v>
      </c>
      <c r="F5" s="228">
        <f>Jun!AD60+Jun!AE60+Jun!AF60+Jun!AG60</f>
        <v>0</v>
      </c>
      <c r="G5" s="228">
        <f>Jun!AE62+Jun!AF62+Jun!AG62</f>
        <v>0</v>
      </c>
      <c r="H5" s="228">
        <f>Jun!P1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Jul!T1+Jul!O1</f>
        <v>0</v>
      </c>
      <c r="E6" s="228">
        <f>Jul!N1</f>
        <v>0</v>
      </c>
      <c r="F6" s="228">
        <f>Jul!AD70+Jul!AE70+Jul!AF70+Jul!AG70</f>
        <v>0</v>
      </c>
      <c r="G6" s="228">
        <f>Jul!AE72+Jul!AF72+Jul!AG72</f>
        <v>0</v>
      </c>
      <c r="H6" s="228">
        <f>Jul!P1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Aug!T1+Aug!O1</f>
        <v>0</v>
      </c>
      <c r="E7" s="228">
        <f>Aug!N1</f>
        <v>0</v>
      </c>
      <c r="F7" s="228">
        <f>Aug!AD60+Aug!AE60+Aug!AF60+Aug!AG60</f>
        <v>0</v>
      </c>
      <c r="G7" s="228">
        <f>Aug!AE62+Aug!AF62+Aug!AG62</f>
        <v>0</v>
      </c>
      <c r="H7" s="228">
        <f>Aug!P1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Sep!T1+Sep!O1</f>
        <v>0</v>
      </c>
      <c r="E8" s="228">
        <f>Sep!N1</f>
        <v>0</v>
      </c>
      <c r="F8" s="228">
        <f>Sep!AD60+Sep!AE60+Sep!AF60+Sep!AG60</f>
        <v>0</v>
      </c>
      <c r="G8" s="228">
        <f>Sep!AE62+Sep!AF62+Sep!AG62</f>
        <v>0</v>
      </c>
      <c r="H8" s="228">
        <f>Sep!P1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Oct!T1+Oct!O1</f>
        <v>0</v>
      </c>
      <c r="E9" s="228">
        <f>Oct!N1</f>
        <v>0</v>
      </c>
      <c r="F9" s="228">
        <f>Oct!AD70+Oct!AE70+Oct!AF70+Oct!AG70</f>
        <v>0</v>
      </c>
      <c r="G9" s="228">
        <f>Oct!AE72+Oct!AF72+Oct!AG72</f>
        <v>0</v>
      </c>
      <c r="H9" s="228">
        <f>Oct!P1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Nov!T1+Nov!O1</f>
        <v>0</v>
      </c>
      <c r="E10" s="228">
        <f>Nov!N1</f>
        <v>0</v>
      </c>
      <c r="F10" s="228">
        <f>Nov!AD60+Nov!AE60+Nov!AF60+Nov!AG60</f>
        <v>0</v>
      </c>
      <c r="G10" s="228">
        <f>Nov!AE62+Nov!AF62+Nov!AG62</f>
        <v>0</v>
      </c>
      <c r="H10" s="228">
        <f>Nov!P1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Dec!T1+Dec!O1</f>
        <v>0</v>
      </c>
      <c r="E11" s="228">
        <f>Dec!N1</f>
        <v>0</v>
      </c>
      <c r="F11" s="228">
        <f>Dec!AD60+Dec!AE60+Dec!AF60+Dec!AG60</f>
        <v>0</v>
      </c>
      <c r="G11" s="228">
        <f>Dec!AE62+Dec!AF62+Dec!AG62</f>
        <v>0</v>
      </c>
      <c r="H11" s="228">
        <f>Dec!P1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Jan!T1+Jan!O1</f>
        <v>0</v>
      </c>
      <c r="E12" s="228">
        <f>Jan!N1</f>
        <v>0</v>
      </c>
      <c r="F12" s="228">
        <f>Jan!AD70+Jan!AE70+Jan!AF70+Jan!AG70</f>
        <v>0</v>
      </c>
      <c r="G12" s="228">
        <f>Jan!AE72+Jan!AF72+Jan!AG72</f>
        <v>0</v>
      </c>
      <c r="H12" s="228">
        <f>Jan!P1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Feb!T1+Feb!O1</f>
        <v>0</v>
      </c>
      <c r="E13" s="228">
        <f>Feb!N1</f>
        <v>0</v>
      </c>
      <c r="F13" s="228">
        <f>Feb!AD60+Feb!AE60+Feb!AF60+Feb!AG60</f>
        <v>0</v>
      </c>
      <c r="G13" s="228">
        <f>Feb!AE62+Feb!AF62+Feb!AG62</f>
        <v>0</v>
      </c>
      <c r="H13" s="228">
        <f>Feb!P1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Mar!T1+Mar!O1</f>
        <v>0</v>
      </c>
      <c r="E14" s="228">
        <f>Mar!N1</f>
        <v>0</v>
      </c>
      <c r="F14" s="228">
        <f>Mar!AD60+Mar!AE60+Mar!AF60+Mar!AG60</f>
        <v>0</v>
      </c>
      <c r="G14" s="228">
        <f>Mar!AE62+Mar!AF62+Mar!AG62</f>
        <v>0</v>
      </c>
      <c r="H14" s="228">
        <f>Mar!P1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Apr!T1+Apr!O1</f>
        <v>0</v>
      </c>
      <c r="E15" s="228">
        <f>Apr!N1</f>
        <v>0</v>
      </c>
      <c r="F15" s="228">
        <f>Apr!AD80+Apr!AE80+Apr!AF80+Apr!AG80</f>
        <v>0</v>
      </c>
      <c r="G15" s="228">
        <f>Apr!AE82+Apr!AF82+Apr!AG82</f>
        <v>0</v>
      </c>
      <c r="H15" s="228">
        <f>Apr!P1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