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 r:id="rId9"/>
    <externalReference r:id="rId10"/>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<sst xmlns="http://schemas.openxmlformats.org/spreadsheetml/2006/main" count="95" uniqueCount="67">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</sst>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 Id="rId9" Type="http://schemas.openxmlformats.org/officeDocument/2006/relationships/externalLink" Target="externalLinks/externalLink2.xml"/><Relationship Id="rId10"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43739</v>
          </cell>
        </row>
        <row r="7">
          <cell r="G7">
            <v>100</v>
          </cell>
          <cell r="N7">
            <v>44104</v>
          </cell>
        </row>
        <row r="11">
          <cell r="N11">
            <v>44104</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Oct"/>
      <sheetName val="Nov"/>
      <sheetName val="Dec"/>
      <sheetName val="Jan"/>
      <sheetName val="Feb"/>
      <sheetName val="Mar"/>
      <sheetName val="Apr"/>
      <sheetName val="May"/>
      <sheetName val="Jun"/>
      <sheetName val="Jul"/>
      <sheetName val="Aug"/>
      <sheetName val="Sep"/>
      <sheetName val="ClosingCredi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I2">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Oct"/>
      <sheetName val="Nov"/>
      <sheetName val="Dec"/>
      <sheetName val="Jan"/>
      <sheetName val="Feb"/>
      <sheetName val="Mar"/>
      <sheetName val="Apr"/>
      <sheetName val="May"/>
      <sheetName val="Jun"/>
      <sheetName val="Jul"/>
      <sheetName val="Aug"/>
      <sheetName val="Sep"/>
      <sheetName val="ClosingDeb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U2">
            <v>0</v>
          </cell>
        </row>
      </sheetData>
      <sheetData sheetId="13"/>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f>[2]Sep!$AI$2</f>
        <v>0</v>
      </c>
      <c r="F13" s="49"/>
      <c r="G13" s="172" t="s">
        <v>27</v>
      </c>
      <c r="H13" s="172"/>
      <c r="I13" s="172"/>
      <c r="J13" s="173"/>
      <c r="K13" s="53">
        <f>[3]Sep!$U$2</f>
        <v>0</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str">
        <f>IF(E15&gt;0,"Purchases exceed Assets listed on Schedule",IF(E15&lt;0,"Assets listed on Schedule exceed Purchase values","Purchases reconcile with Fixed asset Schedule"))</f>
        <v>Purchases reconcile with Fixed asset Schedule</v>
      </c>
      <c r="C15" s="170"/>
      <c r="D15" s="171"/>
      <c r="E15" s="104">
        <f>E13-E11</f>
        <v>0</v>
      </c>
      <c r="F15" s="49"/>
      <c r="G15" s="169" t="str">
        <f>IF(K15&gt;0,"Sales exceed Assets listed on Schedule",IF(K15&lt;0,"Assets listed on Schedule exceed Sales values","Sales reconcile with Fixed asset Schedule"))</f>
        <v>Sales reconcile with Fixed asset Schedule</v>
      </c>
      <c r="H15" s="170"/>
      <c r="I15" s="170"/>
      <c r="J15" s="171"/>
      <c r="K15" s="104">
        <f>K13-K11</f>
        <v>0</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