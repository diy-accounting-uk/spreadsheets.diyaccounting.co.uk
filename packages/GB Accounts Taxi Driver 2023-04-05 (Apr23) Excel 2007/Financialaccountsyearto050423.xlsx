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<sst xmlns="http://schemas.openxmlformats.org/spreadsheetml/2006/main" count="1045" uniqueCount="316">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</sst>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9</v>
      </c>
      <c r="B35" s="158"/>
      <c r="C35" s="210" t="s">
        <v>162</v>
      </c>
      <c r="D35" s="210"/>
      <c r="E35" s="210"/>
      <c r="F35" s="210"/>
      <c r="G35" s="210"/>
      <c r="H35" s="210"/>
      <c r="I35" s="210"/>
      <c r="J35" s="210"/>
      <c r="K35" s="210"/>
      <c r="L35" s="219">
        <v>10</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11</v>
      </c>
      <c r="B44" s="158"/>
      <c r="C44" s="210" t="s">
        <v>169</v>
      </c>
      <c r="D44" s="210"/>
      <c r="E44" s="210"/>
      <c r="F44" s="210"/>
      <c r="G44" s="210"/>
      <c r="H44" s="210"/>
      <c r="I44" s="210"/>
      <c r="J44" s="210"/>
      <c r="K44" s="210"/>
      <c r="L44" s="219">
        <v>16</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Acc'!B5&lt;Admin!F26)," ",'Profit &amp; Loss Acc'!B12-'Profit &amp; Loss Acc'!B10)</f>
        <v xml:space="preserve"> </v>
      </c>
      <c r="E46" s="380"/>
      <c r="F46" s="381"/>
      <c r="G46" s="234" t="s">
        <v>153</v>
      </c>
      <c r="H46" s="235">
        <v>0</v>
      </c>
      <c r="I46" s="235">
        <v>0</v>
      </c>
      <c r="J46" s="158"/>
      <c r="K46" s="158"/>
      <c r="L46" s="158"/>
      <c r="M46" s="158"/>
      <c r="N46" s="233" t="s">
        <v>50</v>
      </c>
      <c r="O46" s="379" t="str">
        <f>IF(('Profit &amp; Loss Acc'!B5&lt;Admin!F26),"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12</v>
      </c>
      <c r="B48" s="158"/>
      <c r="C48" s="210" t="s">
        <v>171</v>
      </c>
      <c r="D48" s="210"/>
      <c r="E48" s="210"/>
      <c r="F48" s="210"/>
      <c r="G48" s="210"/>
      <c r="H48" s="210"/>
      <c r="I48" s="210"/>
      <c r="J48" s="210"/>
      <c r="K48" s="210"/>
      <c r="L48" s="219">
        <v>17</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Acc'!B5&lt;Admin!F26),"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13</v>
      </c>
      <c r="B53" s="158"/>
      <c r="C53" s="210" t="s">
        <v>174</v>
      </c>
      <c r="D53" s="210"/>
      <c r="E53" s="210"/>
      <c r="F53" s="210"/>
      <c r="G53" s="210"/>
      <c r="H53" s="210"/>
      <c r="I53" s="210"/>
      <c r="J53" s="210"/>
      <c r="K53" s="210"/>
      <c r="L53" s="219">
        <v>18</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Acc'!B5&lt;Admin!F26)," ",'Profit &amp; Loss Acc'!B14)</f>
        <v xml:space="preserve"> </v>
      </c>
      <c r="E55" s="380"/>
      <c r="F55" s="381"/>
      <c r="G55" s="234" t="s">
        <v>153</v>
      </c>
      <c r="H55" s="235">
        <v>0</v>
      </c>
      <c r="I55" s="235">
        <v>0</v>
      </c>
      <c r="J55" s="158"/>
      <c r="K55" s="158"/>
      <c r="L55" s="158"/>
      <c r="M55" s="158"/>
      <c r="N55" s="233" t="s">
        <v>50</v>
      </c>
      <c r="O55" s="379" t="str">
        <f>IF(('Profit &amp; Loss Acc'!B5&lt;Admin!F26),"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14</v>
      </c>
      <c r="B57" s="158"/>
      <c r="C57" s="210" t="s">
        <v>176</v>
      </c>
      <c r="D57" s="210"/>
      <c r="E57" s="210"/>
      <c r="F57" s="210"/>
      <c r="G57" s="210"/>
      <c r="H57" s="210"/>
      <c r="I57" s="210"/>
      <c r="J57" s="210"/>
      <c r="K57" s="210"/>
      <c r="L57" s="219">
        <v>19</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Acc'!B5&lt;Admin!F26)," ",'Profit &amp; Loss Acc'!B15)</f>
        <v xml:space="preserve"> </v>
      </c>
      <c r="E60" s="380"/>
      <c r="F60" s="381"/>
      <c r="G60" s="234" t="s">
        <v>153</v>
      </c>
      <c r="H60" s="235">
        <v>0</v>
      </c>
      <c r="I60" s="235">
        <v>0</v>
      </c>
      <c r="J60" s="158"/>
      <c r="K60" s="158"/>
      <c r="L60" s="158"/>
      <c r="M60" s="158"/>
      <c r="N60" s="233" t="s">
        <v>50</v>
      </c>
      <c r="O60" s="379" t="str">
        <f>IF(('Profit &amp; Loss Acc'!B5&lt;Admin!F26),"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15</v>
      </c>
      <c r="B62" s="158"/>
      <c r="C62" s="210" t="s">
        <v>179</v>
      </c>
      <c r="D62" s="210"/>
      <c r="E62" s="210"/>
      <c r="F62" s="210"/>
      <c r="G62" s="210"/>
      <c r="H62" s="210"/>
      <c r="I62" s="210"/>
      <c r="J62" s="210"/>
      <c r="K62" s="210"/>
      <c r="L62" s="219">
        <v>20</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21</v>
      </c>
      <c r="B68" s="158"/>
      <c r="C68" s="210" t="s">
        <v>182</v>
      </c>
      <c r="D68" s="210"/>
      <c r="E68" s="210"/>
      <c r="F68" s="210"/>
      <c r="G68" s="210"/>
      <c r="H68" s="210"/>
      <c r="I68" s="210"/>
      <c r="J68" s="210"/>
      <c r="K68" s="210"/>
      <c r="L68" s="219">
        <v>22</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23</v>
      </c>
      <c r="B78" s="158"/>
      <c r="C78" s="210" t="s">
        <v>132</v>
      </c>
      <c r="D78" s="210"/>
      <c r="E78" s="210"/>
      <c r="F78" s="210"/>
      <c r="G78" s="210"/>
      <c r="H78" s="210"/>
      <c r="I78" s="210"/>
      <c r="J78" s="210"/>
      <c r="K78" s="210"/>
      <c r="L78" s="219">
        <v>25</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24</v>
      </c>
      <c r="B82" s="158"/>
      <c r="C82" s="210" t="s">
        <v>215</v>
      </c>
      <c r="D82" s="158"/>
      <c r="E82" s="158"/>
      <c r="F82" s="158"/>
      <c r="G82" s="158"/>
      <c r="H82" s="158"/>
      <c r="I82" s="158"/>
      <c r="J82" s="158"/>
      <c r="K82" s="158"/>
      <c r="L82" s="219">
        <v>26</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27</v>
      </c>
      <c r="B91" s="158"/>
      <c r="C91" s="210" t="s">
        <v>194</v>
      </c>
      <c r="D91" s="210"/>
      <c r="E91" s="210"/>
      <c r="F91" s="210"/>
      <c r="G91" s="210"/>
      <c r="H91" s="210"/>
      <c r="I91" s="210"/>
      <c r="J91" s="210"/>
      <c r="K91" s="210"/>
      <c r="L91" s="219">
        <v>29</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28</v>
      </c>
      <c r="B96" s="158"/>
      <c r="C96" s="210" t="s">
        <v>220</v>
      </c>
      <c r="D96" s="210"/>
      <c r="E96" s="210"/>
      <c r="F96" s="210"/>
      <c r="G96" s="210"/>
      <c r="H96" s="210"/>
      <c r="I96" s="210"/>
      <c r="J96" s="210"/>
      <c r="K96" s="210"/>
      <c r="L96" s="219">
        <v>30</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31</v>
      </c>
      <c r="B103" s="158"/>
      <c r="C103" s="210" t="s">
        <v>222</v>
      </c>
      <c r="D103" s="210"/>
      <c r="E103" s="210"/>
      <c r="F103" s="210"/>
      <c r="G103" s="210"/>
      <c r="H103" s="210"/>
      <c r="I103" s="210"/>
      <c r="J103" s="210"/>
      <c r="K103" s="210"/>
      <c r="L103" s="219">
        <v>32</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33</v>
      </c>
      <c r="B111" s="158"/>
      <c r="C111" s="210" t="s">
        <v>201</v>
      </c>
      <c r="D111" s="210"/>
      <c r="E111" s="210"/>
      <c r="F111" s="210"/>
      <c r="G111" s="210"/>
      <c r="H111" s="210"/>
      <c r="I111" s="210"/>
      <c r="J111" s="210"/>
      <c r="K111" s="210"/>
      <c r="L111" s="219">
        <v>36</v>
      </c>
      <c r="M111" s="158"/>
      <c r="N111" s="210" t="str">
        <f>"If your total profits for "&amp;Admin!G2&amp;" are less than £"&amp;TEXT(Admin!N16,"#,##0")&amp;" and you"</f>
        <v>If your total profits for 2025-26 are less than £6,845 and you</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315</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34</v>
      </c>
      <c r="B116" s="158"/>
      <c r="C116" s="210" t="s">
        <v>204</v>
      </c>
      <c r="D116" s="210"/>
      <c r="E116" s="210"/>
      <c r="F116" s="210"/>
      <c r="G116" s="210"/>
      <c r="H116" s="210"/>
      <c r="I116" s="210"/>
      <c r="J116" s="210"/>
      <c r="K116" s="210"/>
      <c r="L116" s="219">
        <v>37</v>
      </c>
      <c r="M116" s="158"/>
      <c r="N116" s="210" t="s">
        <v>202</v>
      </c>
      <c r="O116" s="158"/>
      <c r="P116" s="158"/>
      <c r="Q116" s="158"/>
      <c r="R116" s="408"/>
      <c r="S116" s="409"/>
      <c r="T116" s="409"/>
      <c r="U116" s="210"/>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226</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35</v>
      </c>
      <c r="B120" s="158"/>
      <c r="C120" s="210" t="s">
        <v>209</v>
      </c>
      <c r="D120" s="210"/>
      <c r="E120" s="210"/>
      <c r="F120" s="210"/>
      <c r="G120" s="210"/>
      <c r="H120" s="210"/>
      <c r="I120" s="210"/>
      <c r="J120" s="210"/>
      <c r="K120" s="210"/>
      <c r="L120" s="219">
        <v>38</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IF(H18&gt;0,H18*J$4*(1-F18),"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IF(H19&gt;0,H19*J$4*(1-F19),"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IF(H20&gt;0,H20*J$4*(1-F20),"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IF(H21&gt;0,H21*J$4*(1-F21),"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IF(H22&gt;0,H22*J$4*(1-F22),"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IF(H26&gt;0,H26*J$4*(1-F26),"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IF(H27&gt;0,H27*J$4*(1-F27),"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IF(H28&gt;0,H28*J$4*(1-F28),"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IF(H29&gt;0,H29*J$4*(1-F29),"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IF(H30&gt;0,H30*J$4*(1-F30),"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IF(D47&gt;0,D47*J$4*(1-F47),"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IF(D48&gt;0,D48*J$4*(1-F48),"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IF(D49&gt;0,D49*J$4*(1-F49),"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IF(D50&gt;0,D50*J$4*(1-F50),"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IF(D51&gt;0,D51*J$4*(1-F51),"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IF(D55&gt;0,D55*J$4*(1-F55),"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IF(D56&gt;0,D56*J$4*(1-F56),"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IF(D57&gt;0,D57*J$4*(1-F57),"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IF(D58&gt;0,D58*J$4*(1-F58),"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IF(D59&gt;0,D59*J$4*(1-F59),"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IF(E5&lt;=0,0,MAX(0,Admin!N$4-MAX(0,E5-Admin!N$5)/2))</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Admin!M$11</f>
        <v>37700</v>
      </c>
      <c r="D9" s="144">
        <f>Admin!N$7</f>
        <v>0.4</v>
      </c>
      <c r="E9" s="25">
        <f>IF(E7&gt;C9,(MIN(E7,C10)-C9)*D9,0)</f>
        <v>0</v>
      </c>
      <c r="F9" s="26"/>
      <c r="G9" s="27"/>
      <c r="K9" s="324"/>
    </row>
    <row r="10" spans="1:11" ht="14" thickBot="1" x14ac:dyDescent="0.2">
      <c r="A10" s="23"/>
      <c r="B10" s="28" t="inlineStr">
        <is>
          <t>Income Tax third band</t>
        </is>
      </c>
      <c r="C10" s="28">
        <f>Admin!N$13</f>
        <v>125140</v>
      </c>
      <c r="D10" s="144">
        <f>Admin!N$8</f>
        <v>0.45</v>
      </c>
      <c r="E10" s="25">
        <f>IF(E7&gt;C10,(E7-C10)*D10,0)</f>
        <v>0</v>
      </c>
      <c r="F10" s="26"/>
      <c r="G10" s="27"/>
      <c r="K10" s="324"/>
    </row>
    <row r="11" spans="1:11" ht="14" thickBot="1" x14ac:dyDescent="0.2">
      <c r="A11" s="23"/>
      <c r="B11" s="32" t="inlineStr">
        <is>
          <t>Income Tax payable</t>
        </is>
      </c>
      <c r="C11" s="145"/>
      <c r="D11" s="33"/>
      <c r="E11" s="276">
        <f>SUM(E8:E10)</f>
        <v>0</v>
      </c>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SUM(E11:E16)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IF(C34&lt;=0,0,MAX(0,Admin!N$4-MAX(0,C34-Admin!N$5)/2))</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IF((C36&gt;0),(IF((C36&lt;Admin!M$11),C36*Admin!N$6,Admin!M$11*Admin!N$6)),0)</f>
        <v>0</v>
      </c>
      <c r="D37" s="118"/>
      <c r="E37" s="52"/>
      <c r="F37" s="52"/>
      <c r="G37" s="52"/>
      <c r="H37" s="52"/>
      <c r="I37" s="52"/>
      <c r="J37" s="52"/>
      <c r="K37" s="52"/>
      <c r="L37" s="52"/>
      <c r="M37" s="52"/>
      <c r="N37" s="52"/>
      <c r="O37" s="52"/>
      <c r="P37" s="52"/>
    </row>
    <row r="38" spans="1:16" x14ac:dyDescent="0.15">
      <c r="A38" s="52"/>
      <c r="B38" s="68" t="s">
        <v>59</v>
      </c>
      <c r="C38" s="67">
        <f>IF(C36&gt;Admin!M$11,(MIN(C36,Admin!N$13)-Admin!M$11)*Admin!N$7,0)</f>
        <v>0</v>
      </c>
      <c r="D38" s="52"/>
      <c r="E38" s="52"/>
      <c r="F38" s="52"/>
      <c r="G38" s="52"/>
      <c r="H38" s="52"/>
      <c r="I38" s="52"/>
      <c r="J38" s="52"/>
      <c r="K38" s="52"/>
      <c r="L38" s="52"/>
      <c r="M38" s="52"/>
      <c r="N38" s="52"/>
      <c r="O38" s="52"/>
      <c r="P38" s="52"/>
    </row>
    <row r="39" spans="1:16" x14ac:dyDescent="0.15">
      <c r="A39" s="52"/>
      <c r="B39" s="68" t="inlineStr">
        <is>
          <t>Tax at additional rate</t>
        </is>
      </c>
      <c r="C39" s="67">
        <f>IF(C36&gt;Admin!N$13,(C36-Admin!N$13)*Admin!N$8,0)</f>
        <v>0</v>
      </c>
      <c r="D39" s="52"/>
      <c r="E39" s="52"/>
      <c r="F39" s="52"/>
      <c r="G39" s="52"/>
      <c r="H39" s="52"/>
      <c r="I39" s="52"/>
      <c r="J39" s="52"/>
      <c r="K39" s="52"/>
      <c r="L39" s="52"/>
      <c r="M39" s="52"/>
      <c r="N39" s="52"/>
      <c r="O39" s="52"/>
      <c r="P39" s="52"/>
    </row>
    <row r="40" spans="1:16" x14ac:dyDescent="0.15">
      <c r="A40" s="52"/>
      <c r="B40" s="68" t="s">
        <v>60</v>
      </c>
      <c r="C40" s="67">
        <f>IF(C34&gt;Admin!N$20,IF(C34&lt;Admin!N$23,(C34-Admin!N$20)*Admin!L$20,(Admin!N$23-Admin!N$20)*Admin!L$20),0)+IF(C34&gt;Admin!N$23,(C34-Admin!N$23)*Admin!L$23,0)</f>
        <v>0</v>
      </c>
      <c r="D40" s="52"/>
      <c r="E40" s="52"/>
      <c r="F40" s="52"/>
      <c r="G40" s="52"/>
      <c r="H40" s="52"/>
      <c r="I40" s="52"/>
      <c r="J40" s="52"/>
      <c r="K40" s="52"/>
      <c r="L40" s="52"/>
      <c r="M40" s="52"/>
      <c r="N40" s="52"/>
      <c r="O40" s="52"/>
      <c r="P40" s="52"/>
    </row>
    <row r="41" spans="1:16" x14ac:dyDescent="0.15">
      <c r="A41" s="52"/>
      <c r="B41" s="68" t="s">
        <v>61</v>
      </c>
      <c r="C41" s="69">
        <f>C37+C38+C39+C40</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4"/>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SUM(D4:D34)</f>
        <v>0</v>
      </c>
      <c r="E1" s="303">
        <f>SUM(E4:E34)/2</f>
        <v>0</v>
      </c>
      <c r="F1" s="303">
        <f>SUM(F4:F34)/2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44657</v>
      </c>
      <c r="B5" s="297">
        <v>44657</v>
      </c>
      <c r="C5" s="296"/>
      <c r="D5" s="295"/>
      <c r="E5" s="294"/>
      <c r="F5" s="293"/>
    </row>
    <row r="6" spans="1:6" x14ac:dyDescent="0.15">
      <c r="A6" s="292">
        <v>44658</v>
      </c>
      <c r="B6" s="285">
        <v>44658</v>
      </c>
      <c r="F6" s="291"/>
    </row>
    <row r="7" spans="1:6" x14ac:dyDescent="0.15">
      <c r="A7" s="292">
        <v>44659</v>
      </c>
      <c r="B7" s="285">
        <v>44659</v>
      </c>
      <c r="F7" s="291"/>
    </row>
    <row r="8" spans="1:6" x14ac:dyDescent="0.15">
      <c r="A8" s="292">
        <v>44660</v>
      </c>
      <c r="B8" s="285">
        <v>44660</v>
      </c>
      <c r="F8" s="291"/>
    </row>
    <row r="9" spans="1:6" x14ac:dyDescent="0.15">
      <c r="A9" s="292">
        <v>44661</v>
      </c>
      <c r="B9" s="285">
        <v>44661</v>
      </c>
      <c r="F9" s="291"/>
    </row>
    <row r="10" spans="1:6" x14ac:dyDescent="0.15">
      <c r="A10" s="292">
        <v>44661</v>
      </c>
      <c r="B10" s="285" t="s">
        <v>234</v>
      </c>
      <c r="F10" s="291"/>
    </row>
    <row r="11" spans="1:6" x14ac:dyDescent="0.15">
      <c r="A11" s="292">
        <v>44661</v>
      </c>
      <c r="B11" s="285" t="s">
        <v>233</v>
      </c>
      <c r="F11" s="291"/>
    </row>
    <row r="12" spans="1:6" ht="14" thickBot="1" x14ac:dyDescent="0.2">
      <c r="A12" s="290"/>
      <c r="B12" s="289"/>
      <c r="C12" s="287"/>
      <c r="D12" s="288"/>
      <c r="E12" s="300">
        <f>SUM(E5:E11)</f>
        <v>0</v>
      </c>
      <c r="F12" s="299">
        <f>SUM(F5:F11)</f>
        <v>0</v>
      </c>
    </row>
    <row r="13" spans="1:6" ht="14" thickBot="1" x14ac:dyDescent="0.2"/>
    <row r="14" spans="1:6" x14ac:dyDescent="0.15">
      <c r="A14" s="298">
        <v>44662</v>
      </c>
      <c r="B14" s="297">
        <v>44662</v>
      </c>
      <c r="C14" s="296"/>
      <c r="D14" s="295"/>
      <c r="E14" s="294"/>
      <c r="F14" s="293"/>
    </row>
    <row r="15" spans="1:6" x14ac:dyDescent="0.15">
      <c r="A15" s="292">
        <v>44663</v>
      </c>
      <c r="B15" s="285">
        <v>44663</v>
      </c>
      <c r="F15" s="291"/>
    </row>
    <row r="16" spans="1:6" x14ac:dyDescent="0.15">
      <c r="A16" s="292">
        <v>44664</v>
      </c>
      <c r="B16" s="285">
        <v>44664</v>
      </c>
      <c r="F16" s="291"/>
    </row>
    <row r="17" spans="1:6" x14ac:dyDescent="0.15">
      <c r="A17" s="292">
        <v>44665</v>
      </c>
      <c r="B17" s="285">
        <v>44665</v>
      </c>
      <c r="F17" s="291"/>
    </row>
    <row r="18" spans="1:6" x14ac:dyDescent="0.15">
      <c r="A18" s="292">
        <v>44666</v>
      </c>
      <c r="B18" s="285">
        <v>44666</v>
      </c>
      <c r="F18" s="291"/>
    </row>
    <row r="19" spans="1:6" x14ac:dyDescent="0.15">
      <c r="A19" s="292">
        <v>44667</v>
      </c>
      <c r="B19" s="285">
        <v>44667</v>
      </c>
      <c r="F19" s="291"/>
    </row>
    <row r="20" spans="1:6" x14ac:dyDescent="0.15">
      <c r="A20" s="292">
        <v>44668</v>
      </c>
      <c r="B20" s="285">
        <v>44668</v>
      </c>
      <c r="F20" s="291"/>
    </row>
    <row r="21" spans="1:6" x14ac:dyDescent="0.15">
      <c r="A21" s="292">
        <v>44668</v>
      </c>
      <c r="B21" s="285" t="s">
        <v>234</v>
      </c>
      <c r="F21" s="291"/>
    </row>
    <row r="22" spans="1:6" x14ac:dyDescent="0.15">
      <c r="A22" s="292">
        <v>44668</v>
      </c>
      <c r="B22" s="285" t="s">
        <v>233</v>
      </c>
      <c r="F22" s="291"/>
    </row>
    <row r="23" spans="1:6" ht="14" thickBot="1" x14ac:dyDescent="0.2">
      <c r="A23" s="290"/>
      <c r="B23" s="289"/>
      <c r="C23" s="287"/>
      <c r="D23" s="288"/>
      <c r="E23" s="300">
        <f>SUM(E14:E22)</f>
        <v>0</v>
      </c>
      <c r="F23" s="299">
        <f>SUM(F14:F22)</f>
        <v>0</v>
      </c>
    </row>
    <row r="24" spans="1:6" ht="14" thickBot="1" x14ac:dyDescent="0.2"/>
    <row r="25" spans="1:6" x14ac:dyDescent="0.15">
      <c r="A25" s="298">
        <v>44669</v>
      </c>
      <c r="B25" s="297">
        <v>44669</v>
      </c>
      <c r="C25" s="296"/>
      <c r="D25" s="295"/>
      <c r="E25" s="294"/>
      <c r="F25" s="293"/>
    </row>
    <row r="26" spans="1:6" x14ac:dyDescent="0.15">
      <c r="A26" s="292">
        <v>44670</v>
      </c>
      <c r="B26" s="285">
        <v>44670</v>
      </c>
      <c r="F26" s="291"/>
    </row>
    <row r="27" spans="1:6" x14ac:dyDescent="0.15">
      <c r="A27" s="292">
        <v>44671</v>
      </c>
      <c r="B27" s="285">
        <v>44671</v>
      </c>
      <c r="F27" s="291"/>
    </row>
    <row r="28" spans="1:6" x14ac:dyDescent="0.15">
      <c r="A28" s="292">
        <v>44672</v>
      </c>
      <c r="B28" s="285">
        <v>44672</v>
      </c>
      <c r="F28" s="291"/>
    </row>
    <row r="29" spans="1:6" x14ac:dyDescent="0.15">
      <c r="A29" s="292">
        <v>44673</v>
      </c>
      <c r="B29" s="285">
        <v>44673</v>
      </c>
      <c r="F29" s="291"/>
    </row>
    <row r="30" spans="1:6" x14ac:dyDescent="0.15">
      <c r="A30" s="292">
        <v>44674</v>
      </c>
      <c r="B30" s="285">
        <v>44674</v>
      </c>
      <c r="F30" s="291"/>
    </row>
    <row r="31" spans="1:6" x14ac:dyDescent="0.15">
      <c r="A31" s="292">
        <v>44675</v>
      </c>
      <c r="B31" s="285">
        <v>44675</v>
      </c>
      <c r="F31" s="291"/>
    </row>
    <row r="32" spans="1:6" x14ac:dyDescent="0.15">
      <c r="A32" s="292">
        <v>44675</v>
      </c>
      <c r="B32" s="285" t="s">
        <v>234</v>
      </c>
      <c r="F32" s="291"/>
    </row>
    <row r="33" spans="1:6" x14ac:dyDescent="0.15">
      <c r="A33" s="292">
        <v>44675</v>
      </c>
      <c r="B33" s="285" t="s">
        <v>233</v>
      </c>
      <c r="F33" s="291"/>
    </row>
    <row r="34" spans="1:6" ht="14" thickBot="1" x14ac:dyDescent="0.2">
      <c r="A34" s="290"/>
      <c r="B34" s="289"/>
      <c r="C34" s="287"/>
      <c r="D34" s="288"/>
      <c r="E34" s="300">
        <f>SUM(E25:E33)</f>
        <v>0</v>
      </c>
      <c r="F34" s="299">
        <f>SUM(F25:F33)</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44676</v>
      </c>
      <c r="B5" s="297">
        <v>44676</v>
      </c>
      <c r="C5" s="296"/>
      <c r="D5" s="295"/>
      <c r="E5" s="294"/>
      <c r="F5" s="293"/>
    </row>
    <row r="6" spans="1:6" x14ac:dyDescent="0.15">
      <c r="A6" s="292">
        <v>44677</v>
      </c>
      <c r="B6" s="285">
        <v>44677</v>
      </c>
      <c r="F6" s="291"/>
    </row>
    <row r="7" spans="1:6" x14ac:dyDescent="0.15">
      <c r="A7" s="292">
        <v>44678</v>
      </c>
      <c r="B7" s="285">
        <v>44678</v>
      </c>
      <c r="F7" s="291"/>
    </row>
    <row r="8" spans="1:6" x14ac:dyDescent="0.15">
      <c r="A8" s="292">
        <v>44679</v>
      </c>
      <c r="B8" s="285">
        <v>44679</v>
      </c>
      <c r="F8" s="291"/>
    </row>
    <row r="9" spans="1:6" x14ac:dyDescent="0.15">
      <c r="A9" s="292">
        <v>44680</v>
      </c>
      <c r="B9" s="285">
        <v>44680</v>
      </c>
      <c r="F9" s="291"/>
    </row>
    <row r="10" spans="1:6" x14ac:dyDescent="0.15">
      <c r="A10" s="292">
        <v>44681</v>
      </c>
      <c r="B10" s="285">
        <v>44681</v>
      </c>
      <c r="F10" s="291"/>
    </row>
    <row r="11" spans="1:6" x14ac:dyDescent="0.15">
      <c r="A11" s="292">
        <v>44682</v>
      </c>
      <c r="B11" s="285">
        <v>44682</v>
      </c>
      <c r="F11" s="291"/>
    </row>
    <row r="12" spans="1:6" x14ac:dyDescent="0.15">
      <c r="A12" s="292">
        <v>44682</v>
      </c>
      <c r="B12" s="285" t="s">
        <v>234</v>
      </c>
      <c r="F12" s="291"/>
    </row>
    <row r="13" spans="1:6" x14ac:dyDescent="0.15">
      <c r="A13" s="292">
        <v>44682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44683</v>
      </c>
      <c r="B16" s="297">
        <v>44683</v>
      </c>
      <c r="C16" s="296"/>
      <c r="D16" s="295"/>
      <c r="E16" s="294"/>
      <c r="F16" s="293"/>
    </row>
    <row r="17" spans="1:6" x14ac:dyDescent="0.15">
      <c r="A17" s="292">
        <v>44684</v>
      </c>
      <c r="B17" s="285">
        <v>44684</v>
      </c>
      <c r="F17" s="291"/>
    </row>
    <row r="18" spans="1:6" x14ac:dyDescent="0.15">
      <c r="A18" s="292">
        <v>44685</v>
      </c>
      <c r="B18" s="285">
        <v>44685</v>
      </c>
      <c r="F18" s="291"/>
    </row>
    <row r="19" spans="1:6" x14ac:dyDescent="0.15">
      <c r="A19" s="292">
        <v>44686</v>
      </c>
      <c r="B19" s="285">
        <v>44686</v>
      </c>
      <c r="F19" s="291"/>
    </row>
    <row r="20" spans="1:6" x14ac:dyDescent="0.15">
      <c r="A20" s="292">
        <v>44687</v>
      </c>
      <c r="B20" s="285">
        <v>44687</v>
      </c>
      <c r="F20" s="291"/>
    </row>
    <row r="21" spans="1:6" x14ac:dyDescent="0.15">
      <c r="A21" s="292">
        <v>44688</v>
      </c>
      <c r="B21" s="285">
        <v>44688</v>
      </c>
      <c r="F21" s="291"/>
    </row>
    <row r="22" spans="1:6" x14ac:dyDescent="0.15">
      <c r="A22" s="292">
        <v>44689</v>
      </c>
      <c r="B22" s="285">
        <v>44689</v>
      </c>
      <c r="F22" s="291"/>
    </row>
    <row r="23" spans="1:6" x14ac:dyDescent="0.15">
      <c r="A23" s="292">
        <v>44689</v>
      </c>
      <c r="B23" s="285" t="s">
        <v>234</v>
      </c>
      <c r="F23" s="291"/>
    </row>
    <row r="24" spans="1:6" x14ac:dyDescent="0.15">
      <c r="A24" s="292">
        <v>44689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44690</v>
      </c>
      <c r="B27" s="297">
        <v>44690</v>
      </c>
      <c r="C27" s="296"/>
      <c r="D27" s="295"/>
      <c r="E27" s="294"/>
      <c r="F27" s="293"/>
    </row>
    <row r="28" spans="1:6" x14ac:dyDescent="0.15">
      <c r="A28" s="292">
        <v>44691</v>
      </c>
      <c r="B28" s="285">
        <v>44691</v>
      </c>
      <c r="F28" s="291"/>
    </row>
    <row r="29" spans="1:6" x14ac:dyDescent="0.15">
      <c r="A29" s="292">
        <v>44692</v>
      </c>
      <c r="B29" s="285">
        <v>44692</v>
      </c>
      <c r="F29" s="291"/>
    </row>
    <row r="30" spans="1:6" x14ac:dyDescent="0.15">
      <c r="A30" s="292">
        <v>44693</v>
      </c>
      <c r="B30" s="285">
        <v>44693</v>
      </c>
      <c r="F30" s="291"/>
    </row>
    <row r="31" spans="1:6" x14ac:dyDescent="0.15">
      <c r="A31" s="292">
        <v>44694</v>
      </c>
      <c r="B31" s="285">
        <v>44694</v>
      </c>
      <c r="F31" s="291"/>
    </row>
    <row r="32" spans="1:6" x14ac:dyDescent="0.15">
      <c r="A32" s="292">
        <v>44695</v>
      </c>
      <c r="B32" s="285">
        <v>44695</v>
      </c>
      <c r="F32" s="291"/>
    </row>
    <row r="33" spans="1:6" x14ac:dyDescent="0.15">
      <c r="A33" s="292">
        <v>44696</v>
      </c>
      <c r="B33" s="285">
        <v>44696</v>
      </c>
      <c r="F33" s="291"/>
    </row>
    <row r="34" spans="1:6" x14ac:dyDescent="0.15">
      <c r="A34" s="292">
        <v>44696</v>
      </c>
      <c r="B34" s="285" t="s">
        <v>234</v>
      </c>
      <c r="F34" s="291"/>
    </row>
    <row r="35" spans="1:6" x14ac:dyDescent="0.15">
      <c r="A35" s="292">
        <v>44696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44697</v>
      </c>
      <c r="B38" s="297">
        <v>44697</v>
      </c>
      <c r="C38" s="296"/>
      <c r="D38" s="295"/>
      <c r="E38" s="294"/>
      <c r="F38" s="293"/>
    </row>
    <row r="39" spans="1:6" x14ac:dyDescent="0.15">
      <c r="A39" s="292">
        <v>44698</v>
      </c>
      <c r="B39" s="285">
        <v>44698</v>
      </c>
      <c r="F39" s="291"/>
    </row>
    <row r="40" spans="1:6" x14ac:dyDescent="0.15">
      <c r="A40" s="292">
        <v>44699</v>
      </c>
      <c r="B40" s="285">
        <v>44699</v>
      </c>
      <c r="F40" s="291"/>
    </row>
    <row r="41" spans="1:6" x14ac:dyDescent="0.15">
      <c r="A41" s="292">
        <v>44700</v>
      </c>
      <c r="B41" s="285">
        <v>44700</v>
      </c>
      <c r="F41" s="291"/>
    </row>
    <row r="42" spans="1:6" x14ac:dyDescent="0.15">
      <c r="A42" s="292">
        <v>44701</v>
      </c>
      <c r="B42" s="285">
        <v>44701</v>
      </c>
      <c r="F42" s="291"/>
    </row>
    <row r="43" spans="1:6" x14ac:dyDescent="0.15">
      <c r="A43" s="292">
        <v>44702</v>
      </c>
      <c r="B43" s="285">
        <v>44702</v>
      </c>
      <c r="F43" s="291"/>
    </row>
    <row r="44" spans="1:6" x14ac:dyDescent="0.15">
      <c r="A44" s="292">
        <v>44703</v>
      </c>
      <c r="B44" s="285">
        <v>44703</v>
      </c>
      <c r="F44" s="291"/>
    </row>
    <row r="45" spans="1:6" x14ac:dyDescent="0.15">
      <c r="A45" s="292">
        <v>44703</v>
      </c>
      <c r="B45" s="285" t="s">
        <v>234</v>
      </c>
      <c r="F45" s="291"/>
    </row>
    <row r="46" spans="1:6" x14ac:dyDescent="0.15">
      <c r="A46" s="292">
        <v>44703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44704</v>
      </c>
      <c r="B49" s="297">
        <v>44704</v>
      </c>
      <c r="C49" s="296"/>
      <c r="D49" s="295"/>
      <c r="E49" s="294"/>
      <c r="F49" s="293"/>
    </row>
    <row r="50" spans="1:6" x14ac:dyDescent="0.15">
      <c r="A50" s="292">
        <v>44705</v>
      </c>
      <c r="B50" s="285">
        <v>44705</v>
      </c>
      <c r="F50" s="291"/>
    </row>
    <row r="51" spans="1:6" x14ac:dyDescent="0.15">
      <c r="A51" s="292">
        <v>44706</v>
      </c>
      <c r="B51" s="285">
        <v>44706</v>
      </c>
      <c r="F51" s="291"/>
    </row>
    <row r="52" spans="1:6" x14ac:dyDescent="0.15">
      <c r="A52" s="292">
        <v>44707</v>
      </c>
      <c r="B52" s="285">
        <v>44707</v>
      </c>
      <c r="F52" s="291"/>
    </row>
    <row r="53" spans="1:6" x14ac:dyDescent="0.15">
      <c r="A53" s="292">
        <v>44708</v>
      </c>
      <c r="B53" s="285">
        <v>44708</v>
      </c>
      <c r="F53" s="291"/>
    </row>
    <row r="54" spans="1:6" x14ac:dyDescent="0.15">
      <c r="A54" s="292">
        <v>44709</v>
      </c>
      <c r="B54" s="285">
        <v>44709</v>
      </c>
      <c r="F54" s="291"/>
    </row>
    <row r="55" spans="1:6" x14ac:dyDescent="0.15">
      <c r="A55" s="292">
        <v>44710</v>
      </c>
      <c r="B55" s="285">
        <v>44710</v>
      </c>
      <c r="F55" s="291"/>
    </row>
    <row r="56" spans="1:6" x14ac:dyDescent="0.15">
      <c r="A56" s="292">
        <v>44710</v>
      </c>
      <c r="B56" s="285" t="s">
        <v>234</v>
      </c>
      <c r="F56" s="291"/>
    </row>
    <row r="57" spans="1:6" x14ac:dyDescent="0.15">
      <c r="A57" s="292">
        <v>44710</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44711</v>
      </c>
      <c r="B5" s="297">
        <v>44711</v>
      </c>
      <c r="C5" s="296"/>
      <c r="D5" s="295"/>
      <c r="E5" s="294"/>
      <c r="F5" s="293"/>
    </row>
    <row r="6" spans="1:6" x14ac:dyDescent="0.15">
      <c r="A6" s="292">
        <v>44712</v>
      </c>
      <c r="B6" s="285">
        <v>44712</v>
      </c>
      <c r="F6" s="291"/>
    </row>
    <row r="7" spans="1:6" x14ac:dyDescent="0.15">
      <c r="A7" s="292">
        <v>44713</v>
      </c>
      <c r="B7" s="285">
        <v>44713</v>
      </c>
      <c r="F7" s="291"/>
    </row>
    <row r="8" spans="1:6" x14ac:dyDescent="0.15">
      <c r="A8" s="292">
        <v>44714</v>
      </c>
      <c r="B8" s="285">
        <v>44714</v>
      </c>
      <c r="F8" s="291"/>
    </row>
    <row r="9" spans="1:6" x14ac:dyDescent="0.15">
      <c r="A9" s="292">
        <v>44715</v>
      </c>
      <c r="B9" s="285">
        <v>44715</v>
      </c>
      <c r="F9" s="291"/>
    </row>
    <row r="10" spans="1:6" x14ac:dyDescent="0.15">
      <c r="A10" s="292">
        <v>44716</v>
      </c>
      <c r="B10" s="285">
        <v>44716</v>
      </c>
      <c r="F10" s="291"/>
    </row>
    <row r="11" spans="1:6" x14ac:dyDescent="0.15">
      <c r="A11" s="292">
        <v>44717</v>
      </c>
      <c r="B11" s="285">
        <v>44717</v>
      </c>
      <c r="F11" s="291"/>
    </row>
    <row r="12" spans="1:6" x14ac:dyDescent="0.15">
      <c r="A12" s="292">
        <v>44717</v>
      </c>
      <c r="B12" s="285" t="s">
        <v>234</v>
      </c>
      <c r="F12" s="291"/>
    </row>
    <row r="13" spans="1:6" x14ac:dyDescent="0.15">
      <c r="A13" s="292">
        <v>44717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44718</v>
      </c>
      <c r="B16" s="297">
        <v>44718</v>
      </c>
      <c r="C16" s="296"/>
      <c r="D16" s="295"/>
      <c r="E16" s="294"/>
      <c r="F16" s="293"/>
    </row>
    <row r="17" spans="1:6" x14ac:dyDescent="0.15">
      <c r="A17" s="292">
        <v>44719</v>
      </c>
      <c r="B17" s="285">
        <v>44719</v>
      </c>
      <c r="F17" s="291"/>
    </row>
    <row r="18" spans="1:6" x14ac:dyDescent="0.15">
      <c r="A18" s="292">
        <v>44720</v>
      </c>
      <c r="B18" s="285">
        <v>44720</v>
      </c>
      <c r="F18" s="291"/>
    </row>
    <row r="19" spans="1:6" x14ac:dyDescent="0.15">
      <c r="A19" s="292">
        <v>44721</v>
      </c>
      <c r="B19" s="285">
        <v>44721</v>
      </c>
      <c r="F19" s="291"/>
    </row>
    <row r="20" spans="1:6" x14ac:dyDescent="0.15">
      <c r="A20" s="292">
        <v>44722</v>
      </c>
      <c r="B20" s="285">
        <v>44722</v>
      </c>
      <c r="F20" s="291"/>
    </row>
    <row r="21" spans="1:6" x14ac:dyDescent="0.15">
      <c r="A21" s="292">
        <v>44723</v>
      </c>
      <c r="B21" s="285">
        <v>44723</v>
      </c>
      <c r="F21" s="291"/>
    </row>
    <row r="22" spans="1:6" x14ac:dyDescent="0.15">
      <c r="A22" s="292">
        <v>44724</v>
      </c>
      <c r="B22" s="285">
        <v>44724</v>
      </c>
      <c r="F22" s="291"/>
    </row>
    <row r="23" spans="1:6" x14ac:dyDescent="0.15">
      <c r="A23" s="292">
        <v>44724</v>
      </c>
      <c r="B23" s="285" t="s">
        <v>234</v>
      </c>
      <c r="F23" s="291"/>
    </row>
    <row r="24" spans="1:6" x14ac:dyDescent="0.15">
      <c r="A24" s="292">
        <v>44724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44725</v>
      </c>
      <c r="B27" s="297">
        <v>44725</v>
      </c>
      <c r="C27" s="296"/>
      <c r="D27" s="295"/>
      <c r="E27" s="294"/>
      <c r="F27" s="293"/>
    </row>
    <row r="28" spans="1:6" x14ac:dyDescent="0.15">
      <c r="A28" s="292">
        <v>44726</v>
      </c>
      <c r="B28" s="285">
        <v>44726</v>
      </c>
      <c r="F28" s="291"/>
    </row>
    <row r="29" spans="1:6" x14ac:dyDescent="0.15">
      <c r="A29" s="292">
        <v>44727</v>
      </c>
      <c r="B29" s="285">
        <v>44727</v>
      </c>
      <c r="F29" s="291"/>
    </row>
    <row r="30" spans="1:6" x14ac:dyDescent="0.15">
      <c r="A30" s="292">
        <v>44728</v>
      </c>
      <c r="B30" s="285">
        <v>44728</v>
      </c>
      <c r="F30" s="291"/>
    </row>
    <row r="31" spans="1:6" x14ac:dyDescent="0.15">
      <c r="A31" s="292">
        <v>44729</v>
      </c>
      <c r="B31" s="285">
        <v>44729</v>
      </c>
      <c r="F31" s="291"/>
    </row>
    <row r="32" spans="1:6" x14ac:dyDescent="0.15">
      <c r="A32" s="292">
        <v>44730</v>
      </c>
      <c r="B32" s="285">
        <v>44730</v>
      </c>
      <c r="F32" s="291"/>
    </row>
    <row r="33" spans="1:6" x14ac:dyDescent="0.15">
      <c r="A33" s="292">
        <v>44731</v>
      </c>
      <c r="B33" s="285">
        <v>44731</v>
      </c>
      <c r="F33" s="291"/>
    </row>
    <row r="34" spans="1:6" x14ac:dyDescent="0.15">
      <c r="A34" s="292">
        <v>44731</v>
      </c>
      <c r="B34" s="285" t="s">
        <v>234</v>
      </c>
      <c r="F34" s="291"/>
    </row>
    <row r="35" spans="1:6" x14ac:dyDescent="0.15">
      <c r="A35" s="292">
        <v>44731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44732</v>
      </c>
      <c r="B38" s="297">
        <v>44732</v>
      </c>
      <c r="C38" s="296"/>
      <c r="D38" s="295"/>
      <c r="E38" s="294"/>
      <c r="F38" s="293"/>
    </row>
    <row r="39" spans="1:6" x14ac:dyDescent="0.15">
      <c r="A39" s="292">
        <v>44733</v>
      </c>
      <c r="B39" s="285">
        <v>44733</v>
      </c>
      <c r="F39" s="291"/>
    </row>
    <row r="40" spans="1:6" x14ac:dyDescent="0.15">
      <c r="A40" s="292">
        <v>44734</v>
      </c>
      <c r="B40" s="285">
        <v>44734</v>
      </c>
      <c r="F40" s="291"/>
    </row>
    <row r="41" spans="1:6" x14ac:dyDescent="0.15">
      <c r="A41" s="292">
        <v>44735</v>
      </c>
      <c r="B41" s="285">
        <v>44735</v>
      </c>
      <c r="F41" s="291"/>
    </row>
    <row r="42" spans="1:6" x14ac:dyDescent="0.15">
      <c r="A42" s="292">
        <v>44736</v>
      </c>
      <c r="B42" s="285">
        <v>44736</v>
      </c>
      <c r="F42" s="291"/>
    </row>
    <row r="43" spans="1:6" x14ac:dyDescent="0.15">
      <c r="A43" s="292">
        <v>44737</v>
      </c>
      <c r="B43" s="285">
        <v>44737</v>
      </c>
      <c r="F43" s="291"/>
    </row>
    <row r="44" spans="1:6" x14ac:dyDescent="0.15">
      <c r="A44" s="292">
        <v>44738</v>
      </c>
      <c r="B44" s="285">
        <v>44738</v>
      </c>
      <c r="F44" s="291"/>
    </row>
    <row r="45" spans="1:6" x14ac:dyDescent="0.15">
      <c r="A45" s="292">
        <v>44738</v>
      </c>
      <c r="B45" s="285" t="s">
        <v>234</v>
      </c>
      <c r="F45" s="291"/>
    </row>
    <row r="46" spans="1:6" x14ac:dyDescent="0.15">
      <c r="A46" s="292">
        <v>44738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44739</v>
      </c>
      <c r="B5" s="297">
        <v>44739</v>
      </c>
      <c r="C5" s="296"/>
      <c r="D5" s="295"/>
      <c r="E5" s="294"/>
      <c r="F5" s="293"/>
    </row>
    <row r="6" spans="1:6" x14ac:dyDescent="0.15">
      <c r="A6" s="292">
        <v>44740</v>
      </c>
      <c r="B6" s="285">
        <v>44740</v>
      </c>
      <c r="F6" s="291"/>
    </row>
    <row r="7" spans="1:6" x14ac:dyDescent="0.15">
      <c r="A7" s="292">
        <v>44741</v>
      </c>
      <c r="B7" s="285">
        <v>44741</v>
      </c>
      <c r="F7" s="291"/>
    </row>
    <row r="8" spans="1:6" x14ac:dyDescent="0.15">
      <c r="A8" s="292">
        <v>44742</v>
      </c>
      <c r="B8" s="285">
        <v>44742</v>
      </c>
      <c r="F8" s="291"/>
    </row>
    <row r="9" spans="1:6" x14ac:dyDescent="0.15">
      <c r="A9" s="292">
        <v>44743</v>
      </c>
      <c r="B9" s="285">
        <v>44743</v>
      </c>
      <c r="F9" s="291"/>
    </row>
    <row r="10" spans="1:6" x14ac:dyDescent="0.15">
      <c r="A10" s="292">
        <v>44744</v>
      </c>
      <c r="B10" s="285">
        <v>44744</v>
      </c>
      <c r="F10" s="291"/>
    </row>
    <row r="11" spans="1:6" x14ac:dyDescent="0.15">
      <c r="A11" s="292">
        <v>44745</v>
      </c>
      <c r="B11" s="285">
        <v>44745</v>
      </c>
      <c r="F11" s="291"/>
    </row>
    <row r="12" spans="1:6" x14ac:dyDescent="0.15">
      <c r="A12" s="292">
        <v>44745</v>
      </c>
      <c r="B12" s="285" t="s">
        <v>234</v>
      </c>
      <c r="F12" s="291"/>
    </row>
    <row r="13" spans="1:6" x14ac:dyDescent="0.15">
      <c r="A13" s="292">
        <v>44745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44746</v>
      </c>
      <c r="B16" s="297">
        <v>44746</v>
      </c>
      <c r="C16" s="296"/>
      <c r="D16" s="295"/>
      <c r="E16" s="294"/>
      <c r="F16" s="293"/>
    </row>
    <row r="17" spans="1:6" x14ac:dyDescent="0.15">
      <c r="A17" s="292">
        <v>44747</v>
      </c>
      <c r="B17" s="285">
        <v>44747</v>
      </c>
      <c r="F17" s="291"/>
    </row>
    <row r="18" spans="1:6" x14ac:dyDescent="0.15">
      <c r="A18" s="292">
        <v>44748</v>
      </c>
      <c r="B18" s="285">
        <v>44748</v>
      </c>
      <c r="F18" s="291"/>
    </row>
    <row r="19" spans="1:6" x14ac:dyDescent="0.15">
      <c r="A19" s="292">
        <v>44749</v>
      </c>
      <c r="B19" s="285">
        <v>44749</v>
      </c>
      <c r="F19" s="291"/>
    </row>
    <row r="20" spans="1:6" x14ac:dyDescent="0.15">
      <c r="A20" s="292">
        <v>44750</v>
      </c>
      <c r="B20" s="285">
        <v>44750</v>
      </c>
      <c r="F20" s="291"/>
    </row>
    <row r="21" spans="1:6" x14ac:dyDescent="0.15">
      <c r="A21" s="292">
        <v>44751</v>
      </c>
      <c r="B21" s="285">
        <v>44751</v>
      </c>
      <c r="F21" s="291"/>
    </row>
    <row r="22" spans="1:6" x14ac:dyDescent="0.15">
      <c r="A22" s="292">
        <v>44752</v>
      </c>
      <c r="B22" s="285">
        <v>44752</v>
      </c>
      <c r="F22" s="291"/>
    </row>
    <row r="23" spans="1:6" x14ac:dyDescent="0.15">
      <c r="A23" s="292">
        <v>44752</v>
      </c>
      <c r="B23" s="285" t="s">
        <v>234</v>
      </c>
      <c r="F23" s="291"/>
    </row>
    <row r="24" spans="1:6" x14ac:dyDescent="0.15">
      <c r="A24" s="292">
        <v>44752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44753</v>
      </c>
      <c r="B27" s="297">
        <v>44753</v>
      </c>
      <c r="C27" s="296"/>
      <c r="D27" s="295"/>
      <c r="E27" s="294"/>
      <c r="F27" s="293"/>
    </row>
    <row r="28" spans="1:6" x14ac:dyDescent="0.15">
      <c r="A28" s="292">
        <v>44754</v>
      </c>
      <c r="B28" s="285">
        <v>44754</v>
      </c>
      <c r="F28" s="291"/>
    </row>
    <row r="29" spans="1:6" x14ac:dyDescent="0.15">
      <c r="A29" s="292">
        <v>44755</v>
      </c>
      <c r="B29" s="285">
        <v>44755</v>
      </c>
      <c r="F29" s="291"/>
    </row>
    <row r="30" spans="1:6" x14ac:dyDescent="0.15">
      <c r="A30" s="292">
        <v>44756</v>
      </c>
      <c r="B30" s="285">
        <v>44756</v>
      </c>
      <c r="F30" s="291"/>
    </row>
    <row r="31" spans="1:6" x14ac:dyDescent="0.15">
      <c r="A31" s="292">
        <v>44757</v>
      </c>
      <c r="B31" s="285">
        <v>44757</v>
      </c>
      <c r="F31" s="291"/>
    </row>
    <row r="32" spans="1:6" x14ac:dyDescent="0.15">
      <c r="A32" s="292">
        <v>44758</v>
      </c>
      <c r="B32" s="285">
        <v>44758</v>
      </c>
      <c r="F32" s="291"/>
    </row>
    <row r="33" spans="1:6" x14ac:dyDescent="0.15">
      <c r="A33" s="292">
        <v>44759</v>
      </c>
      <c r="B33" s="285">
        <v>44759</v>
      </c>
      <c r="F33" s="291"/>
    </row>
    <row r="34" spans="1:6" x14ac:dyDescent="0.15">
      <c r="A34" s="292">
        <v>44759</v>
      </c>
      <c r="B34" s="285" t="s">
        <v>234</v>
      </c>
      <c r="F34" s="291"/>
    </row>
    <row r="35" spans="1:6" x14ac:dyDescent="0.15">
      <c r="A35" s="292">
        <v>44759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44760</v>
      </c>
      <c r="B38" s="297">
        <v>44760</v>
      </c>
      <c r="C38" s="296"/>
      <c r="D38" s="295"/>
      <c r="E38" s="294"/>
      <c r="F38" s="293"/>
    </row>
    <row r="39" spans="1:6" x14ac:dyDescent="0.15">
      <c r="A39" s="292">
        <v>44761</v>
      </c>
      <c r="B39" s="285">
        <v>44761</v>
      </c>
      <c r="F39" s="291"/>
    </row>
    <row r="40" spans="1:6" x14ac:dyDescent="0.15">
      <c r="A40" s="292">
        <v>44762</v>
      </c>
      <c r="B40" s="285">
        <v>44762</v>
      </c>
      <c r="F40" s="291"/>
    </row>
    <row r="41" spans="1:6" x14ac:dyDescent="0.15">
      <c r="A41" s="292">
        <v>44763</v>
      </c>
      <c r="B41" s="285">
        <v>44763</v>
      </c>
      <c r="F41" s="291"/>
    </row>
    <row r="42" spans="1:6" x14ac:dyDescent="0.15">
      <c r="A42" s="292">
        <v>44764</v>
      </c>
      <c r="B42" s="285">
        <v>44764</v>
      </c>
      <c r="F42" s="291"/>
    </row>
    <row r="43" spans="1:6" x14ac:dyDescent="0.15">
      <c r="A43" s="292">
        <v>44765</v>
      </c>
      <c r="B43" s="285">
        <v>44765</v>
      </c>
      <c r="F43" s="291"/>
    </row>
    <row r="44" spans="1:6" x14ac:dyDescent="0.15">
      <c r="A44" s="292">
        <v>44766</v>
      </c>
      <c r="B44" s="285">
        <v>44766</v>
      </c>
      <c r="F44" s="291"/>
    </row>
    <row r="45" spans="1:6" x14ac:dyDescent="0.15">
      <c r="A45" s="292">
        <v>44766</v>
      </c>
      <c r="B45" s="285" t="s">
        <v>234</v>
      </c>
      <c r="F45" s="291"/>
    </row>
    <row r="46" spans="1:6" x14ac:dyDescent="0.15">
      <c r="A46" s="292">
        <v>44766</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44767</v>
      </c>
      <c r="B49" s="297">
        <v>44767</v>
      </c>
      <c r="C49" s="296"/>
      <c r="D49" s="295"/>
      <c r="E49" s="294"/>
      <c r="F49" s="293"/>
    </row>
    <row r="50" spans="1:6" x14ac:dyDescent="0.15">
      <c r="A50" s="292">
        <v>44768</v>
      </c>
      <c r="B50" s="285">
        <v>44768</v>
      </c>
      <c r="F50" s="291"/>
    </row>
    <row r="51" spans="1:6" x14ac:dyDescent="0.15">
      <c r="A51" s="292">
        <v>44769</v>
      </c>
      <c r="B51" s="285">
        <v>44769</v>
      </c>
      <c r="F51" s="291"/>
    </row>
    <row r="52" spans="1:6" x14ac:dyDescent="0.15">
      <c r="A52" s="292">
        <v>44770</v>
      </c>
      <c r="B52" s="285">
        <v>44770</v>
      </c>
      <c r="F52" s="291"/>
    </row>
    <row r="53" spans="1:6" x14ac:dyDescent="0.15">
      <c r="A53" s="292">
        <v>44771</v>
      </c>
      <c r="B53" s="285">
        <v>44771</v>
      </c>
      <c r="F53" s="291"/>
    </row>
    <row r="54" spans="1:6" x14ac:dyDescent="0.15">
      <c r="A54" s="292">
        <v>44772</v>
      </c>
      <c r="B54" s="285">
        <v>44772</v>
      </c>
      <c r="F54" s="291"/>
    </row>
    <row r="55" spans="1:6" x14ac:dyDescent="0.15">
      <c r="A55" s="292">
        <v>44773</v>
      </c>
      <c r="B55" s="285">
        <v>44773</v>
      </c>
      <c r="F55" s="291"/>
    </row>
    <row r="56" spans="1:6" x14ac:dyDescent="0.15">
      <c r="A56" s="292">
        <v>44773</v>
      </c>
      <c r="B56" s="285" t="s">
        <v>234</v>
      </c>
      <c r="F56" s="291"/>
    </row>
    <row r="57" spans="1:6" x14ac:dyDescent="0.15">
      <c r="A57" s="292">
        <v>44773</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44774</v>
      </c>
      <c r="B5" s="297">
        <v>44774</v>
      </c>
      <c r="C5" s="296"/>
      <c r="D5" s="295"/>
      <c r="E5" s="294"/>
      <c r="F5" s="293"/>
    </row>
    <row r="6" spans="1:6" x14ac:dyDescent="0.15">
      <c r="A6" s="292">
        <v>44775</v>
      </c>
      <c r="B6" s="285">
        <v>44775</v>
      </c>
      <c r="F6" s="291"/>
    </row>
    <row r="7" spans="1:6" x14ac:dyDescent="0.15">
      <c r="A7" s="292">
        <v>44776</v>
      </c>
      <c r="B7" s="285">
        <v>44776</v>
      </c>
      <c r="F7" s="291"/>
    </row>
    <row r="8" spans="1:6" x14ac:dyDescent="0.15">
      <c r="A8" s="292">
        <v>44777</v>
      </c>
      <c r="B8" s="285">
        <v>44777</v>
      </c>
      <c r="F8" s="291"/>
    </row>
    <row r="9" spans="1:6" x14ac:dyDescent="0.15">
      <c r="A9" s="292">
        <v>44778</v>
      </c>
      <c r="B9" s="285">
        <v>44778</v>
      </c>
      <c r="F9" s="291"/>
    </row>
    <row r="10" spans="1:6" x14ac:dyDescent="0.15">
      <c r="A10" s="292">
        <v>44779</v>
      </c>
      <c r="B10" s="285">
        <v>44779</v>
      </c>
      <c r="F10" s="291"/>
    </row>
    <row r="11" spans="1:6" x14ac:dyDescent="0.15">
      <c r="A11" s="292">
        <v>44780</v>
      </c>
      <c r="B11" s="285">
        <v>44780</v>
      </c>
      <c r="F11" s="291"/>
    </row>
    <row r="12" spans="1:6" x14ac:dyDescent="0.15">
      <c r="A12" s="292">
        <v>44780</v>
      </c>
      <c r="B12" s="285" t="s">
        <v>234</v>
      </c>
      <c r="F12" s="291"/>
    </row>
    <row r="13" spans="1:6" x14ac:dyDescent="0.15">
      <c r="A13" s="292">
        <v>44780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44781</v>
      </c>
      <c r="B16" s="297">
        <v>44781</v>
      </c>
      <c r="C16" s="296"/>
      <c r="D16" s="295"/>
      <c r="E16" s="294"/>
      <c r="F16" s="293"/>
    </row>
    <row r="17" spans="1:6" x14ac:dyDescent="0.15">
      <c r="A17" s="292">
        <v>44782</v>
      </c>
      <c r="B17" s="285">
        <v>44782</v>
      </c>
      <c r="F17" s="291"/>
    </row>
    <row r="18" spans="1:6" x14ac:dyDescent="0.15">
      <c r="A18" s="292">
        <v>44783</v>
      </c>
      <c r="B18" s="285">
        <v>44783</v>
      </c>
      <c r="F18" s="291"/>
    </row>
    <row r="19" spans="1:6" x14ac:dyDescent="0.15">
      <c r="A19" s="292">
        <v>44784</v>
      </c>
      <c r="B19" s="285">
        <v>44784</v>
      </c>
      <c r="F19" s="291"/>
    </row>
    <row r="20" spans="1:6" x14ac:dyDescent="0.15">
      <c r="A20" s="292">
        <v>44785</v>
      </c>
      <c r="B20" s="285">
        <v>44785</v>
      </c>
      <c r="F20" s="291"/>
    </row>
    <row r="21" spans="1:6" x14ac:dyDescent="0.15">
      <c r="A21" s="292">
        <v>44786</v>
      </c>
      <c r="B21" s="285">
        <v>44786</v>
      </c>
      <c r="F21" s="291"/>
    </row>
    <row r="22" spans="1:6" x14ac:dyDescent="0.15">
      <c r="A22" s="292">
        <v>44787</v>
      </c>
      <c r="B22" s="285">
        <v>44787</v>
      </c>
      <c r="F22" s="291"/>
    </row>
    <row r="23" spans="1:6" x14ac:dyDescent="0.15">
      <c r="A23" s="292">
        <v>44787</v>
      </c>
      <c r="B23" s="285" t="s">
        <v>234</v>
      </c>
      <c r="F23" s="291"/>
    </row>
    <row r="24" spans="1:6" x14ac:dyDescent="0.15">
      <c r="A24" s="292">
        <v>44787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44788</v>
      </c>
      <c r="B27" s="297">
        <v>44788</v>
      </c>
      <c r="C27" s="296"/>
      <c r="D27" s="295"/>
      <c r="E27" s="294"/>
      <c r="F27" s="293"/>
    </row>
    <row r="28" spans="1:6" x14ac:dyDescent="0.15">
      <c r="A28" s="292">
        <v>44789</v>
      </c>
      <c r="B28" s="285">
        <v>44789</v>
      </c>
      <c r="F28" s="291"/>
    </row>
    <row r="29" spans="1:6" x14ac:dyDescent="0.15">
      <c r="A29" s="292">
        <v>44790</v>
      </c>
      <c r="B29" s="285">
        <v>44790</v>
      </c>
      <c r="F29" s="291"/>
    </row>
    <row r="30" spans="1:6" x14ac:dyDescent="0.15">
      <c r="A30" s="292">
        <v>44791</v>
      </c>
      <c r="B30" s="285">
        <v>44791</v>
      </c>
      <c r="F30" s="291"/>
    </row>
    <row r="31" spans="1:6" x14ac:dyDescent="0.15">
      <c r="A31" s="292">
        <v>44792</v>
      </c>
      <c r="B31" s="285">
        <v>44792</v>
      </c>
      <c r="F31" s="291"/>
    </row>
    <row r="32" spans="1:6" x14ac:dyDescent="0.15">
      <c r="A32" s="292">
        <v>44793</v>
      </c>
      <c r="B32" s="285">
        <v>44793</v>
      </c>
      <c r="F32" s="291"/>
    </row>
    <row r="33" spans="1:6" x14ac:dyDescent="0.15">
      <c r="A33" s="292">
        <v>44794</v>
      </c>
      <c r="B33" s="285">
        <v>44794</v>
      </c>
      <c r="F33" s="291"/>
    </row>
    <row r="34" spans="1:6" x14ac:dyDescent="0.15">
      <c r="A34" s="292">
        <v>44794</v>
      </c>
      <c r="B34" s="285" t="s">
        <v>234</v>
      </c>
      <c r="F34" s="291"/>
    </row>
    <row r="35" spans="1:6" x14ac:dyDescent="0.15">
      <c r="A35" s="292">
        <v>44794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44795</v>
      </c>
      <c r="B38" s="297">
        <v>44795</v>
      </c>
      <c r="C38" s="296"/>
      <c r="D38" s="295"/>
      <c r="E38" s="294"/>
      <c r="F38" s="293"/>
    </row>
    <row r="39" spans="1:6" x14ac:dyDescent="0.15">
      <c r="A39" s="292">
        <v>44796</v>
      </c>
      <c r="B39" s="285">
        <v>44796</v>
      </c>
      <c r="F39" s="291"/>
    </row>
    <row r="40" spans="1:6" x14ac:dyDescent="0.15">
      <c r="A40" s="292">
        <v>44797</v>
      </c>
      <c r="B40" s="285">
        <v>44797</v>
      </c>
      <c r="F40" s="291"/>
    </row>
    <row r="41" spans="1:6" x14ac:dyDescent="0.15">
      <c r="A41" s="292">
        <v>44798</v>
      </c>
      <c r="B41" s="285">
        <v>44798</v>
      </c>
      <c r="F41" s="291"/>
    </row>
    <row r="42" spans="1:6" x14ac:dyDescent="0.15">
      <c r="A42" s="292">
        <v>44799</v>
      </c>
      <c r="B42" s="285">
        <v>44799</v>
      </c>
      <c r="F42" s="291"/>
    </row>
    <row r="43" spans="1:6" x14ac:dyDescent="0.15">
      <c r="A43" s="292">
        <v>44800</v>
      </c>
      <c r="B43" s="285">
        <v>44800</v>
      </c>
      <c r="F43" s="291"/>
    </row>
    <row r="44" spans="1:6" x14ac:dyDescent="0.15">
      <c r="A44" s="292">
        <v>44801</v>
      </c>
      <c r="B44" s="285">
        <v>44801</v>
      </c>
      <c r="F44" s="291"/>
    </row>
    <row r="45" spans="1:6" x14ac:dyDescent="0.15">
      <c r="A45" s="292">
        <v>44801</v>
      </c>
      <c r="B45" s="285" t="s">
        <v>234</v>
      </c>
      <c r="F45" s="291"/>
    </row>
    <row r="46" spans="1:6" x14ac:dyDescent="0.15">
      <c r="A46" s="292">
        <v>44801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44802</v>
      </c>
      <c r="B5" s="297">
        <v>44802</v>
      </c>
      <c r="C5" s="296"/>
      <c r="D5" s="295"/>
      <c r="E5" s="294"/>
      <c r="F5" s="293"/>
    </row>
    <row r="6" spans="1:6" x14ac:dyDescent="0.15">
      <c r="A6" s="292">
        <v>44803</v>
      </c>
      <c r="B6" s="285">
        <v>44803</v>
      </c>
      <c r="F6" s="291"/>
    </row>
    <row r="7" spans="1:6" x14ac:dyDescent="0.15">
      <c r="A7" s="292">
        <v>44804</v>
      </c>
      <c r="B7" s="285">
        <v>44804</v>
      </c>
      <c r="F7" s="291"/>
    </row>
    <row r="8" spans="1:6" x14ac:dyDescent="0.15">
      <c r="A8" s="292">
        <v>44805</v>
      </c>
      <c r="B8" s="285">
        <v>44805</v>
      </c>
      <c r="F8" s="291"/>
    </row>
    <row r="9" spans="1:6" x14ac:dyDescent="0.15">
      <c r="A9" s="292">
        <v>44806</v>
      </c>
      <c r="B9" s="285">
        <v>44806</v>
      </c>
      <c r="F9" s="291"/>
    </row>
    <row r="10" spans="1:6" x14ac:dyDescent="0.15">
      <c r="A10" s="292">
        <v>44807</v>
      </c>
      <c r="B10" s="285">
        <v>44807</v>
      </c>
      <c r="F10" s="291"/>
    </row>
    <row r="11" spans="1:6" x14ac:dyDescent="0.15">
      <c r="A11" s="292">
        <v>44808</v>
      </c>
      <c r="B11" s="285">
        <v>44808</v>
      </c>
      <c r="F11" s="291"/>
    </row>
    <row r="12" spans="1:6" x14ac:dyDescent="0.15">
      <c r="A12" s="292">
        <v>44808</v>
      </c>
      <c r="B12" s="285" t="s">
        <v>234</v>
      </c>
      <c r="F12" s="291"/>
    </row>
    <row r="13" spans="1:6" x14ac:dyDescent="0.15">
      <c r="A13" s="292">
        <v>44808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44809</v>
      </c>
      <c r="B16" s="297">
        <v>44809</v>
      </c>
      <c r="C16" s="296"/>
      <c r="D16" s="295"/>
      <c r="E16" s="294"/>
      <c r="F16" s="293"/>
    </row>
    <row r="17" spans="1:6" x14ac:dyDescent="0.15">
      <c r="A17" s="292">
        <v>44810</v>
      </c>
      <c r="B17" s="285">
        <v>44810</v>
      </c>
      <c r="F17" s="291"/>
    </row>
    <row r="18" spans="1:6" x14ac:dyDescent="0.15">
      <c r="A18" s="292">
        <v>44811</v>
      </c>
      <c r="B18" s="285">
        <v>44811</v>
      </c>
      <c r="F18" s="291"/>
    </row>
    <row r="19" spans="1:6" x14ac:dyDescent="0.15">
      <c r="A19" s="292">
        <v>44812</v>
      </c>
      <c r="B19" s="285">
        <v>44812</v>
      </c>
      <c r="F19" s="291"/>
    </row>
    <row r="20" spans="1:6" x14ac:dyDescent="0.15">
      <c r="A20" s="292">
        <v>44813</v>
      </c>
      <c r="B20" s="285">
        <v>44813</v>
      </c>
      <c r="F20" s="291"/>
    </row>
    <row r="21" spans="1:6" x14ac:dyDescent="0.15">
      <c r="A21" s="292">
        <v>44814</v>
      </c>
      <c r="B21" s="285">
        <v>44814</v>
      </c>
      <c r="F21" s="291"/>
    </row>
    <row r="22" spans="1:6" x14ac:dyDescent="0.15">
      <c r="A22" s="292">
        <v>44815</v>
      </c>
      <c r="B22" s="285">
        <v>44815</v>
      </c>
      <c r="F22" s="291"/>
    </row>
    <row r="23" spans="1:6" x14ac:dyDescent="0.15">
      <c r="A23" s="292">
        <v>44815</v>
      </c>
      <c r="B23" s="285" t="s">
        <v>234</v>
      </c>
      <c r="F23" s="291"/>
    </row>
    <row r="24" spans="1:6" x14ac:dyDescent="0.15">
      <c r="A24" s="292">
        <v>44815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44816</v>
      </c>
      <c r="B27" s="297">
        <v>44816</v>
      </c>
      <c r="C27" s="296"/>
      <c r="D27" s="295"/>
      <c r="E27" s="294"/>
      <c r="F27" s="293"/>
    </row>
    <row r="28" spans="1:6" x14ac:dyDescent="0.15">
      <c r="A28" s="292">
        <v>44817</v>
      </c>
      <c r="B28" s="285">
        <v>44817</v>
      </c>
      <c r="F28" s="291"/>
    </row>
    <row r="29" spans="1:6" x14ac:dyDescent="0.15">
      <c r="A29" s="292">
        <v>44818</v>
      </c>
      <c r="B29" s="285">
        <v>44818</v>
      </c>
      <c r="F29" s="291"/>
    </row>
    <row r="30" spans="1:6" x14ac:dyDescent="0.15">
      <c r="A30" s="292">
        <v>44819</v>
      </c>
      <c r="B30" s="285">
        <v>44819</v>
      </c>
      <c r="F30" s="291"/>
    </row>
    <row r="31" spans="1:6" x14ac:dyDescent="0.15">
      <c r="A31" s="292">
        <v>44820</v>
      </c>
      <c r="B31" s="285">
        <v>44820</v>
      </c>
      <c r="F31" s="291"/>
    </row>
    <row r="32" spans="1:6" x14ac:dyDescent="0.15">
      <c r="A32" s="292">
        <v>44821</v>
      </c>
      <c r="B32" s="285">
        <v>44821</v>
      </c>
      <c r="F32" s="291"/>
    </row>
    <row r="33" spans="1:6" x14ac:dyDescent="0.15">
      <c r="A33" s="292">
        <v>44822</v>
      </c>
      <c r="B33" s="285">
        <v>44822</v>
      </c>
      <c r="F33" s="291"/>
    </row>
    <row r="34" spans="1:6" x14ac:dyDescent="0.15">
      <c r="A34" s="292">
        <v>44822</v>
      </c>
      <c r="B34" s="285" t="s">
        <v>234</v>
      </c>
      <c r="F34" s="291"/>
    </row>
    <row r="35" spans="1:6" x14ac:dyDescent="0.15">
      <c r="A35" s="292">
        <v>44822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44823</v>
      </c>
      <c r="B38" s="297">
        <v>44823</v>
      </c>
      <c r="C38" s="296"/>
      <c r="D38" s="295"/>
      <c r="E38" s="294"/>
      <c r="F38" s="293"/>
    </row>
    <row r="39" spans="1:6" x14ac:dyDescent="0.15">
      <c r="A39" s="292">
        <v>44824</v>
      </c>
      <c r="B39" s="285">
        <v>44824</v>
      </c>
      <c r="F39" s="291"/>
    </row>
    <row r="40" spans="1:6" x14ac:dyDescent="0.15">
      <c r="A40" s="292">
        <v>44825</v>
      </c>
      <c r="B40" s="285">
        <v>44825</v>
      </c>
      <c r="F40" s="291"/>
    </row>
    <row r="41" spans="1:6" x14ac:dyDescent="0.15">
      <c r="A41" s="292">
        <v>44826</v>
      </c>
      <c r="B41" s="285">
        <v>44826</v>
      </c>
      <c r="F41" s="291"/>
    </row>
    <row r="42" spans="1:6" x14ac:dyDescent="0.15">
      <c r="A42" s="292">
        <v>44827</v>
      </c>
      <c r="B42" s="285">
        <v>44827</v>
      </c>
      <c r="F42" s="291"/>
    </row>
    <row r="43" spans="1:6" x14ac:dyDescent="0.15">
      <c r="A43" s="292">
        <v>44828</v>
      </c>
      <c r="B43" s="285">
        <v>44828</v>
      </c>
      <c r="F43" s="291"/>
    </row>
    <row r="44" spans="1:6" x14ac:dyDescent="0.15">
      <c r="A44" s="292">
        <v>44829</v>
      </c>
      <c r="B44" s="285">
        <v>44829</v>
      </c>
      <c r="F44" s="291"/>
    </row>
    <row r="45" spans="1:6" x14ac:dyDescent="0.15">
      <c r="A45" s="292">
        <v>44829</v>
      </c>
      <c r="B45" s="285" t="s">
        <v>234</v>
      </c>
      <c r="F45" s="291"/>
    </row>
    <row r="46" spans="1:6" x14ac:dyDescent="0.15">
      <c r="A46" s="292">
        <v>44829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5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44830</v>
      </c>
      <c r="B5" s="297">
        <v>44830</v>
      </c>
      <c r="C5" s="296"/>
      <c r="D5" s="295"/>
      <c r="E5" s="294"/>
      <c r="F5" s="293"/>
    </row>
    <row r="6" spans="1:6" x14ac:dyDescent="0.15">
      <c r="A6" s="292">
        <v>44831</v>
      </c>
      <c r="B6" s="285">
        <v>44831</v>
      </c>
      <c r="F6" s="291"/>
    </row>
    <row r="7" spans="1:6" x14ac:dyDescent="0.15">
      <c r="A7" s="292">
        <v>44832</v>
      </c>
      <c r="B7" s="285">
        <v>44832</v>
      </c>
      <c r="F7" s="291"/>
    </row>
    <row r="8" spans="1:6" x14ac:dyDescent="0.15">
      <c r="A8" s="292">
        <v>44833</v>
      </c>
      <c r="B8" s="285">
        <v>44833</v>
      </c>
      <c r="F8" s="291"/>
    </row>
    <row r="9" spans="1:6" x14ac:dyDescent="0.15">
      <c r="A9" s="292">
        <v>44834</v>
      </c>
      <c r="B9" s="285">
        <v>44834</v>
      </c>
      <c r="F9" s="291"/>
    </row>
    <row r="10" spans="1:6" x14ac:dyDescent="0.15">
      <c r="A10" s="292">
        <v>44835</v>
      </c>
      <c r="B10" s="285">
        <v>44835</v>
      </c>
      <c r="F10" s="291"/>
    </row>
    <row r="11" spans="1:6" x14ac:dyDescent="0.15">
      <c r="A11" s="292">
        <v>44836</v>
      </c>
      <c r="B11" s="285">
        <v>44836</v>
      </c>
      <c r="F11" s="291"/>
    </row>
    <row r="12" spans="1:6" x14ac:dyDescent="0.15">
      <c r="A12" s="292">
        <v>44836</v>
      </c>
      <c r="B12" s="285" t="s">
        <v>234</v>
      </c>
      <c r="F12" s="291"/>
    </row>
    <row r="13" spans="1:6" x14ac:dyDescent="0.15">
      <c r="A13" s="292">
        <v>44836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44837</v>
      </c>
      <c r="B16" s="297">
        <v>44837</v>
      </c>
      <c r="C16" s="296"/>
      <c r="D16" s="295"/>
      <c r="E16" s="294"/>
      <c r="F16" s="293"/>
    </row>
    <row r="17" spans="1:6" x14ac:dyDescent="0.15">
      <c r="A17" s="292">
        <v>44838</v>
      </c>
      <c r="B17" s="285">
        <v>44838</v>
      </c>
      <c r="F17" s="291"/>
    </row>
    <row r="18" spans="1:6" x14ac:dyDescent="0.15">
      <c r="A18" s="292">
        <v>44839</v>
      </c>
      <c r="B18" s="285">
        <v>44839</v>
      </c>
      <c r="F18" s="291"/>
    </row>
    <row r="19" spans="1:6" x14ac:dyDescent="0.15">
      <c r="A19" s="292">
        <v>44840</v>
      </c>
      <c r="B19" s="285">
        <v>44840</v>
      </c>
      <c r="F19" s="291"/>
    </row>
    <row r="20" spans="1:6" x14ac:dyDescent="0.15">
      <c r="A20" s="292">
        <v>44841</v>
      </c>
      <c r="B20" s="285">
        <v>44841</v>
      </c>
      <c r="F20" s="291"/>
    </row>
    <row r="21" spans="1:6" x14ac:dyDescent="0.15">
      <c r="A21" s="292">
        <v>44842</v>
      </c>
      <c r="B21" s="285">
        <v>44842</v>
      </c>
      <c r="F21" s="291"/>
    </row>
    <row r="22" spans="1:6" x14ac:dyDescent="0.15">
      <c r="A22" s="292">
        <v>44843</v>
      </c>
      <c r="B22" s="285">
        <v>44843</v>
      </c>
      <c r="F22" s="291"/>
    </row>
    <row r="23" spans="1:6" x14ac:dyDescent="0.15">
      <c r="A23" s="292">
        <v>44843</v>
      </c>
      <c r="B23" s="285" t="s">
        <v>234</v>
      </c>
      <c r="F23" s="291"/>
    </row>
    <row r="24" spans="1:6" x14ac:dyDescent="0.15">
      <c r="A24" s="292">
        <v>44843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44844</v>
      </c>
      <c r="B27" s="297">
        <v>44844</v>
      </c>
      <c r="C27" s="296"/>
      <c r="D27" s="295"/>
      <c r="E27" s="294"/>
      <c r="F27" s="293"/>
    </row>
    <row r="28" spans="1:6" x14ac:dyDescent="0.15">
      <c r="A28" s="292">
        <v>44845</v>
      </c>
      <c r="B28" s="285">
        <v>44845</v>
      </c>
      <c r="F28" s="291"/>
    </row>
    <row r="29" spans="1:6" x14ac:dyDescent="0.15">
      <c r="A29" s="292">
        <v>44846</v>
      </c>
      <c r="B29" s="285">
        <v>44846</v>
      </c>
      <c r="F29" s="291"/>
    </row>
    <row r="30" spans="1:6" x14ac:dyDescent="0.15">
      <c r="A30" s="292">
        <v>44847</v>
      </c>
      <c r="B30" s="285">
        <v>44847</v>
      </c>
      <c r="F30" s="291"/>
    </row>
    <row r="31" spans="1:6" x14ac:dyDescent="0.15">
      <c r="A31" s="292">
        <v>44848</v>
      </c>
      <c r="B31" s="285">
        <v>44848</v>
      </c>
      <c r="F31" s="291"/>
    </row>
    <row r="32" spans="1:6" x14ac:dyDescent="0.15">
      <c r="A32" s="292">
        <v>44849</v>
      </c>
      <c r="B32" s="285">
        <v>44849</v>
      </c>
      <c r="F32" s="291"/>
    </row>
    <row r="33" spans="1:6" x14ac:dyDescent="0.15">
      <c r="A33" s="292">
        <v>44850</v>
      </c>
      <c r="B33" s="285">
        <v>44850</v>
      </c>
      <c r="F33" s="291"/>
    </row>
    <row r="34" spans="1:6" x14ac:dyDescent="0.15">
      <c r="A34" s="292">
        <v>44850</v>
      </c>
      <c r="B34" s="285" t="s">
        <v>234</v>
      </c>
      <c r="F34" s="291"/>
    </row>
    <row r="35" spans="1:6" x14ac:dyDescent="0.15">
      <c r="A35" s="292">
        <v>44850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44851</v>
      </c>
      <c r="B38" s="297">
        <v>44851</v>
      </c>
      <c r="C38" s="296"/>
      <c r="D38" s="295"/>
      <c r="E38" s="294"/>
      <c r="F38" s="293"/>
    </row>
    <row r="39" spans="1:6" x14ac:dyDescent="0.15">
      <c r="A39" s="292">
        <v>44852</v>
      </c>
      <c r="B39" s="285">
        <v>44852</v>
      </c>
      <c r="F39" s="291"/>
    </row>
    <row r="40" spans="1:6" x14ac:dyDescent="0.15">
      <c r="A40" s="292">
        <v>44853</v>
      </c>
      <c r="B40" s="285">
        <v>44853</v>
      </c>
      <c r="F40" s="291"/>
    </row>
    <row r="41" spans="1:6" x14ac:dyDescent="0.15">
      <c r="A41" s="292">
        <v>44854</v>
      </c>
      <c r="B41" s="285">
        <v>44854</v>
      </c>
      <c r="F41" s="291"/>
    </row>
    <row r="42" spans="1:6" x14ac:dyDescent="0.15">
      <c r="A42" s="292">
        <v>44855</v>
      </c>
      <c r="B42" s="285">
        <v>44855</v>
      </c>
      <c r="F42" s="291"/>
    </row>
    <row r="43" spans="1:6" x14ac:dyDescent="0.15">
      <c r="A43" s="292">
        <v>44856</v>
      </c>
      <c r="B43" s="285">
        <v>44856</v>
      </c>
      <c r="F43" s="291"/>
    </row>
    <row r="44" spans="1:6" x14ac:dyDescent="0.15">
      <c r="A44" s="292">
        <v>44857</v>
      </c>
      <c r="B44" s="285">
        <v>44857</v>
      </c>
      <c r="F44" s="291"/>
    </row>
    <row r="45" spans="1:6" x14ac:dyDescent="0.15">
      <c r="A45" s="292">
        <v>44857</v>
      </c>
      <c r="B45" s="285" t="s">
        <v>234</v>
      </c>
      <c r="F45" s="291"/>
    </row>
    <row r="46" spans="1:6" x14ac:dyDescent="0.15">
      <c r="A46" s="292">
        <v>44857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44858</v>
      </c>
      <c r="B49" s="297">
        <v>44858</v>
      </c>
      <c r="C49" s="296"/>
      <c r="D49" s="295"/>
      <c r="E49" s="294"/>
      <c r="F49" s="293"/>
    </row>
    <row r="50" spans="1:6" x14ac:dyDescent="0.15">
      <c r="A50" s="292">
        <v>44859</v>
      </c>
      <c r="B50" s="285">
        <v>44859</v>
      </c>
      <c r="F50" s="291"/>
    </row>
    <row r="51" spans="1:6" x14ac:dyDescent="0.15">
      <c r="A51" s="292">
        <v>44860</v>
      </c>
      <c r="B51" s="285">
        <v>44860</v>
      </c>
      <c r="F51" s="291"/>
    </row>
    <row r="52" spans="1:6" x14ac:dyDescent="0.15">
      <c r="A52" s="292">
        <v>44861</v>
      </c>
      <c r="B52" s="285">
        <v>44861</v>
      </c>
      <c r="F52" s="291"/>
    </row>
    <row r="53" spans="1:6" x14ac:dyDescent="0.15">
      <c r="A53" s="292">
        <v>44862</v>
      </c>
      <c r="B53" s="285">
        <v>44862</v>
      </c>
      <c r="F53" s="291"/>
    </row>
    <row r="54" spans="1:6" x14ac:dyDescent="0.15">
      <c r="A54" s="292">
        <v>44863</v>
      </c>
      <c r="B54" s="285">
        <v>44863</v>
      </c>
      <c r="F54" s="291"/>
    </row>
    <row r="55" spans="1:6" x14ac:dyDescent="0.15">
      <c r="A55" s="292">
        <v>44864</v>
      </c>
      <c r="B55" s="285">
        <v>44864</v>
      </c>
      <c r="F55" s="291"/>
    </row>
    <row r="56" spans="1:6" x14ac:dyDescent="0.15">
      <c r="A56" s="292">
        <v>44864</v>
      </c>
      <c r="B56" s="285" t="s">
        <v>234</v>
      </c>
      <c r="F56" s="291"/>
    </row>
    <row r="57" spans="1:6" x14ac:dyDescent="0.15">
      <c r="A57" s="292">
        <v>44864</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44865</v>
      </c>
      <c r="B5" s="297">
        <v>44865</v>
      </c>
      <c r="C5" s="296"/>
      <c r="D5" s="295"/>
      <c r="E5" s="294"/>
      <c r="F5" s="293"/>
    </row>
    <row r="6" spans="1:6" x14ac:dyDescent="0.15">
      <c r="A6" s="292">
        <v>44866</v>
      </c>
      <c r="B6" s="285">
        <v>44866</v>
      </c>
      <c r="F6" s="291"/>
    </row>
    <row r="7" spans="1:6" x14ac:dyDescent="0.15">
      <c r="A7" s="292">
        <v>44867</v>
      </c>
      <c r="B7" s="285">
        <v>44867</v>
      </c>
      <c r="F7" s="291"/>
    </row>
    <row r="8" spans="1:6" x14ac:dyDescent="0.15">
      <c r="A8" s="292">
        <v>44868</v>
      </c>
      <c r="B8" s="285">
        <v>44868</v>
      </c>
      <c r="F8" s="291"/>
    </row>
    <row r="9" spans="1:6" x14ac:dyDescent="0.15">
      <c r="A9" s="292">
        <v>44869</v>
      </c>
      <c r="B9" s="285">
        <v>44869</v>
      </c>
      <c r="F9" s="291"/>
    </row>
    <row r="10" spans="1:6" x14ac:dyDescent="0.15">
      <c r="A10" s="292">
        <v>44870</v>
      </c>
      <c r="B10" s="285">
        <v>44870</v>
      </c>
      <c r="F10" s="291"/>
    </row>
    <row r="11" spans="1:6" x14ac:dyDescent="0.15">
      <c r="A11" s="292">
        <v>44871</v>
      </c>
      <c r="B11" s="285">
        <v>44871</v>
      </c>
      <c r="F11" s="291"/>
    </row>
    <row r="12" spans="1:6" x14ac:dyDescent="0.15">
      <c r="A12" s="292">
        <v>44871</v>
      </c>
      <c r="B12" s="285" t="s">
        <v>234</v>
      </c>
      <c r="F12" s="291"/>
    </row>
    <row r="13" spans="1:6" x14ac:dyDescent="0.15">
      <c r="A13" s="292">
        <v>44871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44872</v>
      </c>
      <c r="B16" s="297">
        <v>44872</v>
      </c>
      <c r="C16" s="296"/>
      <c r="D16" s="295"/>
      <c r="E16" s="294"/>
      <c r="F16" s="293"/>
    </row>
    <row r="17" spans="1:6" x14ac:dyDescent="0.15">
      <c r="A17" s="292">
        <v>44873</v>
      </c>
      <c r="B17" s="285">
        <v>44873</v>
      </c>
      <c r="F17" s="291"/>
    </row>
    <row r="18" spans="1:6" x14ac:dyDescent="0.15">
      <c r="A18" s="292">
        <v>44874</v>
      </c>
      <c r="B18" s="285">
        <v>44874</v>
      </c>
      <c r="F18" s="291"/>
    </row>
    <row r="19" spans="1:6" x14ac:dyDescent="0.15">
      <c r="A19" s="292">
        <v>44875</v>
      </c>
      <c r="B19" s="285">
        <v>44875</v>
      </c>
      <c r="F19" s="291"/>
    </row>
    <row r="20" spans="1:6" x14ac:dyDescent="0.15">
      <c r="A20" s="292">
        <v>44876</v>
      </c>
      <c r="B20" s="285">
        <v>44876</v>
      </c>
      <c r="F20" s="291"/>
    </row>
    <row r="21" spans="1:6" x14ac:dyDescent="0.15">
      <c r="A21" s="292">
        <v>44877</v>
      </c>
      <c r="B21" s="285">
        <v>44877</v>
      </c>
      <c r="F21" s="291"/>
    </row>
    <row r="22" spans="1:6" x14ac:dyDescent="0.15">
      <c r="A22" s="292">
        <v>44878</v>
      </c>
      <c r="B22" s="285">
        <v>44878</v>
      </c>
      <c r="F22" s="291"/>
    </row>
    <row r="23" spans="1:6" x14ac:dyDescent="0.15">
      <c r="A23" s="292">
        <v>44878</v>
      </c>
      <c r="B23" s="285" t="s">
        <v>234</v>
      </c>
      <c r="F23" s="291"/>
    </row>
    <row r="24" spans="1:6" x14ac:dyDescent="0.15">
      <c r="A24" s="292">
        <v>44878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44879</v>
      </c>
      <c r="B27" s="297">
        <v>44879</v>
      </c>
      <c r="C27" s="296"/>
      <c r="D27" s="295"/>
      <c r="E27" s="294"/>
      <c r="F27" s="293"/>
    </row>
    <row r="28" spans="1:6" x14ac:dyDescent="0.15">
      <c r="A28" s="292">
        <v>44880</v>
      </c>
      <c r="B28" s="285">
        <v>44880</v>
      </c>
      <c r="F28" s="291"/>
    </row>
    <row r="29" spans="1:6" x14ac:dyDescent="0.15">
      <c r="A29" s="292">
        <v>44881</v>
      </c>
      <c r="B29" s="285">
        <v>44881</v>
      </c>
      <c r="F29" s="291"/>
    </row>
    <row r="30" spans="1:6" x14ac:dyDescent="0.15">
      <c r="A30" s="292">
        <v>44882</v>
      </c>
      <c r="B30" s="285">
        <v>44882</v>
      </c>
      <c r="F30" s="291"/>
    </row>
    <row r="31" spans="1:6" x14ac:dyDescent="0.15">
      <c r="A31" s="292">
        <v>44883</v>
      </c>
      <c r="B31" s="285">
        <v>44883</v>
      </c>
      <c r="F31" s="291"/>
    </row>
    <row r="32" spans="1:6" x14ac:dyDescent="0.15">
      <c r="A32" s="292">
        <v>44884</v>
      </c>
      <c r="B32" s="285">
        <v>44884</v>
      </c>
      <c r="F32" s="291"/>
    </row>
    <row r="33" spans="1:6" x14ac:dyDescent="0.15">
      <c r="A33" s="292">
        <v>44885</v>
      </c>
      <c r="B33" s="285">
        <v>44885</v>
      </c>
      <c r="F33" s="291"/>
    </row>
    <row r="34" spans="1:6" x14ac:dyDescent="0.15">
      <c r="A34" s="292">
        <v>44885</v>
      </c>
      <c r="B34" s="285" t="s">
        <v>234</v>
      </c>
      <c r="F34" s="291"/>
    </row>
    <row r="35" spans="1:6" x14ac:dyDescent="0.15">
      <c r="A35" s="292">
        <v>44885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44886</v>
      </c>
      <c r="B38" s="297">
        <v>44886</v>
      </c>
      <c r="C38" s="296"/>
      <c r="D38" s="295"/>
      <c r="E38" s="294"/>
      <c r="F38" s="293"/>
    </row>
    <row r="39" spans="1:6" x14ac:dyDescent="0.15">
      <c r="A39" s="292">
        <v>44887</v>
      </c>
      <c r="B39" s="285">
        <v>44887</v>
      </c>
      <c r="F39" s="291"/>
    </row>
    <row r="40" spans="1:6" x14ac:dyDescent="0.15">
      <c r="A40" s="292">
        <v>44888</v>
      </c>
      <c r="B40" s="285">
        <v>44888</v>
      </c>
      <c r="F40" s="291"/>
    </row>
    <row r="41" spans="1:6" x14ac:dyDescent="0.15">
      <c r="A41" s="292">
        <v>44889</v>
      </c>
      <c r="B41" s="285">
        <v>44889</v>
      </c>
      <c r="F41" s="291"/>
    </row>
    <row r="42" spans="1:6" x14ac:dyDescent="0.15">
      <c r="A42" s="292">
        <v>44890</v>
      </c>
      <c r="B42" s="285">
        <v>44890</v>
      </c>
      <c r="F42" s="291"/>
    </row>
    <row r="43" spans="1:6" x14ac:dyDescent="0.15">
      <c r="A43" s="292">
        <v>44891</v>
      </c>
      <c r="B43" s="285">
        <v>44891</v>
      </c>
      <c r="F43" s="291"/>
    </row>
    <row r="44" spans="1:6" x14ac:dyDescent="0.15">
      <c r="A44" s="292">
        <v>44892</v>
      </c>
      <c r="B44" s="285">
        <v>44892</v>
      </c>
      <c r="F44" s="291"/>
    </row>
    <row r="45" spans="1:6" x14ac:dyDescent="0.15">
      <c r="A45" s="292">
        <v>44892</v>
      </c>
      <c r="B45" s="285" t="s">
        <v>234</v>
      </c>
      <c r="F45" s="291"/>
    </row>
    <row r="46" spans="1:6" x14ac:dyDescent="0.15">
      <c r="A46" s="292">
        <v>44892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44893</v>
      </c>
      <c r="B5" s="297">
        <v>44893</v>
      </c>
      <c r="C5" s="296"/>
      <c r="D5" s="295"/>
      <c r="E5" s="294"/>
      <c r="F5" s="293"/>
    </row>
    <row r="6" spans="1:6" x14ac:dyDescent="0.15">
      <c r="A6" s="292">
        <v>44894</v>
      </c>
      <c r="B6" s="285">
        <v>44894</v>
      </c>
      <c r="F6" s="291"/>
    </row>
    <row r="7" spans="1:6" x14ac:dyDescent="0.15">
      <c r="A7" s="292">
        <v>44895</v>
      </c>
      <c r="B7" s="285">
        <v>44895</v>
      </c>
      <c r="F7" s="291"/>
    </row>
    <row r="8" spans="1:6" x14ac:dyDescent="0.15">
      <c r="A8" s="292">
        <v>44896</v>
      </c>
      <c r="B8" s="285">
        <v>44896</v>
      </c>
      <c r="F8" s="291"/>
    </row>
    <row r="9" spans="1:6" x14ac:dyDescent="0.15">
      <c r="A9" s="292">
        <v>44897</v>
      </c>
      <c r="B9" s="285">
        <v>44897</v>
      </c>
      <c r="F9" s="291"/>
    </row>
    <row r="10" spans="1:6" x14ac:dyDescent="0.15">
      <c r="A10" s="292">
        <v>44898</v>
      </c>
      <c r="B10" s="285">
        <v>44898</v>
      </c>
      <c r="F10" s="291"/>
    </row>
    <row r="11" spans="1:6" x14ac:dyDescent="0.15">
      <c r="A11" s="292">
        <v>44899</v>
      </c>
      <c r="B11" s="285">
        <v>44899</v>
      </c>
      <c r="F11" s="291"/>
    </row>
    <row r="12" spans="1:6" x14ac:dyDescent="0.15">
      <c r="A12" s="292">
        <v>44899</v>
      </c>
      <c r="B12" s="285" t="s">
        <v>234</v>
      </c>
      <c r="F12" s="291"/>
    </row>
    <row r="13" spans="1:6" x14ac:dyDescent="0.15">
      <c r="A13" s="292">
        <v>44899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44900</v>
      </c>
      <c r="B16" s="297">
        <v>44900</v>
      </c>
      <c r="C16" s="296"/>
      <c r="D16" s="295"/>
      <c r="E16" s="294"/>
      <c r="F16" s="293"/>
    </row>
    <row r="17" spans="1:6" x14ac:dyDescent="0.15">
      <c r="A17" s="292">
        <v>44901</v>
      </c>
      <c r="B17" s="285">
        <v>44901</v>
      </c>
      <c r="F17" s="291"/>
    </row>
    <row r="18" spans="1:6" x14ac:dyDescent="0.15">
      <c r="A18" s="292">
        <v>44902</v>
      </c>
      <c r="B18" s="285">
        <v>44902</v>
      </c>
      <c r="F18" s="291"/>
    </row>
    <row r="19" spans="1:6" x14ac:dyDescent="0.15">
      <c r="A19" s="292">
        <v>44903</v>
      </c>
      <c r="B19" s="285">
        <v>44903</v>
      </c>
      <c r="F19" s="291"/>
    </row>
    <row r="20" spans="1:6" x14ac:dyDescent="0.15">
      <c r="A20" s="292">
        <v>44904</v>
      </c>
      <c r="B20" s="285">
        <v>44904</v>
      </c>
      <c r="F20" s="291"/>
    </row>
    <row r="21" spans="1:6" x14ac:dyDescent="0.15">
      <c r="A21" s="292">
        <v>44905</v>
      </c>
      <c r="B21" s="285">
        <v>44905</v>
      </c>
      <c r="F21" s="291"/>
    </row>
    <row r="22" spans="1:6" x14ac:dyDescent="0.15">
      <c r="A22" s="292">
        <v>44906</v>
      </c>
      <c r="B22" s="285">
        <v>44906</v>
      </c>
      <c r="F22" s="291"/>
    </row>
    <row r="23" spans="1:6" x14ac:dyDescent="0.15">
      <c r="A23" s="292">
        <v>44906</v>
      </c>
      <c r="B23" s="285" t="s">
        <v>234</v>
      </c>
      <c r="F23" s="291"/>
    </row>
    <row r="24" spans="1:6" x14ac:dyDescent="0.15">
      <c r="A24" s="292">
        <v>44906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44907</v>
      </c>
      <c r="B27" s="297">
        <v>44907</v>
      </c>
      <c r="C27" s="296"/>
      <c r="D27" s="295"/>
      <c r="E27" s="294"/>
      <c r="F27" s="293"/>
    </row>
    <row r="28" spans="1:6" x14ac:dyDescent="0.15">
      <c r="A28" s="292">
        <v>44908</v>
      </c>
      <c r="B28" s="285">
        <v>44908</v>
      </c>
      <c r="F28" s="291"/>
    </row>
    <row r="29" spans="1:6" x14ac:dyDescent="0.15">
      <c r="A29" s="292">
        <v>44909</v>
      </c>
      <c r="B29" s="285">
        <v>44909</v>
      </c>
      <c r="F29" s="291"/>
    </row>
    <row r="30" spans="1:6" x14ac:dyDescent="0.15">
      <c r="A30" s="292">
        <v>44910</v>
      </c>
      <c r="B30" s="285">
        <v>44910</v>
      </c>
      <c r="F30" s="291"/>
    </row>
    <row r="31" spans="1:6" x14ac:dyDescent="0.15">
      <c r="A31" s="292">
        <v>44911</v>
      </c>
      <c r="B31" s="285">
        <v>44911</v>
      </c>
      <c r="F31" s="291"/>
    </row>
    <row r="32" spans="1:6" x14ac:dyDescent="0.15">
      <c r="A32" s="292">
        <v>44912</v>
      </c>
      <c r="B32" s="285">
        <v>44912</v>
      </c>
      <c r="F32" s="291"/>
    </row>
    <row r="33" spans="1:6" x14ac:dyDescent="0.15">
      <c r="A33" s="292">
        <v>44913</v>
      </c>
      <c r="B33" s="285">
        <v>44913</v>
      </c>
      <c r="F33" s="291"/>
    </row>
    <row r="34" spans="1:6" x14ac:dyDescent="0.15">
      <c r="A34" s="292">
        <v>44913</v>
      </c>
      <c r="B34" s="285" t="s">
        <v>234</v>
      </c>
      <c r="F34" s="291"/>
    </row>
    <row r="35" spans="1:6" x14ac:dyDescent="0.15">
      <c r="A35" s="292">
        <v>44913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44914</v>
      </c>
      <c r="B38" s="297">
        <v>44914</v>
      </c>
      <c r="C38" s="296"/>
      <c r="D38" s="295"/>
      <c r="E38" s="294"/>
      <c r="F38" s="293"/>
    </row>
    <row r="39" spans="1:6" x14ac:dyDescent="0.15">
      <c r="A39" s="292">
        <v>44915</v>
      </c>
      <c r="B39" s="285">
        <v>44915</v>
      </c>
      <c r="F39" s="291"/>
    </row>
    <row r="40" spans="1:6" x14ac:dyDescent="0.15">
      <c r="A40" s="292">
        <v>44916</v>
      </c>
      <c r="B40" s="285">
        <v>44916</v>
      </c>
      <c r="F40" s="291"/>
    </row>
    <row r="41" spans="1:6" x14ac:dyDescent="0.15">
      <c r="A41" s="292">
        <v>44917</v>
      </c>
      <c r="B41" s="285">
        <v>44917</v>
      </c>
      <c r="F41" s="291"/>
    </row>
    <row r="42" spans="1:6" x14ac:dyDescent="0.15">
      <c r="A42" s="292">
        <v>44918</v>
      </c>
      <c r="B42" s="285">
        <v>44918</v>
      </c>
      <c r="F42" s="291"/>
    </row>
    <row r="43" spans="1:6" x14ac:dyDescent="0.15">
      <c r="A43" s="292">
        <v>44919</v>
      </c>
      <c r="B43" s="285">
        <v>44919</v>
      </c>
      <c r="F43" s="291"/>
    </row>
    <row r="44" spans="1:6" x14ac:dyDescent="0.15">
      <c r="A44" s="292">
        <v>44920</v>
      </c>
      <c r="B44" s="285">
        <v>44920</v>
      </c>
      <c r="F44" s="291"/>
    </row>
    <row r="45" spans="1:6" x14ac:dyDescent="0.15">
      <c r="A45" s="292">
        <v>44920</v>
      </c>
      <c r="B45" s="285" t="s">
        <v>234</v>
      </c>
      <c r="F45" s="291"/>
    </row>
    <row r="46" spans="1:6" x14ac:dyDescent="0.15">
      <c r="A46" s="292">
        <v>44920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44921</v>
      </c>
      <c r="B5" s="297">
        <v>44921</v>
      </c>
      <c r="C5" s="296"/>
      <c r="D5" s="295"/>
      <c r="E5" s="294"/>
      <c r="F5" s="293"/>
    </row>
    <row r="6" spans="1:6" x14ac:dyDescent="0.15">
      <c r="A6" s="292">
        <v>44922</v>
      </c>
      <c r="B6" s="285">
        <v>44922</v>
      </c>
      <c r="F6" s="291"/>
    </row>
    <row r="7" spans="1:6" x14ac:dyDescent="0.15">
      <c r="A7" s="292">
        <v>44923</v>
      </c>
      <c r="B7" s="285">
        <v>44923</v>
      </c>
      <c r="F7" s="291"/>
    </row>
    <row r="8" spans="1:6" x14ac:dyDescent="0.15">
      <c r="A8" s="292">
        <v>44924</v>
      </c>
      <c r="B8" s="285">
        <v>44924</v>
      </c>
      <c r="F8" s="291"/>
    </row>
    <row r="9" spans="1:6" x14ac:dyDescent="0.15">
      <c r="A9" s="292">
        <v>44925</v>
      </c>
      <c r="B9" s="285">
        <v>44925</v>
      </c>
      <c r="F9" s="291"/>
    </row>
    <row r="10" spans="1:6" x14ac:dyDescent="0.15">
      <c r="A10" s="292">
        <v>44926</v>
      </c>
      <c r="B10" s="285">
        <v>44926</v>
      </c>
      <c r="F10" s="291"/>
    </row>
    <row r="11" spans="1:6" x14ac:dyDescent="0.15">
      <c r="A11" s="292">
        <v>44927</v>
      </c>
      <c r="B11" s="285">
        <v>44927</v>
      </c>
      <c r="F11" s="291"/>
    </row>
    <row r="12" spans="1:6" x14ac:dyDescent="0.15">
      <c r="A12" s="292">
        <v>44927</v>
      </c>
      <c r="B12" s="285" t="s">
        <v>234</v>
      </c>
      <c r="F12" s="291"/>
    </row>
    <row r="13" spans="1:6" x14ac:dyDescent="0.15">
      <c r="A13" s="292">
        <v>44927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44928</v>
      </c>
      <c r="B16" s="297">
        <v>44928</v>
      </c>
      <c r="C16" s="296"/>
      <c r="D16" s="295"/>
      <c r="E16" s="294"/>
      <c r="F16" s="293"/>
    </row>
    <row r="17" spans="1:6" x14ac:dyDescent="0.15">
      <c r="A17" s="292">
        <v>44929</v>
      </c>
      <c r="B17" s="285">
        <v>44929</v>
      </c>
      <c r="F17" s="291"/>
    </row>
    <row r="18" spans="1:6" x14ac:dyDescent="0.15">
      <c r="A18" s="292">
        <v>44930</v>
      </c>
      <c r="B18" s="285">
        <v>44930</v>
      </c>
      <c r="F18" s="291"/>
    </row>
    <row r="19" spans="1:6" x14ac:dyDescent="0.15">
      <c r="A19" s="292">
        <v>44931</v>
      </c>
      <c r="B19" s="285">
        <v>44931</v>
      </c>
      <c r="F19" s="291"/>
    </row>
    <row r="20" spans="1:6" x14ac:dyDescent="0.15">
      <c r="A20" s="292">
        <v>44932</v>
      </c>
      <c r="B20" s="285">
        <v>44932</v>
      </c>
      <c r="F20" s="291"/>
    </row>
    <row r="21" spans="1:6" x14ac:dyDescent="0.15">
      <c r="A21" s="292">
        <v>44933</v>
      </c>
      <c r="B21" s="285">
        <v>44933</v>
      </c>
      <c r="F21" s="291"/>
    </row>
    <row r="22" spans="1:6" x14ac:dyDescent="0.15">
      <c r="A22" s="292">
        <v>44934</v>
      </c>
      <c r="B22" s="285">
        <v>44934</v>
      </c>
      <c r="F22" s="291"/>
    </row>
    <row r="23" spans="1:6" x14ac:dyDescent="0.15">
      <c r="A23" s="292">
        <v>44934</v>
      </c>
      <c r="B23" s="285" t="s">
        <v>234</v>
      </c>
      <c r="F23" s="291"/>
    </row>
    <row r="24" spans="1:6" x14ac:dyDescent="0.15">
      <c r="A24" s="292">
        <v>44934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44935</v>
      </c>
      <c r="B27" s="297">
        <v>44935</v>
      </c>
      <c r="C27" s="296"/>
      <c r="D27" s="295"/>
      <c r="E27" s="294"/>
      <c r="F27" s="293"/>
    </row>
    <row r="28" spans="1:6" x14ac:dyDescent="0.15">
      <c r="A28" s="292">
        <v>44936</v>
      </c>
      <c r="B28" s="285">
        <v>44936</v>
      </c>
      <c r="F28" s="291"/>
    </row>
    <row r="29" spans="1:6" x14ac:dyDescent="0.15">
      <c r="A29" s="292">
        <v>44937</v>
      </c>
      <c r="B29" s="285">
        <v>44937</v>
      </c>
      <c r="F29" s="291"/>
    </row>
    <row r="30" spans="1:6" x14ac:dyDescent="0.15">
      <c r="A30" s="292">
        <v>44938</v>
      </c>
      <c r="B30" s="285">
        <v>44938</v>
      </c>
      <c r="F30" s="291"/>
    </row>
    <row r="31" spans="1:6" x14ac:dyDescent="0.15">
      <c r="A31" s="292">
        <v>44939</v>
      </c>
      <c r="B31" s="285">
        <v>44939</v>
      </c>
      <c r="F31" s="291"/>
    </row>
    <row r="32" spans="1:6" x14ac:dyDescent="0.15">
      <c r="A32" s="292">
        <v>44940</v>
      </c>
      <c r="B32" s="285">
        <v>44940</v>
      </c>
      <c r="F32" s="291"/>
    </row>
    <row r="33" spans="1:6" x14ac:dyDescent="0.15">
      <c r="A33" s="292">
        <v>44941</v>
      </c>
      <c r="B33" s="285">
        <v>44941</v>
      </c>
      <c r="F33" s="291"/>
    </row>
    <row r="34" spans="1:6" x14ac:dyDescent="0.15">
      <c r="A34" s="292">
        <v>44941</v>
      </c>
      <c r="B34" s="285" t="s">
        <v>234</v>
      </c>
      <c r="F34" s="291"/>
    </row>
    <row r="35" spans="1:6" x14ac:dyDescent="0.15">
      <c r="A35" s="292">
        <v>44941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44942</v>
      </c>
      <c r="B38" s="297">
        <v>44942</v>
      </c>
      <c r="C38" s="296"/>
      <c r="D38" s="295"/>
      <c r="E38" s="294"/>
      <c r="F38" s="293"/>
    </row>
    <row r="39" spans="1:6" x14ac:dyDescent="0.15">
      <c r="A39" s="292">
        <v>44943</v>
      </c>
      <c r="B39" s="285">
        <v>44943</v>
      </c>
      <c r="F39" s="291"/>
    </row>
    <row r="40" spans="1:6" x14ac:dyDescent="0.15">
      <c r="A40" s="292">
        <v>44944</v>
      </c>
      <c r="B40" s="285">
        <v>44944</v>
      </c>
      <c r="F40" s="291"/>
    </row>
    <row r="41" spans="1:6" x14ac:dyDescent="0.15">
      <c r="A41" s="292">
        <v>44945</v>
      </c>
      <c r="B41" s="285">
        <v>44945</v>
      </c>
      <c r="F41" s="291"/>
    </row>
    <row r="42" spans="1:6" x14ac:dyDescent="0.15">
      <c r="A42" s="292">
        <v>44946</v>
      </c>
      <c r="B42" s="285">
        <v>44946</v>
      </c>
      <c r="F42" s="291"/>
    </row>
    <row r="43" spans="1:6" x14ac:dyDescent="0.15">
      <c r="A43" s="292">
        <v>44947</v>
      </c>
      <c r="B43" s="285">
        <v>44947</v>
      </c>
      <c r="F43" s="291"/>
    </row>
    <row r="44" spans="1:6" x14ac:dyDescent="0.15">
      <c r="A44" s="292">
        <v>44948</v>
      </c>
      <c r="B44" s="285">
        <v>44948</v>
      </c>
      <c r="F44" s="291"/>
    </row>
    <row r="45" spans="1:6" x14ac:dyDescent="0.15">
      <c r="A45" s="292">
        <v>44948</v>
      </c>
      <c r="B45" s="285" t="s">
        <v>234</v>
      </c>
      <c r="F45" s="291"/>
    </row>
    <row r="46" spans="1:6" x14ac:dyDescent="0.15">
      <c r="A46" s="292">
        <v>44948</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44949</v>
      </c>
      <c r="B49" s="297">
        <v>44949</v>
      </c>
      <c r="C49" s="296"/>
      <c r="D49" s="295"/>
      <c r="E49" s="294"/>
      <c r="F49" s="293"/>
    </row>
    <row r="50" spans="1:6" x14ac:dyDescent="0.15">
      <c r="A50" s="292">
        <v>44950</v>
      </c>
      <c r="B50" s="285">
        <v>44950</v>
      </c>
      <c r="F50" s="291"/>
    </row>
    <row r="51" spans="1:6" x14ac:dyDescent="0.15">
      <c r="A51" s="292">
        <v>44951</v>
      </c>
      <c r="B51" s="285">
        <v>44951</v>
      </c>
      <c r="F51" s="291"/>
    </row>
    <row r="52" spans="1:6" x14ac:dyDescent="0.15">
      <c r="A52" s="292">
        <v>44952</v>
      </c>
      <c r="B52" s="285">
        <v>44952</v>
      </c>
      <c r="F52" s="291"/>
    </row>
    <row r="53" spans="1:6" x14ac:dyDescent="0.15">
      <c r="A53" s="292">
        <v>44953</v>
      </c>
      <c r="B53" s="285">
        <v>44953</v>
      </c>
      <c r="F53" s="291"/>
    </row>
    <row r="54" spans="1:6" x14ac:dyDescent="0.15">
      <c r="A54" s="292">
        <v>44954</v>
      </c>
      <c r="B54" s="285">
        <v>44954</v>
      </c>
      <c r="F54" s="291"/>
    </row>
    <row r="55" spans="1:6" x14ac:dyDescent="0.15">
      <c r="A55" s="292">
        <v>44955</v>
      </c>
      <c r="B55" s="285">
        <v>44955</v>
      </c>
      <c r="F55" s="291"/>
    </row>
    <row r="56" spans="1:6" x14ac:dyDescent="0.15">
      <c r="A56" s="292">
        <v>44955</v>
      </c>
      <c r="B56" s="285" t="s">
        <v>234</v>
      </c>
      <c r="F56" s="291"/>
    </row>
    <row r="57" spans="1:6" x14ac:dyDescent="0.15">
      <c r="A57" s="292">
        <v>44955</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44956</v>
      </c>
      <c r="B5" s="297">
        <v>44956</v>
      </c>
      <c r="C5" s="296"/>
      <c r="D5" s="295"/>
      <c r="E5" s="294"/>
      <c r="F5" s="293"/>
    </row>
    <row r="6" spans="1:6" x14ac:dyDescent="0.15">
      <c r="A6" s="292">
        <v>44957</v>
      </c>
      <c r="B6" s="285">
        <v>44957</v>
      </c>
      <c r="F6" s="291"/>
    </row>
    <row r="7" spans="1:6" x14ac:dyDescent="0.15">
      <c r="A7" s="292">
        <v>44958</v>
      </c>
      <c r="B7" s="285">
        <v>44958</v>
      </c>
      <c r="F7" s="291"/>
    </row>
    <row r="8" spans="1:6" x14ac:dyDescent="0.15">
      <c r="A8" s="292">
        <v>44959</v>
      </c>
      <c r="B8" s="285">
        <v>44959</v>
      </c>
      <c r="F8" s="291"/>
    </row>
    <row r="9" spans="1:6" x14ac:dyDescent="0.15">
      <c r="A9" s="292">
        <v>44960</v>
      </c>
      <c r="B9" s="285">
        <v>44960</v>
      </c>
      <c r="F9" s="291"/>
    </row>
    <row r="10" spans="1:6" x14ac:dyDescent="0.15">
      <c r="A10" s="292">
        <v>44961</v>
      </c>
      <c r="B10" s="285">
        <v>44961</v>
      </c>
      <c r="F10" s="291"/>
    </row>
    <row r="11" spans="1:6" x14ac:dyDescent="0.15">
      <c r="A11" s="292">
        <v>44962</v>
      </c>
      <c r="B11" s="285">
        <v>44962</v>
      </c>
      <c r="F11" s="291"/>
    </row>
    <row r="12" spans="1:6" x14ac:dyDescent="0.15">
      <c r="A12" s="292">
        <v>44962</v>
      </c>
      <c r="B12" s="285" t="s">
        <v>234</v>
      </c>
      <c r="F12" s="291"/>
    </row>
    <row r="13" spans="1:6" x14ac:dyDescent="0.15">
      <c r="A13" s="292">
        <v>44962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44963</v>
      </c>
      <c r="B16" s="297">
        <v>44963</v>
      </c>
      <c r="C16" s="296"/>
      <c r="D16" s="295"/>
      <c r="E16" s="294"/>
      <c r="F16" s="293"/>
    </row>
    <row r="17" spans="1:6" x14ac:dyDescent="0.15">
      <c r="A17" s="292">
        <v>44964</v>
      </c>
      <c r="B17" s="285">
        <v>44964</v>
      </c>
      <c r="F17" s="291"/>
    </row>
    <row r="18" spans="1:6" x14ac:dyDescent="0.15">
      <c r="A18" s="292">
        <v>44965</v>
      </c>
      <c r="B18" s="285">
        <v>44965</v>
      </c>
      <c r="F18" s="291"/>
    </row>
    <row r="19" spans="1:6" x14ac:dyDescent="0.15">
      <c r="A19" s="292">
        <v>44966</v>
      </c>
      <c r="B19" s="285">
        <v>44966</v>
      </c>
      <c r="F19" s="291"/>
    </row>
    <row r="20" spans="1:6" x14ac:dyDescent="0.15">
      <c r="A20" s="292">
        <v>44967</v>
      </c>
      <c r="B20" s="285">
        <v>44967</v>
      </c>
      <c r="F20" s="291"/>
    </row>
    <row r="21" spans="1:6" x14ac:dyDescent="0.15">
      <c r="A21" s="292">
        <v>44968</v>
      </c>
      <c r="B21" s="285">
        <v>44968</v>
      </c>
      <c r="F21" s="291"/>
    </row>
    <row r="22" spans="1:6" x14ac:dyDescent="0.15">
      <c r="A22" s="292">
        <v>44969</v>
      </c>
      <c r="B22" s="285">
        <v>44969</v>
      </c>
      <c r="F22" s="291"/>
    </row>
    <row r="23" spans="1:6" x14ac:dyDescent="0.15">
      <c r="A23" s="292">
        <v>44969</v>
      </c>
      <c r="B23" s="285" t="s">
        <v>234</v>
      </c>
      <c r="F23" s="291"/>
    </row>
    <row r="24" spans="1:6" x14ac:dyDescent="0.15">
      <c r="A24" s="292">
        <v>44969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44970</v>
      </c>
      <c r="B27" s="297">
        <v>44970</v>
      </c>
      <c r="C27" s="296"/>
      <c r="D27" s="295"/>
      <c r="E27" s="294"/>
      <c r="F27" s="293"/>
    </row>
    <row r="28" spans="1:6" x14ac:dyDescent="0.15">
      <c r="A28" s="292">
        <v>44971</v>
      </c>
      <c r="B28" s="285">
        <v>44971</v>
      </c>
      <c r="F28" s="291"/>
    </row>
    <row r="29" spans="1:6" x14ac:dyDescent="0.15">
      <c r="A29" s="292">
        <v>44972</v>
      </c>
      <c r="B29" s="285">
        <v>44972</v>
      </c>
      <c r="F29" s="291"/>
    </row>
    <row r="30" spans="1:6" x14ac:dyDescent="0.15">
      <c r="A30" s="292">
        <v>44973</v>
      </c>
      <c r="B30" s="285">
        <v>44973</v>
      </c>
      <c r="F30" s="291"/>
    </row>
    <row r="31" spans="1:6" x14ac:dyDescent="0.15">
      <c r="A31" s="292">
        <v>44974</v>
      </c>
      <c r="B31" s="285">
        <v>44974</v>
      </c>
      <c r="F31" s="291"/>
    </row>
    <row r="32" spans="1:6" x14ac:dyDescent="0.15">
      <c r="A32" s="292">
        <v>44975</v>
      </c>
      <c r="B32" s="285">
        <v>44975</v>
      </c>
      <c r="F32" s="291"/>
    </row>
    <row r="33" spans="1:6" x14ac:dyDescent="0.15">
      <c r="A33" s="292">
        <v>44976</v>
      </c>
      <c r="B33" s="285">
        <v>44976</v>
      </c>
      <c r="F33" s="291"/>
    </row>
    <row r="34" spans="1:6" x14ac:dyDescent="0.15">
      <c r="A34" s="292">
        <v>44976</v>
      </c>
      <c r="B34" s="285" t="s">
        <v>234</v>
      </c>
      <c r="F34" s="291"/>
    </row>
    <row r="35" spans="1:6" x14ac:dyDescent="0.15">
      <c r="A35" s="292">
        <v>44976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44977</v>
      </c>
      <c r="B38" s="297">
        <v>44977</v>
      </c>
      <c r="C38" s="296"/>
      <c r="D38" s="295"/>
      <c r="E38" s="294"/>
      <c r="F38" s="293"/>
    </row>
    <row r="39" spans="1:6" x14ac:dyDescent="0.15">
      <c r="A39" s="292">
        <v>44978</v>
      </c>
      <c r="B39" s="285">
        <v>44978</v>
      </c>
      <c r="F39" s="291"/>
    </row>
    <row r="40" spans="1:6" x14ac:dyDescent="0.15">
      <c r="A40" s="292">
        <v>44979</v>
      </c>
      <c r="B40" s="285">
        <v>44979</v>
      </c>
      <c r="F40" s="291"/>
    </row>
    <row r="41" spans="1:6" x14ac:dyDescent="0.15">
      <c r="A41" s="292">
        <v>44980</v>
      </c>
      <c r="B41" s="285">
        <v>44980</v>
      </c>
      <c r="F41" s="291"/>
    </row>
    <row r="42" spans="1:6" x14ac:dyDescent="0.15">
      <c r="A42" s="292">
        <v>44981</v>
      </c>
      <c r="B42" s="285">
        <v>44981</v>
      </c>
      <c r="F42" s="291"/>
    </row>
    <row r="43" spans="1:6" x14ac:dyDescent="0.15">
      <c r="A43" s="292">
        <v>44982</v>
      </c>
      <c r="B43" s="285">
        <v>44982</v>
      </c>
      <c r="F43" s="291"/>
    </row>
    <row r="44" spans="1:6" x14ac:dyDescent="0.15">
      <c r="A44" s="292">
        <v>44983</v>
      </c>
      <c r="B44" s="285">
        <v>44983</v>
      </c>
      <c r="F44" s="291"/>
    </row>
    <row r="45" spans="1:6" x14ac:dyDescent="0.15">
      <c r="A45" s="292">
        <v>44983</v>
      </c>
      <c r="B45" s="285" t="s">
        <v>234</v>
      </c>
      <c r="F45" s="291"/>
    </row>
    <row r="46" spans="1:6" x14ac:dyDescent="0.15">
      <c r="A46" s="292">
        <v>44983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5"/>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SUM(D4:D65)</f>
        <v>0</v>
      </c>
      <c r="E1" s="303">
        <f>SUM(E4:E65)/2</f>
        <v>0</v>
      </c>
      <c r="F1" s="303">
        <f>SUM(F4:F65)/2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44984</v>
      </c>
      <c r="B5" s="297">
        <v>44984</v>
      </c>
      <c r="C5" s="296"/>
      <c r="D5" s="295"/>
      <c r="E5" s="294"/>
      <c r="F5" s="293"/>
    </row>
    <row r="6" spans="1:6" x14ac:dyDescent="0.15">
      <c r="A6" s="292">
        <v>44985</v>
      </c>
      <c r="B6" s="285">
        <v>44985</v>
      </c>
      <c r="F6" s="291"/>
    </row>
    <row r="7" spans="1:6" x14ac:dyDescent="0.15">
      <c r="A7" s="292">
        <v>44986</v>
      </c>
      <c r="B7" s="285">
        <v>44986</v>
      </c>
      <c r="F7" s="291"/>
    </row>
    <row r="8" spans="1:6" x14ac:dyDescent="0.15">
      <c r="A8" s="292">
        <v>44987</v>
      </c>
      <c r="B8" s="285">
        <v>44987</v>
      </c>
      <c r="F8" s="291"/>
    </row>
    <row r="9" spans="1:6" x14ac:dyDescent="0.15">
      <c r="A9" s="292">
        <v>44988</v>
      </c>
      <c r="B9" s="285">
        <v>44988</v>
      </c>
      <c r="F9" s="291"/>
    </row>
    <row r="10" spans="1:6" x14ac:dyDescent="0.15">
      <c r="A10" s="292">
        <v>44989</v>
      </c>
      <c r="B10" s="285">
        <v>44989</v>
      </c>
      <c r="F10" s="291"/>
    </row>
    <row r="11" spans="1:6" x14ac:dyDescent="0.15">
      <c r="A11" s="292">
        <v>44990</v>
      </c>
      <c r="B11" s="285">
        <v>44990</v>
      </c>
      <c r="F11" s="291"/>
    </row>
    <row r="12" spans="1:6" x14ac:dyDescent="0.15">
      <c r="A12" s="292">
        <v>44990</v>
      </c>
      <c r="B12" s="285" t="s">
        <v>234</v>
      </c>
      <c r="F12" s="291"/>
    </row>
    <row r="13" spans="1:6" x14ac:dyDescent="0.15">
      <c r="A13" s="292">
        <v>44990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44991</v>
      </c>
      <c r="B16" s="297">
        <v>44991</v>
      </c>
      <c r="C16" s="296"/>
      <c r="D16" s="295"/>
      <c r="E16" s="294"/>
      <c r="F16" s="293"/>
    </row>
    <row r="17" spans="1:6" x14ac:dyDescent="0.15">
      <c r="A17" s="292">
        <v>44992</v>
      </c>
      <c r="B17" s="285">
        <v>44992</v>
      </c>
      <c r="F17" s="291"/>
    </row>
    <row r="18" spans="1:6" x14ac:dyDescent="0.15">
      <c r="A18" s="292">
        <v>44993</v>
      </c>
      <c r="B18" s="285">
        <v>44993</v>
      </c>
      <c r="F18" s="291"/>
    </row>
    <row r="19" spans="1:6" x14ac:dyDescent="0.15">
      <c r="A19" s="292">
        <v>44994</v>
      </c>
      <c r="B19" s="285">
        <v>44994</v>
      </c>
      <c r="F19" s="291"/>
    </row>
    <row r="20" spans="1:6" x14ac:dyDescent="0.15">
      <c r="A20" s="292">
        <v>44995</v>
      </c>
      <c r="B20" s="285">
        <v>44995</v>
      </c>
      <c r="F20" s="291"/>
    </row>
    <row r="21" spans="1:6" x14ac:dyDescent="0.15">
      <c r="A21" s="292">
        <v>44996</v>
      </c>
      <c r="B21" s="285">
        <v>44996</v>
      </c>
      <c r="F21" s="291"/>
    </row>
    <row r="22" spans="1:6" x14ac:dyDescent="0.15">
      <c r="A22" s="292">
        <v>44997</v>
      </c>
      <c r="B22" s="285">
        <v>44997</v>
      </c>
      <c r="F22" s="291"/>
    </row>
    <row r="23" spans="1:6" x14ac:dyDescent="0.15">
      <c r="A23" s="292">
        <v>44997</v>
      </c>
      <c r="B23" s="285" t="s">
        <v>234</v>
      </c>
      <c r="F23" s="291"/>
    </row>
    <row r="24" spans="1:6" x14ac:dyDescent="0.15">
      <c r="A24" s="292">
        <v>44997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44998</v>
      </c>
      <c r="B27" s="297">
        <v>44998</v>
      </c>
      <c r="C27" s="296"/>
      <c r="D27" s="295"/>
      <c r="E27" s="294"/>
      <c r="F27" s="293"/>
    </row>
    <row r="28" spans="1:6" x14ac:dyDescent="0.15">
      <c r="A28" s="292">
        <v>44999</v>
      </c>
      <c r="B28" s="285">
        <v>44999</v>
      </c>
      <c r="F28" s="291"/>
    </row>
    <row r="29" spans="1:6" x14ac:dyDescent="0.15">
      <c r="A29" s="292">
        <v>45000</v>
      </c>
      <c r="B29" s="285">
        <v>45000</v>
      </c>
      <c r="F29" s="291"/>
    </row>
    <row r="30" spans="1:6" x14ac:dyDescent="0.15">
      <c r="A30" s="292">
        <v>45001</v>
      </c>
      <c r="B30" s="285">
        <v>45001</v>
      </c>
      <c r="F30" s="291"/>
    </row>
    <row r="31" spans="1:6" x14ac:dyDescent="0.15">
      <c r="A31" s="292">
        <v>45002</v>
      </c>
      <c r="B31" s="285">
        <v>45002</v>
      </c>
      <c r="F31" s="291"/>
    </row>
    <row r="32" spans="1:6" x14ac:dyDescent="0.15">
      <c r="A32" s="292">
        <v>45003</v>
      </c>
      <c r="B32" s="285">
        <v>45003</v>
      </c>
      <c r="F32" s="291"/>
    </row>
    <row r="33" spans="1:6" x14ac:dyDescent="0.15">
      <c r="A33" s="292">
        <v>45004</v>
      </c>
      <c r="B33" s="285">
        <v>45004</v>
      </c>
      <c r="F33" s="291"/>
    </row>
    <row r="34" spans="1:6" x14ac:dyDescent="0.15">
      <c r="A34" s="292">
        <v>45004</v>
      </c>
      <c r="B34" s="285" t="s">
        <v>234</v>
      </c>
      <c r="F34" s="291"/>
    </row>
    <row r="35" spans="1:6" x14ac:dyDescent="0.15">
      <c r="A35" s="292">
        <v>45004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45005</v>
      </c>
      <c r="B38" s="297">
        <v>45005</v>
      </c>
      <c r="C38" s="296"/>
      <c r="D38" s="295"/>
      <c r="E38" s="294"/>
      <c r="F38" s="293"/>
    </row>
    <row r="39" spans="1:6" x14ac:dyDescent="0.15">
      <c r="A39" s="292">
        <v>45006</v>
      </c>
      <c r="B39" s="285">
        <v>45006</v>
      </c>
      <c r="F39" s="291"/>
    </row>
    <row r="40" spans="1:6" x14ac:dyDescent="0.15">
      <c r="A40" s="292">
        <v>45007</v>
      </c>
      <c r="B40" s="285">
        <v>45007</v>
      </c>
      <c r="F40" s="291"/>
    </row>
    <row r="41" spans="1:6" x14ac:dyDescent="0.15">
      <c r="A41" s="292">
        <v>45008</v>
      </c>
      <c r="B41" s="285">
        <v>45008</v>
      </c>
      <c r="F41" s="291"/>
    </row>
    <row r="42" spans="1:6" x14ac:dyDescent="0.15">
      <c r="A42" s="292">
        <v>45009</v>
      </c>
      <c r="B42" s="285">
        <v>45009</v>
      </c>
      <c r="F42" s="291"/>
    </row>
    <row r="43" spans="1:6" x14ac:dyDescent="0.15">
      <c r="A43" s="292">
        <v>45010</v>
      </c>
      <c r="B43" s="285">
        <v>45010</v>
      </c>
      <c r="F43" s="291"/>
    </row>
    <row r="44" spans="1:6" x14ac:dyDescent="0.15">
      <c r="A44" s="292">
        <v>45011</v>
      </c>
      <c r="B44" s="285">
        <v>45011</v>
      </c>
      <c r="F44" s="291"/>
    </row>
    <row r="45" spans="1:6" x14ac:dyDescent="0.15">
      <c r="A45" s="292">
        <v>45011</v>
      </c>
      <c r="B45" s="285" t="s">
        <v>234</v>
      </c>
      <c r="F45" s="291"/>
    </row>
    <row r="46" spans="1:6" x14ac:dyDescent="0.15">
      <c r="A46" s="292">
        <v>45011</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45012</v>
      </c>
      <c r="B49" s="297">
        <v>45012</v>
      </c>
      <c r="C49" s="296"/>
      <c r="D49" s="295"/>
      <c r="E49" s="294"/>
      <c r="F49" s="293"/>
    </row>
    <row r="50" spans="1:6" x14ac:dyDescent="0.15">
      <c r="A50" s="292">
        <v>45013</v>
      </c>
      <c r="B50" s="285">
        <v>45013</v>
      </c>
      <c r="F50" s="291"/>
    </row>
    <row r="51" spans="1:6" x14ac:dyDescent="0.15">
      <c r="A51" s="292">
        <v>45014</v>
      </c>
      <c r="B51" s="285">
        <v>45014</v>
      </c>
      <c r="F51" s="291"/>
    </row>
    <row r="52" spans="1:6" x14ac:dyDescent="0.15">
      <c r="A52" s="292">
        <v>45015</v>
      </c>
      <c r="B52" s="285">
        <v>45015</v>
      </c>
      <c r="F52" s="291"/>
    </row>
    <row r="53" spans="1:6" x14ac:dyDescent="0.15">
      <c r="A53" s="292">
        <v>45016</v>
      </c>
      <c r="B53" s="285">
        <v>45016</v>
      </c>
      <c r="F53" s="291"/>
    </row>
    <row r="54" spans="1:6" x14ac:dyDescent="0.15">
      <c r="A54" s="292">
        <v>45017</v>
      </c>
      <c r="B54" s="285">
        <v>45017</v>
      </c>
      <c r="F54" s="291"/>
    </row>
    <row r="55" spans="1:6" x14ac:dyDescent="0.15">
      <c r="A55" s="292">
        <v>45018</v>
      </c>
      <c r="B55" s="285">
        <v>45018</v>
      </c>
      <c r="F55" s="291"/>
    </row>
    <row r="56" spans="1:6" x14ac:dyDescent="0.15">
      <c r="A56" s="292">
        <v>45018</v>
      </c>
      <c r="B56" s="285" t="s">
        <v>234</v>
      </c>
      <c r="F56" s="291"/>
    </row>
    <row r="57" spans="1:6" x14ac:dyDescent="0.15">
      <c r="A57" s="292">
        <v>45018</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45019</v>
      </c>
      <c r="B60" s="297">
        <v>45019</v>
      </c>
      <c r="C60" s="296"/>
      <c r="D60" s="295"/>
      <c r="E60" s="294"/>
      <c r="F60" s="293"/>
    </row>
    <row r="61" spans="1:6" x14ac:dyDescent="0.15">
      <c r="A61" s="292">
        <v>45020</v>
      </c>
      <c r="B61" s="285">
        <v>45020</v>
      </c>
      <c r="F61" s="291"/>
    </row>
    <row r="62" spans="1:6" x14ac:dyDescent="0.15">
      <c r="A62" s="292">
        <v>45021</v>
      </c>
      <c r="B62" s="285">
        <v>45021</v>
      </c>
      <c r="F62" s="291"/>
    </row>
    <row r="63" spans="1:6" x14ac:dyDescent="0.15">
      <c r="A63" s="292">
        <v>45021</v>
      </c>
      <c r="B63" s="285" t="s">
        <v>234</v>
      </c>
      <c r="F63" s="291"/>
    </row>
    <row r="64" spans="1:6" x14ac:dyDescent="0.15">
      <c r="A64" s="292">
        <v>45021</v>
      </c>
      <c r="B64" s="285" t="s">
        <v>233</v>
      </c>
      <c r="F64" s="291"/>
    </row>
    <row r="65" spans="1:6" ht="14" thickBot="1" x14ac:dyDescent="0.2">
      <c r="A65" s="290"/>
      <c r="B65" s="289"/>
      <c r="C65" s="287"/>
      <c r="D65" s="288"/>
      <c r="E65" s="300">
        <f>SUM(E60:E64)</f>
        <v>0</v>
      </c>
      <c r="F65" s="299">
        <f>SUM(F60:F64)</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Assets'!$D$62,"ENTER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44620</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44651</v>
      </c>
      <c r="C3" s="119"/>
      <c r="D3" s="119"/>
      <c r="E3" s="119"/>
      <c r="F3" s="119"/>
      <c r="G3" s="125"/>
      <c r="H3" s="119"/>
      <c r="I3" s="119"/>
      <c r="J3" s="126"/>
      <c r="K3" s="126"/>
      <c r="L3" s="121"/>
      <c r="M3" s="119"/>
      <c r="N3" s="119"/>
      <c r="O3" s="119"/>
    </row>
    <row r="4" spans="1:15" ht="12" customHeight="1" thickBot="1" x14ac:dyDescent="0.2">
      <c r="A4" s="119"/>
      <c r="B4" s="127">
        <v>44657</v>
      </c>
      <c r="C4" s="119"/>
      <c r="D4" s="510" t="s">
        <v>132</v>
      </c>
      <c r="E4" s="510"/>
      <c r="F4" s="510"/>
      <c r="G4" s="128">
        <v>1</v>
      </c>
      <c r="H4" s="119"/>
      <c r="I4" s="510" t="s">
        <v>73</v>
      </c>
      <c r="J4" s="510"/>
      <c r="K4" s="510"/>
      <c r="L4" s="510"/>
      <c r="M4" s="510"/>
      <c r="N4" s="129">
        <v>12570</v>
      </c>
      <c r="O4" s="125" t="s">
        <v>50</v>
      </c>
    </row>
    <row r="5" spans="1:15" ht="12" customHeight="1" x14ac:dyDescent="0.15">
      <c r="A5" s="119"/>
      <c r="B5" s="123">
        <v>44681</v>
      </c>
      <c r="C5" s="119"/>
      <c r="D5" s="510" t="s">
        <v>74</v>
      </c>
      <c r="E5" s="510"/>
      <c r="F5" s="510"/>
      <c r="G5" s="128">
        <v>0.18</v>
      </c>
      <c r="H5" s="119"/>
      <c r="I5" s="510" t="inlineStr">
        <is>
          <t>Personal allowance taper threshold</t>
        </is>
      </c>
      <c r="J5" s="119"/>
      <c r="K5" s="119"/>
      <c r="L5" s="119"/>
      <c r="M5" s="119"/>
      <c r="N5" s="130">
        <v>100000</v>
      </c>
      <c r="O5" s="125"/>
    </row>
    <row r="6" spans="1:15" ht="12" customHeight="1" x14ac:dyDescent="0.15">
      <c r="A6" s="119"/>
      <c r="B6" s="123">
        <v>44712</v>
      </c>
      <c r="C6" s="119"/>
      <c r="D6" s="119"/>
      <c r="E6" s="119"/>
      <c r="F6" s="119"/>
      <c r="G6" s="125"/>
      <c r="H6" s="119"/>
      <c r="I6" s="510" t="s">
        <v>75</v>
      </c>
      <c r="J6" s="510"/>
      <c r="K6" s="510"/>
      <c r="L6" s="510"/>
      <c r="M6" s="510"/>
      <c r="N6" s="128">
        <v>0.2</v>
      </c>
      <c r="O6" s="125" t="s">
        <v>76</v>
      </c>
    </row>
    <row r="7" spans="1:15" ht="12" customHeight="1" x14ac:dyDescent="0.15">
      <c r="A7" s="119"/>
      <c r="B7" s="123">
        <v>44742</v>
      </c>
      <c r="C7" s="119"/>
      <c r="D7" s="510" t="s">
        <v>77</v>
      </c>
      <c r="E7" s="510"/>
      <c r="F7" s="510"/>
      <c r="G7" s="125"/>
      <c r="H7" s="119"/>
      <c r="I7" s="510" t="s">
        <v>78</v>
      </c>
      <c r="J7" s="510"/>
      <c r="K7" s="510"/>
      <c r="L7" s="510"/>
      <c r="M7" s="510"/>
      <c r="N7" s="128">
        <v>0.4</v>
      </c>
      <c r="O7" s="125" t="s">
        <v>76</v>
      </c>
    </row>
    <row r="8" spans="1:15" ht="12" customHeight="1" x14ac:dyDescent="0.15">
      <c r="A8" s="119"/>
      <c r="B8" s="123">
        <v>44773</v>
      </c>
      <c r="C8" s="119"/>
      <c r="D8" s="119"/>
      <c r="E8" s="130"/>
      <c r="F8" s="119"/>
      <c r="G8" s="130"/>
      <c r="H8" s="119"/>
      <c r="I8" s="510" t="inlineStr">
        <is>
          <t>Additional rate applicable above the higher rate limit</t>
        </is>
      </c>
      <c r="J8" s="119"/>
      <c r="K8" s="119"/>
      <c r="L8" s="119"/>
      <c r="M8" s="119"/>
      <c r="N8" s="128">
        <v>0.45</v>
      </c>
      <c r="O8" s="125"/>
    </row>
    <row r="9" spans="1:15" ht="12" customHeight="1" x14ac:dyDescent="0.15">
      <c r="A9" s="119"/>
      <c r="B9" s="123">
        <v>44804</v>
      </c>
      <c r="C9" s="119"/>
      <c r="D9" s="119"/>
      <c r="E9" s="125"/>
      <c r="F9" s="119"/>
      <c r="G9" s="125"/>
      <c r="H9" s="119"/>
      <c r="I9" s="510" t="s">
        <v>81</v>
      </c>
      <c r="J9" s="517"/>
      <c r="K9" s="517"/>
      <c r="L9" s="131" t="s">
        <v>82</v>
      </c>
      <c r="M9" s="131" t="s">
        <v>83</v>
      </c>
      <c r="N9" s="132" t="s">
        <v>84</v>
      </c>
      <c r="O9" s="125"/>
    </row>
    <row r="10" spans="1:15" ht="12" customHeight="1" x14ac:dyDescent="0.15">
      <c r="A10" s="119"/>
      <c r="B10" s="123">
        <v>44834</v>
      </c>
      <c r="C10" s="119"/>
      <c r="D10" s="119"/>
      <c r="E10" s="125"/>
      <c r="F10" s="119"/>
      <c r="G10" s="125"/>
      <c r="H10" s="119"/>
      <c r="I10" s="119"/>
      <c r="J10" s="119"/>
      <c r="K10" s="119"/>
      <c r="L10" s="119"/>
      <c r="M10" s="119"/>
      <c r="N10" s="125"/>
      <c r="O10" s="125"/>
    </row>
    <row r="11" spans="1:15" ht="12" customHeight="1" x14ac:dyDescent="0.15">
      <c r="A11" s="119"/>
      <c r="B11" s="123">
        <v>44865</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44895</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44926</v>
      </c>
      <c r="C13" s="119"/>
      <c r="D13" s="510" t="s">
        <v>88</v>
      </c>
      <c r="E13" s="510"/>
      <c r="F13" s="510"/>
      <c r="G13" s="128">
        <v>0</v>
      </c>
      <c r="H13" s="119"/>
      <c r="I13" s="119" t="inlineStr">
        <is>
          <t>Additional rate</t>
        </is>
      </c>
      <c r="J13" s="119"/>
      <c r="K13" s="133">
        <v>0.45</v>
      </c>
      <c r="L13" s="125">
        <v>150001</v>
      </c>
      <c r="M13" s="119"/>
      <c r="N13" s="130">
        <v>150000</v>
      </c>
      <c r="O13" s="119"/>
    </row>
    <row r="14" spans="1:15" ht="12" customHeight="1" x14ac:dyDescent="0.15">
      <c r="A14" s="119"/>
      <c r="B14" s="123">
        <v>44957</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44985</v>
      </c>
      <c r="C15" s="119"/>
      <c r="D15" s="510" t="s">
        <v>91</v>
      </c>
      <c r="E15" s="510"/>
      <c r="F15" s="510"/>
      <c r="G15" s="128">
        <v>0.2</v>
      </c>
      <c r="H15" s="119"/>
      <c r="I15" s="119"/>
      <c r="J15" s="119"/>
      <c r="K15" s="119"/>
      <c r="L15" s="119"/>
      <c r="M15" s="119"/>
      <c r="N15" s="119"/>
      <c r="O15" s="119"/>
    </row>
    <row r="16" spans="1:15" ht="12" customHeight="1" thickBot="1" x14ac:dyDescent="0.2">
      <c r="A16" s="119"/>
      <c r="B16" s="123">
        <v>45016</v>
      </c>
      <c r="C16" s="119"/>
      <c r="D16" s="510" t="s">
        <v>92</v>
      </c>
      <c r="E16" s="510"/>
      <c r="F16" s="510"/>
      <c r="G16" s="128">
        <v>0.33</v>
      </c>
      <c r="H16" s="119"/>
      <c r="I16" s="510" t="s">
        <v>93</v>
      </c>
      <c r="J16" s="510"/>
      <c r="K16" s="510"/>
      <c r="L16" s="135">
        <v>3.15</v>
      </c>
      <c r="M16" s="158" t="s">
        <v>313</v>
      </c>
      <c r="N16" s="119">
        <v>6725</v>
      </c>
      <c r="O16" s="119"/>
    </row>
    <row r="17" spans="1:15" ht="12" customHeight="1" thickBot="1" x14ac:dyDescent="0.2">
      <c r="A17" s="119"/>
      <c r="B17" s="127">
        <v>45021</v>
      </c>
      <c r="C17" s="119"/>
      <c r="D17" s="510" t="s">
        <v>94</v>
      </c>
      <c r="E17" s="510"/>
      <c r="F17" s="510"/>
      <c r="G17" s="128">
        <v>0.25</v>
      </c>
      <c r="H17" s="119"/>
      <c r="I17" s="119"/>
      <c r="J17" s="119"/>
      <c r="K17" s="119"/>
      <c r="L17" s="137"/>
      <c r="M17" s="119"/>
      <c r="N17" s="119"/>
      <c r="O17" s="119"/>
    </row>
    <row r="18" spans="1:15" ht="12" customHeight="1" x14ac:dyDescent="0.15">
      <c r="A18" s="119"/>
      <c r="B18" s="123">
        <v>45046</v>
      </c>
      <c r="C18" s="119"/>
      <c r="D18" s="119"/>
      <c r="E18" s="119"/>
      <c r="F18" s="119"/>
      <c r="G18" s="125"/>
      <c r="H18" s="119"/>
      <c r="I18" s="119"/>
      <c r="J18" s="119"/>
      <c r="K18" s="119"/>
      <c r="L18" s="119"/>
      <c r="M18" s="119"/>
      <c r="N18" s="119"/>
      <c r="O18" s="119"/>
    </row>
    <row r="19" spans="1:15" ht="12" customHeight="1" x14ac:dyDescent="0.15">
      <c r="A19" s="119"/>
      <c r="B19" s="123">
        <v>45077</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45107</v>
      </c>
      <c r="C20" s="119"/>
      <c r="D20" s="121"/>
      <c r="E20" s="121"/>
      <c r="F20" s="125"/>
      <c r="G20" s="125"/>
      <c r="H20" s="119"/>
      <c r="I20" s="522"/>
      <c r="J20" s="522"/>
      <c r="K20" s="522"/>
      <c r="L20" s="328">
        <v>0.0973</v>
      </c>
      <c r="M20" s="521"/>
      <c r="N20" s="130">
        <v>11908</v>
      </c>
      <c r="O20" s="125" t="s">
        <v>50</v>
      </c>
    </row>
    <row r="21" spans="1:15" ht="12" customHeight="1" x14ac:dyDescent="0.15">
      <c r="A21" s="119"/>
      <c r="B21" s="123">
        <v>45322</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45504</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2022-23</t>
        </is>
      </c>
      <c r="C23" s="119"/>
      <c r="D23" s="119"/>
      <c r="E23" s="119"/>
      <c r="F23" s="125"/>
      <c r="G23" s="137"/>
      <c r="H23" s="119"/>
      <c r="I23" s="522"/>
      <c r="J23" s="522"/>
      <c r="K23" s="522"/>
      <c r="L23" s="328">
        <v>0.0273</v>
      </c>
      <c r="M23" s="521"/>
      <c r="N23" s="130">
        <v>50270</v>
      </c>
      <c r="O23" s="125" t="s">
        <v>50</v>
      </c>
    </row>
    <row r="24" spans="1:15" ht="12" customHeight="1" thickBot="1" x14ac:dyDescent="0.2">
      <c r="A24" s="119"/>
      <c r="B24" s="127" t="inlineStr">
        <is>
          <t>2023-24</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