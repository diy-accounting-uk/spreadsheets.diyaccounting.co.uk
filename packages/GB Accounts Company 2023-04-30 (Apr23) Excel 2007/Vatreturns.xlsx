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<sst xmlns="http://schemas.openxmlformats.org/spreadsheetml/2006/main" count="182" uniqueCount="45">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</sst>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44651</v>
          </cell>
        </row>
        <row r="8">
          <cell r="B8">
            <v>44681</v>
          </cell>
        </row>
        <row r="10">
          <cell r="B10">
            <v>44712</v>
          </cell>
        </row>
        <row r="12">
          <cell r="B12">
            <v>44742</v>
          </cell>
        </row>
        <row r="14">
          <cell r="B14">
            <v>44773</v>
          </cell>
        </row>
        <row r="16">
          <cell r="B16">
            <v>44804</v>
          </cell>
        </row>
        <row r="18">
          <cell r="B18">
            <v>44834</v>
          </cell>
        </row>
        <row r="20">
          <cell r="B20">
            <v>44865</v>
          </cell>
        </row>
        <row r="22">
          <cell r="B22">
            <v>44895</v>
          </cell>
        </row>
        <row r="24">
          <cell r="B24">
            <v>44926</v>
          </cell>
        </row>
        <row r="26">
          <cell r="B26">
            <v>44957</v>
          </cell>
        </row>
        <row r="28">
          <cell r="B28">
            <v>44985</v>
          </cell>
        </row>
        <row r="30">
          <cell r="B30">
            <v>45016</v>
          </cell>
        </row>
        <row r="32">
          <cell r="B32">
            <v>45046</v>
          </cell>
        </row>
        <row r="34">
          <cell r="B34">
            <v>45077</v>
          </cell>
        </row>
        <row r="36">
          <cell r="B36">
            <v>45107</v>
          </cell>
        </row>
        <row r="38">
          <cell r="B38">
            <v>45138</v>
          </cell>
        </row>
        <row r="40">
          <cell r="B40">
            <v>45169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44712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44742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44773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44773</v>
      </c>
      <c r="H5" s="10"/>
      <c r="I5" s="13"/>
      <c r="K5" s="69">
        <f>Vatinterface!B9</f>
        <v>44804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44834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44804</v>
      </c>
      <c r="H7" s="10"/>
      <c r="I7" s="13"/>
      <c r="K7" s="69">
        <f>Vatinterface!B11</f>
        <v>44865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44895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44926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44957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44985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45016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45046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45077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45107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45138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44712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44742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44773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44865</v>
      </c>
      <c r="H5" s="10"/>
      <c r="I5" s="13"/>
      <c r="K5" s="69">
        <f>Vatinterface!B9</f>
        <v>44804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44834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44895</v>
      </c>
      <c r="H7" s="10"/>
      <c r="I7" s="13"/>
      <c r="K7" s="69">
        <f>Vatinterface!B11</f>
        <v>44865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44895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44926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44957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44985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45016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45046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45077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45107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45138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44712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44742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44773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44957</v>
      </c>
      <c r="H5" s="10"/>
      <c r="I5" s="13"/>
      <c r="K5" s="69">
        <f>Vatinterface!B9</f>
        <v>44804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44834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44985</v>
      </c>
      <c r="H7" s="10"/>
      <c r="I7" s="13"/>
      <c r="K7" s="69">
        <f>Vatinterface!B11</f>
        <v>44865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44895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44926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44957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44985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45016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45046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45077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45107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45138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44712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44742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44773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45046</v>
      </c>
      <c r="H5" s="10"/>
      <c r="I5" s="13"/>
      <c r="K5" s="69">
        <f>Vatinterface!B9</f>
        <v>44804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44834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45077</v>
      </c>
      <c r="H7" s="10"/>
      <c r="I7" s="13"/>
      <c r="K7" s="69">
        <f>Vatinterface!B11</f>
        <v>44865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44895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44926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44957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44985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45016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45046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45077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45107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45138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44712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44742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44773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45138</v>
      </c>
      <c r="H5" s="10"/>
      <c r="I5" s="13"/>
      <c r="K5" s="69">
        <f>Vatinterface!B9</f>
        <v>44804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44834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45169</v>
      </c>
      <c r="H7" s="10"/>
      <c r="I7" s="13"/>
      <c r="K7" s="69">
        <f>Vatinterface!B11</f>
        <v>44865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44895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44926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44957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44985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45016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45046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45077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45107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45138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44651</v>
      </c>
      <c r="C4" s="62">
        <f>B5</f>
        <v>44681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IF([2]May!$G$4&gt;0,[2]May!$G$4,0)</f>
        <v>0</v>
      </c>
      <c r="N4" s="57"/>
    </row>
    <row r="5" spans="1:14" x14ac:dyDescent="0.15">
      <c r="A5" s="56"/>
      <c r="B5" s="62">
        <f>[1]Admin!$B$8</f>
        <v>44681</v>
      </c>
      <c r="C5" s="62">
        <f t="shared" ref="C5:C18" si="0">B6</f>
        <v>44712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IF([2]May!$G$4&gt;0,[2]May!$G$4,0)</f>
        <v>0</v>
      </c>
      <c r="N5" s="57"/>
    </row>
    <row r="6" spans="1:14" x14ac:dyDescent="0.15">
      <c r="A6" s="56"/>
      <c r="B6" s="62">
        <f>[1]Admin!$B$10</f>
        <v>44712</v>
      </c>
      <c r="C6" s="62">
        <f t="shared" si="0"/>
        <v>44742</v>
      </c>
      <c r="D6" s="104">
        <f>[2]May!$H$1</f>
        <v>0</v>
      </c>
      <c r="E6" s="105">
        <f>SUM(D4:D6)</f>
        <v>0</v>
      </c>
      <c r="F6" s="105">
        <f>[2]May!$G$1</f>
        <v>0</v>
      </c>
      <c r="G6" s="105">
        <f>SUM(F4:F6)</f>
        <v>0</v>
      </c>
      <c r="H6" s="105">
        <f>[3]May!$H$1</f>
        <v>0</v>
      </c>
      <c r="I6" s="105">
        <f t="shared" ref="I6:I19" si="1">SUM(H4:H6)</f>
        <v>0</v>
      </c>
      <c r="J6" s="105">
        <f>[3]May!$G$1</f>
        <v>0</v>
      </c>
      <c r="K6" s="105">
        <f t="shared" ref="K6:K19" si="2">SUM(J4:J6)</f>
        <v>0</v>
      </c>
      <c r="L6" s="115"/>
      <c r="M6" s="116">
        <f>IF([2]May!$G$4&gt;0,[2]May!$G$4,0)</f>
        <v>0</v>
      </c>
      <c r="N6" s="57"/>
    </row>
    <row r="7" spans="1:14" x14ac:dyDescent="0.15">
      <c r="A7" s="56"/>
      <c r="B7" s="62">
        <f>[1]Admin!$B$12</f>
        <v>44742</v>
      </c>
      <c r="C7" s="62">
        <f t="shared" si="0"/>
        <v>44773</v>
      </c>
      <c r="D7" s="104">
        <f>[2]Jun!$H$1</f>
        <v>0</v>
      </c>
      <c r="E7" s="105">
        <f t="shared" ref="E7:G19" si="3">SUM(D5:D7)</f>
        <v>0</v>
      </c>
      <c r="F7" s="105">
        <f>[2]Jun!$G$1</f>
        <v>0</v>
      </c>
      <c r="G7" s="105">
        <f t="shared" si="3"/>
        <v>0</v>
      </c>
      <c r="H7" s="105">
        <f>[3]Jun!$H$1</f>
        <v>0</v>
      </c>
      <c r="I7" s="105">
        <f t="shared" si="1"/>
        <v>0</v>
      </c>
      <c r="J7" s="105">
        <f>[3]Jun!$G$1</f>
        <v>0</v>
      </c>
      <c r="K7" s="105">
        <f t="shared" si="2"/>
        <v>0</v>
      </c>
      <c r="L7" s="115"/>
      <c r="M7" s="116">
        <f>IF([2]Jun!$G$4&gt;0,[2]Jun!$G$4,0)</f>
        <v>0</v>
      </c>
      <c r="N7" s="57"/>
    </row>
    <row r="8" spans="1:14" x14ac:dyDescent="0.15">
      <c r="A8" s="56"/>
      <c r="B8" s="62">
        <f>[1]Admin!$B$14</f>
        <v>44773</v>
      </c>
      <c r="C8" s="62">
        <f t="shared" si="0"/>
        <v>44804</v>
      </c>
      <c r="D8" s="104">
        <f>[2]Jul!$H$1</f>
        <v>0</v>
      </c>
      <c r="E8" s="105">
        <f t="shared" si="3"/>
        <v>0</v>
      </c>
      <c r="F8" s="105">
        <f>[2]Jul!$G$1</f>
        <v>0</v>
      </c>
      <c r="G8" s="105">
        <f t="shared" si="3"/>
        <v>0</v>
      </c>
      <c r="H8" s="105">
        <f>[3]Jul!$H$1</f>
        <v>0</v>
      </c>
      <c r="I8" s="105">
        <f t="shared" si="1"/>
        <v>0</v>
      </c>
      <c r="J8" s="105">
        <f>[3]Jul!$G$1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[1]Admin!$B$16</f>
        <v>44804</v>
      </c>
      <c r="C9" s="62">
        <f t="shared" si="0"/>
        <v>44834</v>
      </c>
      <c r="D9" s="104">
        <f>[2]Aug!$H$1</f>
        <v>0</v>
      </c>
      <c r="E9" s="105">
        <f t="shared" si="3"/>
        <v>0</v>
      </c>
      <c r="F9" s="105">
        <f>[2]Aug!$G$1</f>
        <v>0</v>
      </c>
      <c r="G9" s="105">
        <f t="shared" si="3"/>
        <v>0</v>
      </c>
      <c r="H9" s="105">
        <f>[3]Aug!$H$1</f>
        <v>0</v>
      </c>
      <c r="I9" s="105">
        <f t="shared" si="1"/>
        <v>0</v>
      </c>
      <c r="J9" s="105">
        <f>[3]Aug!$G$1</f>
        <v>0</v>
      </c>
      <c r="K9" s="105">
        <f t="shared" si="2"/>
        <v>0</v>
      </c>
      <c r="L9" s="115"/>
      <c r="M9" s="116">
        <f>IF([2]Aug!$G$4&gt;0,[2]Aug!$G$4,0)</f>
        <v>0</v>
      </c>
      <c r="N9" s="57"/>
    </row>
    <row r="10" spans="1:14" x14ac:dyDescent="0.15">
      <c r="A10" s="56"/>
      <c r="B10" s="62">
        <f>[1]Admin!$B$18</f>
        <v>44834</v>
      </c>
      <c r="C10" s="62">
        <f t="shared" si="0"/>
        <v>44865</v>
      </c>
      <c r="D10" s="104">
        <f>[2]Sep!$H$1</f>
        <v>0</v>
      </c>
      <c r="E10" s="105">
        <f t="shared" si="3"/>
        <v>0</v>
      </c>
      <c r="F10" s="105">
        <f>[2]Sep!$G$1</f>
        <v>0</v>
      </c>
      <c r="G10" s="105">
        <f t="shared" si="3"/>
        <v>0</v>
      </c>
      <c r="H10" s="105">
        <f>[3]Sep!$H$1</f>
        <v>0</v>
      </c>
      <c r="I10" s="105">
        <f t="shared" si="1"/>
        <v>0</v>
      </c>
      <c r="J10" s="105">
        <f>[3]Sep!$G$1</f>
        <v>0</v>
      </c>
      <c r="K10" s="105">
        <f t="shared" si="2"/>
        <v>0</v>
      </c>
      <c r="L10" s="115"/>
      <c r="M10" s="116">
        <f>IF([2]Sep!$G$4&gt;0,[2]Sep!$G$4,0)</f>
        <v>0</v>
      </c>
      <c r="N10" s="57"/>
    </row>
    <row r="11" spans="1:14" x14ac:dyDescent="0.15">
      <c r="A11" s="56"/>
      <c r="B11" s="62">
        <f>[1]Admin!$B$20</f>
        <v>44865</v>
      </c>
      <c r="C11" s="62">
        <f t="shared" si="0"/>
        <v>44895</v>
      </c>
      <c r="D11" s="104">
        <f>[2]Oct!$H$1</f>
        <v>0</v>
      </c>
      <c r="E11" s="105">
        <f t="shared" si="3"/>
        <v>0</v>
      </c>
      <c r="F11" s="105">
        <f>[2]Oct!$G$1</f>
        <v>0</v>
      </c>
      <c r="G11" s="105">
        <f t="shared" si="3"/>
        <v>0</v>
      </c>
      <c r="H11" s="105">
        <f>[3]Oct!$H$1</f>
        <v>0</v>
      </c>
      <c r="I11" s="105">
        <f t="shared" si="1"/>
        <v>0</v>
      </c>
      <c r="J11" s="105">
        <f>[3]Oct!$G$1</f>
        <v>0</v>
      </c>
      <c r="K11" s="105">
        <f t="shared" si="2"/>
        <v>0</v>
      </c>
      <c r="L11" s="115"/>
      <c r="M11" s="116">
        <f>IF([2]Oct!$G$4&gt;0,[2]Oct!$G$4,0)</f>
        <v>0</v>
      </c>
      <c r="N11" s="57"/>
    </row>
    <row r="12" spans="1:14" x14ac:dyDescent="0.15">
      <c r="A12" s="56"/>
      <c r="B12" s="62">
        <f>[1]Admin!$B$22</f>
        <v>44895</v>
      </c>
      <c r="C12" s="62">
        <f t="shared" si="0"/>
        <v>44926</v>
      </c>
      <c r="D12" s="104">
        <f>[2]Nov!$H$1</f>
        <v>0</v>
      </c>
      <c r="E12" s="105">
        <f t="shared" si="3"/>
        <v>0</v>
      </c>
      <c r="F12" s="105">
        <f>[2]Nov!$G$1</f>
        <v>0</v>
      </c>
      <c r="G12" s="105">
        <f t="shared" si="3"/>
        <v>0</v>
      </c>
      <c r="H12" s="105">
        <f>[3]Nov!$H$1</f>
        <v>0</v>
      </c>
      <c r="I12" s="105">
        <f t="shared" si="1"/>
        <v>0</v>
      </c>
      <c r="J12" s="105">
        <f>[3]Nov!$G$1</f>
        <v>0</v>
      </c>
      <c r="K12" s="105">
        <f t="shared" si="2"/>
        <v>0</v>
      </c>
      <c r="L12" s="115"/>
      <c r="M12" s="116">
        <f>IF([2]Nov!$G$4&gt;0,[2]Nov!$G$4,0)</f>
        <v>0</v>
      </c>
      <c r="N12" s="57"/>
    </row>
    <row r="13" spans="1:14" x14ac:dyDescent="0.15">
      <c r="A13" s="56"/>
      <c r="B13" s="62">
        <f>[1]Admin!$B$24</f>
        <v>44926</v>
      </c>
      <c r="C13" s="62">
        <f t="shared" si="0"/>
        <v>44957</v>
      </c>
      <c r="D13" s="104">
        <f>[2]Dec!$H$1</f>
        <v>0</v>
      </c>
      <c r="E13" s="105">
        <f t="shared" si="3"/>
        <v>0</v>
      </c>
      <c r="F13" s="105">
        <f>[2]Dec!$G$1</f>
        <v>0</v>
      </c>
      <c r="G13" s="105">
        <f t="shared" si="3"/>
        <v>0</v>
      </c>
      <c r="H13" s="105">
        <f>[3]Dec!$H$1</f>
        <v>0</v>
      </c>
      <c r="I13" s="105">
        <f t="shared" si="1"/>
        <v>0</v>
      </c>
      <c r="J13" s="105">
        <f>[3]Dec!$G$1</f>
        <v>0</v>
      </c>
      <c r="K13" s="105">
        <f t="shared" si="2"/>
        <v>0</v>
      </c>
      <c r="L13" s="115"/>
      <c r="M13" s="116">
        <f>IF([2]Dec!$G$4&gt;0,[2]Dec!$G$4,0)</f>
        <v>0</v>
      </c>
      <c r="N13" s="57"/>
    </row>
    <row r="14" spans="1:14" x14ac:dyDescent="0.15">
      <c r="A14" s="56"/>
      <c r="B14" s="62">
        <f>[1]Admin!$B$26</f>
        <v>44957</v>
      </c>
      <c r="C14" s="62">
        <f t="shared" si="0"/>
        <v>44985</v>
      </c>
      <c r="D14" s="104">
        <f>[2]Jan!$H$1</f>
        <v>0</v>
      </c>
      <c r="E14" s="105">
        <f t="shared" si="3"/>
        <v>0</v>
      </c>
      <c r="F14" s="105">
        <f>[2]Jan!$G$1</f>
        <v>0</v>
      </c>
      <c r="G14" s="105">
        <f t="shared" si="3"/>
        <v>0</v>
      </c>
      <c r="H14" s="105">
        <f>[3]Jan!$H$1</f>
        <v>0</v>
      </c>
      <c r="I14" s="105">
        <f t="shared" si="1"/>
        <v>0</v>
      </c>
      <c r="J14" s="105">
        <f>[3]Jan!$G$1</f>
        <v>0</v>
      </c>
      <c r="K14" s="105">
        <f t="shared" si="2"/>
        <v>0</v>
      </c>
      <c r="L14" s="115"/>
      <c r="M14" s="116">
        <f>IF([2]Jan!$G$4&gt;0,[2]Jan!$G$4,0)</f>
        <v>0</v>
      </c>
      <c r="N14" s="57"/>
    </row>
    <row r="15" spans="1:14" x14ac:dyDescent="0.15">
      <c r="A15" s="56"/>
      <c r="B15" s="62">
        <f>[1]Admin!$B$28</f>
        <v>44985</v>
      </c>
      <c r="C15" s="62">
        <f t="shared" si="0"/>
        <v>45016</v>
      </c>
      <c r="D15" s="104">
        <f>[2]Feb!$H$1</f>
        <v>0</v>
      </c>
      <c r="E15" s="105">
        <f t="shared" si="3"/>
        <v>0</v>
      </c>
      <c r="F15" s="105">
        <f>[2]Feb!$G$1</f>
        <v>0</v>
      </c>
      <c r="G15" s="105">
        <f t="shared" si="3"/>
        <v>0</v>
      </c>
      <c r="H15" s="105">
        <f>[3]Feb!$H$1</f>
        <v>0</v>
      </c>
      <c r="I15" s="105">
        <f t="shared" si="1"/>
        <v>0</v>
      </c>
      <c r="J15" s="105">
        <f>[3]Feb!$G$1</f>
        <v>0</v>
      </c>
      <c r="K15" s="105">
        <f t="shared" si="2"/>
        <v>0</v>
      </c>
      <c r="L15" s="115"/>
      <c r="M15" s="116">
        <f>IF([2]Feb!$G$4&gt;0,[2]Feb!$G$4,0)</f>
        <v>0</v>
      </c>
      <c r="N15" s="57"/>
    </row>
    <row r="16" spans="1:14" x14ac:dyDescent="0.15">
      <c r="A16" s="56"/>
      <c r="B16" s="62">
        <f>[1]Admin!$B$30</f>
        <v>45016</v>
      </c>
      <c r="C16" s="62">
        <f t="shared" si="0"/>
        <v>45046</v>
      </c>
      <c r="D16" s="104">
        <f>[2]Mar!$H$1</f>
        <v>0</v>
      </c>
      <c r="E16" s="105">
        <f t="shared" si="3"/>
        <v>0</v>
      </c>
      <c r="F16" s="105">
        <f>[2]Mar!$G$1</f>
        <v>0</v>
      </c>
      <c r="G16" s="105">
        <f t="shared" si="3"/>
        <v>0</v>
      </c>
      <c r="H16" s="105">
        <f>[3]Mar!$H$1</f>
        <v>0</v>
      </c>
      <c r="I16" s="105">
        <f t="shared" si="1"/>
        <v>0</v>
      </c>
      <c r="J16" s="105">
        <f>[3]Mar!$G$1</f>
        <v>0</v>
      </c>
      <c r="K16" s="105">
        <f t="shared" si="2"/>
        <v>0</v>
      </c>
      <c r="L16" s="115"/>
      <c r="M16" s="116">
        <f>IF([2]Mar!$G$4&gt;0,[2]Mar!$G$4,0)</f>
        <v>0</v>
      </c>
      <c r="N16" s="57"/>
    </row>
    <row r="17" spans="1:14" x14ac:dyDescent="0.15">
      <c r="A17" s="56"/>
      <c r="B17" s="62">
        <f>[1]Admin!$B$32</f>
        <v>45046</v>
      </c>
      <c r="C17" s="62">
        <f t="shared" si="0"/>
        <v>45077</v>
      </c>
      <c r="D17" s="104">
        <f>[2]Apr!$H$1</f>
        <v>0</v>
      </c>
      <c r="E17" s="105">
        <f t="shared" si="3"/>
        <v>0</v>
      </c>
      <c r="F17" s="105">
        <f>[2]Apr!$G$1</f>
        <v>0</v>
      </c>
      <c r="G17" s="105">
        <f t="shared" si="3"/>
        <v>0</v>
      </c>
      <c r="H17" s="105">
        <f>[3]Apr!$H$1</f>
        <v>0</v>
      </c>
      <c r="I17" s="105">
        <f t="shared" si="1"/>
        <v>0</v>
      </c>
      <c r="J17" s="105">
        <f>[3]Apr!$G$1</f>
        <v>0</v>
      </c>
      <c r="K17" s="105">
        <f t="shared" si="2"/>
        <v>0</v>
      </c>
      <c r="L17" s="115"/>
      <c r="M17" s="116">
        <f>IF([2]Apr!$G$4&gt;0,[2]Apr!$G$4,0)</f>
        <v>0</v>
      </c>
      <c r="N17" s="57"/>
    </row>
    <row r="18" spans="1:14" x14ac:dyDescent="0.15">
      <c r="A18" s="56"/>
      <c r="B18" s="62">
        <f>[1]Admin!$B$34</f>
        <v>45077</v>
      </c>
      <c r="C18" s="62">
        <f t="shared" si="0"/>
        <v>45107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IF([2]Apr!$G$4&gt;0,[2]Apr!$G$4,0)</f>
        <v>0</v>
      </c>
      <c r="N18" s="57"/>
    </row>
    <row r="19" spans="1:14" x14ac:dyDescent="0.15">
      <c r="A19" s="56"/>
      <c r="B19" s="62">
        <f>[1]Admin!$B$36</f>
        <v>45107</v>
      </c>
      <c r="C19" s="62">
        <f>[1]Admin!$B$38</f>
        <v>45138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IF([2]Apr!$G$4&gt;0,[2]Apr!$G$4,0)</f>
        <v>0</v>
      </c>
      <c r="N19" s="57"/>
    </row>
    <row r="20" spans="1:14" x14ac:dyDescent="0.15">
      <c r="A20" s="56"/>
      <c r="B20" s="62">
        <f>[1]Admin!$B$38</f>
        <v>45138</v>
      </c>
      <c r="C20" s="63">
        <f>[1]Admin!$B$40</f>
        <v>45169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IF([2]Apr!$G$4&gt;0,[2]Apr!$G$4,0)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