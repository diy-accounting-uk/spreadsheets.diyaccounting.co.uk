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<sst xmlns="http://schemas.openxmlformats.org/spreadsheetml/2006/main" count="1383" uniqueCount="138">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</sst>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44656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44297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44298</v>
      </c>
      <c r="L19" s="200" t="s">
        <v>76</v>
      </c>
      <c r="M19" s="202">
        <f>K19+6</f>
        <v>44304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44305</v>
      </c>
      <c r="L29" s="200" t="s">
        <v>76</v>
      </c>
      <c r="M29" s="202">
        <f>K29+6</f>
        <v>44311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44312</v>
      </c>
      <c r="L39" s="200" t="s">
        <v>76</v>
      </c>
      <c r="M39" s="202">
        <f>K39+6</f>
        <v>44318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DATE(2020,9,1)</f>
        <v>44075</v>
      </c>
      <c r="L49" s="203" t="s">
        <v>76</v>
      </c>
      <c r="M49" s="205">
        <f>DATE(2020,9,30)</f>
        <v>44104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44319</v>
      </c>
      <c r="L9" s="203" t="s">
        <v>76</v>
      </c>
      <c r="M9" s="205">
        <f>K9+6</f>
        <v>44325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44326</v>
      </c>
      <c r="L19" s="203" t="s">
        <v>76</v>
      </c>
      <c r="M19" s="205">
        <f>K19+6</f>
        <v>44332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44333</v>
      </c>
      <c r="L29" s="203" t="s">
        <v>76</v>
      </c>
      <c r="M29" s="205">
        <f>K29+6</f>
        <v>44339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44340</v>
      </c>
      <c r="L39" s="203" t="s">
        <v>76</v>
      </c>
      <c r="M39" s="205">
        <f>K39+6</f>
        <v>44346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DATE(2020,10,1)</f>
        <v>44105</v>
      </c>
      <c r="L49" s="203" t="s">
        <v>76</v>
      </c>
      <c r="M49" s="205">
        <f>DATE(2020,10,31)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44347</v>
      </c>
      <c r="L9" s="203" t="s">
        <v>76</v>
      </c>
      <c r="M9" s="205">
        <f>K9+6</f>
        <v>44353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44354</v>
      </c>
      <c r="L19" s="203" t="s">
        <v>76</v>
      </c>
      <c r="M19" s="205">
        <f>K19+6</f>
        <v>44360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44361</v>
      </c>
      <c r="L29" s="203" t="s">
        <v>76</v>
      </c>
      <c r="M29" s="205">
        <f>K29+6</f>
        <v>44367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44368</v>
      </c>
      <c r="L39" s="203" t="s">
        <v>76</v>
      </c>
      <c r="M39" s="205">
        <f>K39+6</f>
        <v>44374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44375</v>
      </c>
      <c r="L49" s="203" t="s">
        <v>76</v>
      </c>
      <c r="M49" s="205">
        <f>K49+6</f>
        <v>44381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DATE(2020,11,1)</f>
        <v>44136</v>
      </c>
      <c r="L59" s="203" t="s">
        <v>76</v>
      </c>
      <c r="M59" s="205">
        <f>DATE(2020,11,30)</f>
        <v>44165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44387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44388</v>
      </c>
      <c r="L19" s="203" t="s">
        <v>76</v>
      </c>
      <c r="M19" s="205">
        <f>K19+6</f>
        <v>44394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44395</v>
      </c>
      <c r="L29" s="203" t="s">
        <v>76</v>
      </c>
      <c r="M29" s="205">
        <f>K29+6</f>
        <v>44401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44402</v>
      </c>
      <c r="L39" s="203" t="s">
        <v>76</v>
      </c>
      <c r="M39" s="205">
        <f>K39+6</f>
        <v>44408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DATE(2020,12,1)</f>
        <v>44166</v>
      </c>
      <c r="L49" s="203" t="s">
        <v>76</v>
      </c>
      <c r="M49" s="205">
        <f>DATE(2020,12,31)</f>
        <v>44196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44415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IF(T$9="Y",Dec!H41,0)</f>
        <v>0</v>
      </c>
      <c r="I12" s="92">
        <f>IF(T$9="Y",Dec!I41,0)</f>
        <v>0</v>
      </c>
      <c r="J12" s="92">
        <f>IF(T$9="Y",Dec!J41,0)</f>
        <v>0</v>
      </c>
      <c r="K12" s="92">
        <f>IF(T$9="Y",Dec!K41,I12*J12)</f>
        <v>0</v>
      </c>
      <c r="L12" s="111">
        <f>IF(T$9="Y",Dec!L41,0)</f>
        <v>0</v>
      </c>
      <c r="M12" s="111" t="str">
        <f>IF(E12=" "," ",IF(T$9="Y",Dec!M41,IF((H12+K12+L12)&gt;0,H12+K12+L12,"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IF(T$9="Y",Dec!H41,0)</f>
        <v>0</v>
      </c>
      <c r="I13" s="92">
        <f>IF(T$9="Y",Dec!I41,0)</f>
        <v>0</v>
      </c>
      <c r="J13" s="92">
        <f>IF(T$9="Y",Dec!J41,0)</f>
        <v>0</v>
      </c>
      <c r="K13" s="92">
        <f>IF(T$9="Y",Dec!K41,I13*J13)</f>
        <v>0</v>
      </c>
      <c r="L13" s="111">
        <f>IF(T$9="Y",Dec!L41,0)</f>
        <v>0</v>
      </c>
      <c r="M13" s="111" t="str">
        <f>IF(E13=" "," ",IF(T$9="Y",Dec!M41,IF((H13+K13+L13)&gt;0,H13+K13+L13,"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IF(T$9="Y",Dec!H41,0)</f>
        <v>0</v>
      </c>
      <c r="I14" s="92">
        <f>IF(T$9="Y",Dec!I41,0)</f>
        <v>0</v>
      </c>
      <c r="J14" s="92">
        <f>IF(T$9="Y",Dec!J41,0)</f>
        <v>0</v>
      </c>
      <c r="K14" s="92">
        <f>IF(T$9="Y",Dec!K41,I14*J14)</f>
        <v>0</v>
      </c>
      <c r="L14" s="111">
        <f>IF(T$9="Y",Dec!L41,0)</f>
        <v>0</v>
      </c>
      <c r="M14" s="111" t="str">
        <f>IF(E14=" "," ",IF(T$9="Y",Dec!M41,IF((H14+K14+L14)&gt;0,H14+K14+L14,"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IF(T$9="Y",Dec!H41,0)</f>
        <v>0</v>
      </c>
      <c r="I15" s="245">
        <f>IF(T$9="Y",Dec!I41,0)</f>
        <v>0</v>
      </c>
      <c r="J15" s="245">
        <f>IF(T$9="Y",Dec!J41,0)</f>
        <v>0</v>
      </c>
      <c r="K15" s="245">
        <f>IF(T$9="Y",Dec!K41,I15*J15)</f>
        <v>0</v>
      </c>
      <c r="L15" s="246">
        <f>IF(T$9="Y",Dec!L41,0)</f>
        <v>0</v>
      </c>
      <c r="M15" s="246" t="str">
        <f>IF(E15=" "," ",IF(T$9="Y",Dec!M41,IF((H15+K15+L15)&gt;0,H15+K15+L15,"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44416</v>
      </c>
      <c r="L19" s="203" t="s">
        <v>76</v>
      </c>
      <c r="M19" s="205">
        <f>K19+6</f>
        <v>44422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44423</v>
      </c>
      <c r="L29" s="203" t="s">
        <v>76</v>
      </c>
      <c r="M29" s="205">
        <f>K29+6</f>
        <v>44429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44430</v>
      </c>
      <c r="L39" s="203" t="s">
        <v>76</v>
      </c>
      <c r="M39" s="205">
        <f>K39+6</f>
        <v>44436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DATE(2021,1,1)</f>
        <v>44197</v>
      </c>
      <c r="L49" s="203" t="s">
        <v>76</v>
      </c>
      <c r="M49" s="205">
        <f>DATE(2021,1,31)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44437</v>
      </c>
      <c r="L9" s="203" t="s">
        <v>76</v>
      </c>
      <c r="M9" s="205">
        <f>K9+6</f>
        <v>44443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44444</v>
      </c>
      <c r="L19" s="203" t="s">
        <v>76</v>
      </c>
      <c r="M19" s="205">
        <f>K19+6</f>
        <v>44450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44451</v>
      </c>
      <c r="L29" s="203" t="s">
        <v>76</v>
      </c>
      <c r="M29" s="205">
        <f>K29+6</f>
        <v>44457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44458</v>
      </c>
      <c r="L39" s="203" t="s">
        <v>76</v>
      </c>
      <c r="M39" s="205">
        <f>K39+6</f>
        <v>44464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44471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DATE(2021,2,1)</f>
        <v>44228</v>
      </c>
      <c r="L59" s="203" t="s">
        <v>76</v>
      </c>
      <c r="M59" s="205">
        <f>DATE(2021,2,28)</f>
        <v>44255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44479</v>
      </c>
      <c r="L19" s="203" t="s">
        <v>76</v>
      </c>
      <c r="M19" s="205">
        <f>K19+6</f>
        <v>44485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44486</v>
      </c>
      <c r="L29" s="203" t="s">
        <v>76</v>
      </c>
      <c r="M29" s="205">
        <f>K29+6</f>
        <v>44492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44493</v>
      </c>
      <c r="L39" s="203" t="s">
        <v>76</v>
      </c>
      <c r="M39" s="205">
        <f>K39+6</f>
        <v>44499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DATE(2021,3,1)</f>
        <v>44256</v>
      </c>
      <c r="L49" s="203" t="s">
        <v>76</v>
      </c>
      <c r="M49" s="205">
        <f>DATE(2021,3,31)</f>
        <v>44286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44506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44507</v>
      </c>
      <c r="L19" s="203" t="s">
        <v>76</v>
      </c>
      <c r="M19" s="205">
        <f>K19+6</f>
        <v>44513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44514</v>
      </c>
      <c r="L29" s="203" t="s">
        <v>76</v>
      </c>
      <c r="M29" s="205">
        <f>K29+6</f>
        <v>44520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44521</v>
      </c>
      <c r="L39" s="203" t="s">
        <v>76</v>
      </c>
      <c r="M39" s="205">
        <f>K39+6</f>
        <v>44527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DATE(2021,4,1)</f>
        <v>44287</v>
      </c>
      <c r="L49" s="203" t="s">
        <v>76</v>
      </c>
      <c r="M49" s="205">
        <f>DATE(2021,4,30)</f>
        <v>44316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44528</v>
      </c>
      <c r="L9" s="203" t="s">
        <v>76</v>
      </c>
      <c r="M9" s="205">
        <f>K9+6</f>
        <v>44534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44535</v>
      </c>
      <c r="L19" s="203" t="s">
        <v>76</v>
      </c>
      <c r="M19" s="205">
        <f>K19+6</f>
        <v>44541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44542</v>
      </c>
      <c r="L29" s="203" t="s">
        <v>76</v>
      </c>
      <c r="M29" s="205">
        <f>K29+6</f>
        <v>44548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44549</v>
      </c>
      <c r="L39" s="203" t="s">
        <v>76</v>
      </c>
      <c r="M39" s="205">
        <f>K39+6</f>
        <v>44555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44556</v>
      </c>
      <c r="L49" s="203" t="s">
        <v>76</v>
      </c>
      <c r="M49" s="205">
        <f>K49+6</f>
        <v>44562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DATE(2021,5,1)</f>
        <v>44317</v>
      </c>
      <c r="L59" s="203" t="s">
        <v>76</v>
      </c>
      <c r="M59" s="205">
        <f>DATE(2021,5,31)</f>
        <v>44347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44563</v>
      </c>
      <c r="L9" s="203" t="s">
        <v>76</v>
      </c>
      <c r="M9" s="205">
        <f>K9+6</f>
        <v>44569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44570</v>
      </c>
      <c r="L19" s="203" t="s">
        <v>76</v>
      </c>
      <c r="M19" s="205">
        <f>K19+6</f>
        <v>44576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44577</v>
      </c>
      <c r="L29" s="203" t="s">
        <v>76</v>
      </c>
      <c r="M29" s="205">
        <f>K29+6</f>
        <v>44583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44584</v>
      </c>
      <c r="L39" s="203" t="s">
        <v>76</v>
      </c>
      <c r="M39" s="205">
        <f>K39+6</f>
        <v>44590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DATE(2021,6,1)</f>
        <v>44348</v>
      </c>
      <c r="L49" s="203" t="s">
        <v>76</v>
      </c>
      <c r="M49" s="205">
        <f>DATE(2021,6,30)</f>
        <v>44377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44591</v>
      </c>
      <c r="L9" s="203" t="s">
        <v>76</v>
      </c>
      <c r="M9" s="205">
        <f>K9+6</f>
        <v>44597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44598</v>
      </c>
      <c r="L19" s="203" t="s">
        <v>76</v>
      </c>
      <c r="M19" s="205">
        <f>K19+6</f>
        <v>44604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44605</v>
      </c>
      <c r="L29" s="203" t="s">
        <v>76</v>
      </c>
      <c r="M29" s="205">
        <f>K29+6</f>
        <v>44611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44612</v>
      </c>
      <c r="L39" s="203" t="s">
        <v>76</v>
      </c>
      <c r="M39" s="205">
        <f>K39+6</f>
        <v>44618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DATE(2021,7,1)</f>
        <v>44378</v>
      </c>
      <c r="L49" s="203" t="s">
        <v>76</v>
      </c>
      <c r="M49" s="205">
        <f>DATE(2021,7,31)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44619</v>
      </c>
      <c r="L9" s="203" t="s">
        <v>76</v>
      </c>
      <c r="M9" s="205">
        <f>K9+6</f>
        <v>44625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44626</v>
      </c>
      <c r="L19" s="203" t="s">
        <v>76</v>
      </c>
      <c r="M19" s="205">
        <f>K19+6</f>
        <v>44632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44633</v>
      </c>
      <c r="L29" s="203" t="s">
        <v>76</v>
      </c>
      <c r="M29" s="205">
        <f>K29+6</f>
        <v>44639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44640</v>
      </c>
      <c r="L39" s="203" t="s">
        <v>76</v>
      </c>
      <c r="M39" s="205">
        <f>K39+6</f>
        <v>44646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44647</v>
      </c>
      <c r="L49" s="203" t="s">
        <v>76</v>
      </c>
      <c r="M49" s="205">
        <f>K49+6</f>
        <v>44653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44654</v>
      </c>
      <c r="L59" s="203" t="s">
        <v>76</v>
      </c>
      <c r="M59" s="205">
        <f>K59+4</f>
        <v>44658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DATE(2021,8,1)</f>
        <v>44409</v>
      </c>
      <c r="L69" s="203" t="s">
        <v>76</v>
      </c>
      <c r="M69" s="205">
        <f>DATE(2021,8,31)</f>
        <v>44439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Sep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44297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44297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44297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44297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44297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DATE(2021,4,30)</f>
        <v>44316</v>
      </c>
      <c r="C4" s="229">
        <f>DATE(2021,5,19)</f>
        <v>44335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2201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DATE(2021,5,31)</f>
        <v>44347</v>
      </c>
      <c r="C5" s="229">
        <f>DATE(2021,6,19)</f>
        <v>44366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2202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DATE(2021,6,30)</f>
        <v>44377</v>
      </c>
      <c r="C6" s="229">
        <f>DATE(2021,7,19)</f>
        <v>44396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2203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DATE(2021,7,31)</f>
        <v>44408</v>
      </c>
      <c r="C7" s="229">
        <f>DATE(2021,8,19)</f>
        <v>44427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2204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DATE(2021,8,31)</f>
        <v>44439</v>
      </c>
      <c r="C8" s="229">
        <f>DATE(2021,9,19)</f>
        <v>44458</v>
      </c>
      <c r="D8" s="227">
        <f>Aug!T1+Aug!O1</f>
        <v>0</v>
      </c>
      <c r="E8" s="228">
        <f>Aug!N1</f>
        <v>0</v>
      </c>
      <c r="F8" s="228">
        <f>Aug!AD80+Aug!AE80+Aug!AF80+Aug!AG80</f>
        <v>0</v>
      </c>
      <c r="G8" s="228">
        <f>Aug!AE82+Aug!AF82+Aug!AG82</f>
        <v>0</v>
      </c>
      <c r="H8" s="228">
        <f>Aug!P1</f>
        <v>0</v>
      </c>
      <c r="I8" s="227">
        <f t="shared" si="0"/>
        <v>0</v>
      </c>
      <c r="M8" s="212">
        <f t="shared" si="2"/>
        <v>2205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DATE(2021,9,30)</f>
        <v>44469</v>
      </c>
      <c r="C9" s="229">
        <f>DATE(2021,10,19)</f>
        <v>44488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2206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DATE(2021,10,31)</f>
        <v>44500</v>
      </c>
      <c r="C10" s="229">
        <f>DATE(2021,11,19)</f>
        <v>44519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2207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DATE(2021,11,30)</f>
        <v>44530</v>
      </c>
      <c r="C11" s="229">
        <f>DATE(2021,12,19)</f>
        <v>44549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2208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DATE(2021,12,31)</f>
        <v>44561</v>
      </c>
      <c r="C12" s="229">
        <f>DATE(2022,1,19)</f>
        <v>44580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2209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DATE(2022,1,31)</f>
        <v>44592</v>
      </c>
      <c r="C13" s="229">
        <f>DATE(2022,2,19)</f>
        <v>44611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2210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DATE(2022,2,28)</f>
        <v>44620</v>
      </c>
      <c r="C14" s="229">
        <f>DATE(2022,3,19)</f>
        <v>44639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2211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DATE(2022,3,31)</f>
        <v>44651</v>
      </c>
      <c r="C15" s="229">
        <f>DATE(2022,4,19)</f>
        <v>44670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2212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TEXT(DATE(YEAR(B$2),MONTH(B$2)+(D2-1)+5,1),"Mmm")</f>
        <v>Sep</v>
      </c>
      <c r="B2" s="308">
        <v>44292</v>
      </c>
      <c r="C2" s="309">
        <v>1</v>
      </c>
      <c r="D2" s="309">
        <v>1</v>
      </c>
      <c r="E2" s="310">
        <f>B2</f>
        <v>44292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TEXT(DATE(YEAR(B$2),MONTH(B$2)+(D3-1)+5,1),"Mmm")</f>
        <v>Sep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Sep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Sep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Sep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Sep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Sep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Sep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Sep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Sep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Sep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Sep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Sep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Sep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Sep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Sep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Sep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Sep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Sep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Sep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Sep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Sep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Sep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Sep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Sep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Sep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Oct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Oct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Oct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Oct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Oct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Oct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Oct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Oct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Oct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Oct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Oct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Oct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Oct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Oct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Oct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Oct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Oct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Oct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Oct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Oct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Oct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Oct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Oct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Oct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Oct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Oct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Oct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Oct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Nov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Nov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Nov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Nov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Nov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Nov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Nov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Nov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Nov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Nov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Nov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TEXT(DATE(YEAR(B$2),MONTH(B$2)+(D67-1)+5,1),"Mmm")</f>
        <v>Nov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Nov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Nov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Nov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Nov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Nov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Nov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Nov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Nov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Nov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Nov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Nov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Nov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Nov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Nov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Nov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Nov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Nov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Nov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Nov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Nov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Nov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Nov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Nov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Dec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Dec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Dec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Dec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Dec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Dec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Dec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Dec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Dec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Dec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Dec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Dec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Dec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Dec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Dec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Dec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Dec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Dec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Dec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Dec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Dec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Dec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Dec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Dec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Dec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Dec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Dec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Dec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Jan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Jan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Jan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Jan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Jan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Jan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Jan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Jan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Jan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Jan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Jan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Jan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TEXT(DATE(YEAR(B$2),MONTH(B$2)+(D131-1)+5,1),"Mmm")</f>
        <v>Jan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Jan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Jan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Jan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Jan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Jan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Jan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Jan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Jan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Jan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Jan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Jan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Jan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Jan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Jan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Jan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Feb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Feb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Feb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Feb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Feb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Feb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Feb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Feb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Feb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Feb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Feb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Feb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Feb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Feb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Feb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Feb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Feb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Feb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Feb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Feb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Feb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Feb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Feb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Feb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Feb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Feb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Feb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Feb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Feb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Feb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Feb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Feb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Feb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Feb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Feb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Mar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Mar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Mar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Mar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Mar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Mar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Mar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Mar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Mar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Mar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Mar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Mar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Mar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TEXT(DATE(YEAR(B$2),MONTH(B$2)+(D195-1)+5,1),"Mmm")</f>
        <v>Mar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Mar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Mar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Mar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Mar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Mar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Mar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Mar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Mar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Mar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Mar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Mar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Mar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Mar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Mar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Apr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Apr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Apr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Apr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Apr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Apr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Apr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Apr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Apr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Apr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Apr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Apr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Apr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Apr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Apr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Apr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Apr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Apr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Apr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Apr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Apr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Apr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Apr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Apr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Apr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Apr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Apr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Apr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May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May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May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May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May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May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May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May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May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May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May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May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May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May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May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May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May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May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May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May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May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TEXT(DATE(YEAR(B$2),MONTH(B$2)+(D259-1)+5,1),"Mmm")</f>
        <v>May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May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May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May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May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May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May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May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May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May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May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May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May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May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Jul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Jul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Jul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Jul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Jul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Jul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Jul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Jul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Jul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Jul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Jul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Jul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Jul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Jul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Jul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Jul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Jul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Jul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Jul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Jul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Jul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Jul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TEXT(DATE(YEAR(B$2),MONTH(B$2)+(D323-1)+5,1),"Mmm")</f>
        <v>Jul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Jul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Jul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Jul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Jul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Jul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Aug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Aug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Aug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Aug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Aug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Aug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Aug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Aug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Aug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Aug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Aug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Aug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Aug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Aug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Aug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Aug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Aug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Aug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Aug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Aug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Aug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Aug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Aug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Aug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Aug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Aug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Aug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Aug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Aug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Aug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Aug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Aug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Aug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Aug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Aug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Aug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Aug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Aug</v>
      </c>
      <c r="B366" s="308">
        <f t="shared" si="11"/>
        <v>44656</v>
      </c>
      <c r="C366" s="309">
        <v>53</v>
      </c>
      <c r="D366" s="309">
        <v>12</v>
      </c>
      <c r="E366" s="310">
        <f>B366</f>
        <v>44656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Aug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Aug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Aug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Aug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Aug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Aug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Aug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Aug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Aug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Aug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Aug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Aug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Aug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Aug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Aug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