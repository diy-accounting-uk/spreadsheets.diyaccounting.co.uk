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<sst xmlns="http://schemas.openxmlformats.org/spreadsheetml/2006/main" count="1383" uniqueCount="138">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</sst>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5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44352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44378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44404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44430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44298</v>
      </c>
      <c r="L19" s="200" t="s">
        <v>76</v>
      </c>
      <c r="M19" s="202">
        <f>K19+6</f>
        <v>44304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44305</v>
      </c>
      <c r="L29" s="200" t="s">
        <v>76</v>
      </c>
      <c r="M29" s="202">
        <f>K29+6</f>
        <v>44311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44312</v>
      </c>
      <c r="L39" s="200" t="s">
        <v>76</v>
      </c>
      <c r="M39" s="202">
        <f>K39+6</f>
        <v>44318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DATE(2020,8,1)</f>
        <v>44044</v>
      </c>
      <c r="L49" s="203" t="s">
        <v>76</v>
      </c>
      <c r="M49" s="205">
        <f>DATE(2020,8,31)</f>
        <v>44074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44319</v>
      </c>
      <c r="L9" s="203" t="s">
        <v>76</v>
      </c>
      <c r="M9" s="205">
        <f>K9+6</f>
        <v>44325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44326</v>
      </c>
      <c r="L19" s="203" t="s">
        <v>76</v>
      </c>
      <c r="M19" s="205">
        <f>K19+6</f>
        <v>44332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44333</v>
      </c>
      <c r="L29" s="203" t="s">
        <v>76</v>
      </c>
      <c r="M29" s="205">
        <f>K29+6</f>
        <v>44339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44340</v>
      </c>
      <c r="L39" s="203" t="s">
        <v>76</v>
      </c>
      <c r="M39" s="205">
        <f>K39+6</f>
        <v>44346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DATE(2020,9,1)</f>
        <v>44075</v>
      </c>
      <c r="L49" s="203" t="s">
        <v>76</v>
      </c>
      <c r="M49" s="205">
        <f>DATE(2020,9,30)</f>
        <v>44104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44347</v>
      </c>
      <c r="L9" s="203" t="s">
        <v>76</v>
      </c>
      <c r="M9" s="205">
        <f>K9+6</f>
        <v>44353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44354</v>
      </c>
      <c r="L19" s="203" t="s">
        <v>76</v>
      </c>
      <c r="M19" s="205">
        <f>K19+6</f>
        <v>44360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44361</v>
      </c>
      <c r="L29" s="203" t="s">
        <v>76</v>
      </c>
      <c r="M29" s="205">
        <f>K29+6</f>
        <v>44367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44368</v>
      </c>
      <c r="L39" s="203" t="s">
        <v>76</v>
      </c>
      <c r="M39" s="205">
        <f>K39+6</f>
        <v>44374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44375</v>
      </c>
      <c r="L49" s="203" t="s">
        <v>76</v>
      </c>
      <c r="M49" s="205">
        <f>K49+6</f>
        <v>44381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DATE(2020,10,1)</f>
        <v>44105</v>
      </c>
      <c r="L59" s="203" t="s">
        <v>76</v>
      </c>
      <c r="M59" s="205">
        <f>DATE(2020,10,31)</f>
        <v>44135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44381</v>
      </c>
      <c r="L9" s="203" t="s">
        <v>76</v>
      </c>
      <c r="M9" s="205">
        <f>K9+6</f>
        <v>44387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44388</v>
      </c>
      <c r="L19" s="203" t="s">
        <v>76</v>
      </c>
      <c r="M19" s="205">
        <f>K19+6</f>
        <v>44394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44395</v>
      </c>
      <c r="L29" s="203" t="s">
        <v>76</v>
      </c>
      <c r="M29" s="205">
        <f>K29+6</f>
        <v>44401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44402</v>
      </c>
      <c r="L39" s="203" t="s">
        <v>76</v>
      </c>
      <c r="M39" s="205">
        <f>K39+6</f>
        <v>44408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DATE(2020,11,1)</f>
        <v>44136</v>
      </c>
      <c r="L49" s="203" t="s">
        <v>76</v>
      </c>
      <c r="M49" s="205">
        <f>DATE(2020,11,30)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44409</v>
      </c>
      <c r="L9" s="203" t="s">
        <v>76</v>
      </c>
      <c r="M9" s="205">
        <f>K9+6</f>
        <v>44415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44416</v>
      </c>
      <c r="L19" s="203" t="s">
        <v>76</v>
      </c>
      <c r="M19" s="205">
        <f>K19+6</f>
        <v>44422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44423</v>
      </c>
      <c r="L29" s="203" t="s">
        <v>76</v>
      </c>
      <c r="M29" s="205">
        <f>K29+6</f>
        <v>44429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44430</v>
      </c>
      <c r="L39" s="203" t="s">
        <v>76</v>
      </c>
      <c r="M39" s="205">
        <f>K39+6</f>
        <v>44436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DATE(2020,12,1)</f>
        <v>44166</v>
      </c>
      <c r="L49" s="203" t="s">
        <v>76</v>
      </c>
      <c r="M49" s="205">
        <f>DATE(2020,12,31)</f>
        <v>44196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44437</v>
      </c>
      <c r="L9" s="203" t="s">
        <v>76</v>
      </c>
      <c r="M9" s="205">
        <f>K9+6</f>
        <v>44443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44444</v>
      </c>
      <c r="L19" s="203" t="s">
        <v>76</v>
      </c>
      <c r="M19" s="205">
        <f>K19+6</f>
        <v>44450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44451</v>
      </c>
      <c r="L29" s="203" t="s">
        <v>76</v>
      </c>
      <c r="M29" s="205">
        <f>K29+6</f>
        <v>44457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44458</v>
      </c>
      <c r="L39" s="203" t="s">
        <v>76</v>
      </c>
      <c r="M39" s="205">
        <f>K39+6</f>
        <v>44464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44465</v>
      </c>
      <c r="L49" s="203" t="s">
        <v>76</v>
      </c>
      <c r="M49" s="205">
        <f>K49+6</f>
        <v>44471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DATE(2021,1,1)</f>
        <v>44197</v>
      </c>
      <c r="L59" s="203" t="s">
        <v>76</v>
      </c>
      <c r="M59" s="205">
        <f>DATE(2021,1,31)</f>
        <v>44227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44472</v>
      </c>
      <c r="L9" s="203" t="s">
        <v>76</v>
      </c>
      <c r="M9" s="205">
        <f>Admin!B188</f>
        <v>44478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44479</v>
      </c>
      <c r="L19" s="203" t="s">
        <v>76</v>
      </c>
      <c r="M19" s="205">
        <f>K19+6</f>
        <v>44485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44486</v>
      </c>
      <c r="L29" s="203" t="s">
        <v>76</v>
      </c>
      <c r="M29" s="205">
        <f>K29+6</f>
        <v>44492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44493</v>
      </c>
      <c r="L39" s="203" t="s">
        <v>76</v>
      </c>
      <c r="M39" s="205">
        <f>K39+6</f>
        <v>44499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DATE(2021,2,1)</f>
        <v>44228</v>
      </c>
      <c r="L49" s="203" t="s">
        <v>76</v>
      </c>
      <c r="M49" s="205">
        <f>DATE(2021,2,28)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44500</v>
      </c>
      <c r="L9" s="203" t="s">
        <v>76</v>
      </c>
      <c r="M9" s="205">
        <f>K9+6</f>
        <v>44506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44507</v>
      </c>
      <c r="L19" s="203" t="s">
        <v>76</v>
      </c>
      <c r="M19" s="205">
        <f>K19+6</f>
        <v>44513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44514</v>
      </c>
      <c r="L29" s="203" t="s">
        <v>76</v>
      </c>
      <c r="M29" s="205">
        <f>K29+6</f>
        <v>44520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44521</v>
      </c>
      <c r="L39" s="203" t="s">
        <v>76</v>
      </c>
      <c r="M39" s="205">
        <f>K39+6</f>
        <v>44527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DATE(2021,3,1)</f>
        <v>44256</v>
      </c>
      <c r="L49" s="203" t="s">
        <v>76</v>
      </c>
      <c r="M49" s="205">
        <f>DATE(2021,3,31)</f>
        <v>44286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44528</v>
      </c>
      <c r="L9" s="203" t="s">
        <v>76</v>
      </c>
      <c r="M9" s="205">
        <f>K9+6</f>
        <v>44534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44535</v>
      </c>
      <c r="L19" s="203" t="s">
        <v>76</v>
      </c>
      <c r="M19" s="205">
        <f>K19+6</f>
        <v>44541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44542</v>
      </c>
      <c r="L29" s="203" t="s">
        <v>76</v>
      </c>
      <c r="M29" s="205">
        <f>K29+6</f>
        <v>44548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44549</v>
      </c>
      <c r="L39" s="203" t="s">
        <v>76</v>
      </c>
      <c r="M39" s="205">
        <f>K39+6</f>
        <v>44555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44556</v>
      </c>
      <c r="L49" s="203" t="s">
        <v>76</v>
      </c>
      <c r="M49" s="205">
        <f>K49+6</f>
        <v>44562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DATE(2021,4,1)</f>
        <v>44287</v>
      </c>
      <c r="L59" s="203" t="s">
        <v>76</v>
      </c>
      <c r="M59" s="205">
        <f>DATE(2021,4,30)</f>
        <v>44316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44563</v>
      </c>
      <c r="L9" s="203" t="s">
        <v>76</v>
      </c>
      <c r="M9" s="205">
        <f>K9+6</f>
        <v>44569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44570</v>
      </c>
      <c r="L19" s="203" t="s">
        <v>76</v>
      </c>
      <c r="M19" s="205">
        <f>K19+6</f>
        <v>44576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44577</v>
      </c>
      <c r="L29" s="203" t="s">
        <v>76</v>
      </c>
      <c r="M29" s="205">
        <f>K29+6</f>
        <v>44583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44584</v>
      </c>
      <c r="L39" s="203" t="s">
        <v>76</v>
      </c>
      <c r="M39" s="205">
        <f>K39+6</f>
        <v>44590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44591</v>
      </c>
      <c r="L9" s="203" t="s">
        <v>76</v>
      </c>
      <c r="M9" s="205">
        <f>K9+6</f>
        <v>44597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44598</v>
      </c>
      <c r="L19" s="203" t="s">
        <v>76</v>
      </c>
      <c r="M19" s="205">
        <f>K19+6</f>
        <v>44604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44605</v>
      </c>
      <c r="L29" s="203" t="s">
        <v>76</v>
      </c>
      <c r="M29" s="205">
        <f>K29+6</f>
        <v>44611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44612</v>
      </c>
      <c r="L39" s="203" t="s">
        <v>76</v>
      </c>
      <c r="M39" s="205">
        <f>K39+6</f>
        <v>44618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DATE(2021,6,1)</f>
        <v>44348</v>
      </c>
      <c r="L49" s="203" t="s">
        <v>76</v>
      </c>
      <c r="M49" s="205">
        <f>DATE(2021,6,30)</f>
        <v>44377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44619</v>
      </c>
      <c r="L9" s="203" t="s">
        <v>76</v>
      </c>
      <c r="M9" s="205">
        <f>K9+6</f>
        <v>44625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44626</v>
      </c>
      <c r="L19" s="203" t="s">
        <v>76</v>
      </c>
      <c r="M19" s="205">
        <f>K19+6</f>
        <v>44632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44633</v>
      </c>
      <c r="L29" s="203" t="s">
        <v>76</v>
      </c>
      <c r="M29" s="205">
        <f>K29+6</f>
        <v>44639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44640</v>
      </c>
      <c r="L39" s="203" t="s">
        <v>76</v>
      </c>
      <c r="M39" s="205">
        <f>K39+6</f>
        <v>44646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44647</v>
      </c>
      <c r="L49" s="203" t="s">
        <v>76</v>
      </c>
      <c r="M49" s="205">
        <f>K49+6</f>
        <v>44653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44654</v>
      </c>
      <c r="L59" s="203" t="s">
        <v>76</v>
      </c>
      <c r="M59" s="205">
        <f>K59+4</f>
        <v>44658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DATE(2021,7,1)</f>
        <v>44378</v>
      </c>
      <c r="L69" s="203" t="s">
        <v>76</v>
      </c>
      <c r="M69" s="205">
        <f>DATE(2021,7,31)</f>
        <v>44408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