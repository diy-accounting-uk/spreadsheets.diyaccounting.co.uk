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<sst xmlns="http://schemas.openxmlformats.org/spreadsheetml/2006/main" count="1045" uniqueCount="316">
  <si>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</si>
  <si>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</si>
  <si>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</si>
  <si>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</si>
  <si>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</si>
  <si>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</si>
  <si>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</si>
  <si>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</si>
  <si>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</si>
  <si>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</si>
  <si>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</si>
  <si>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</si>
  <si>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</si>
  <si>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</si>
  <si>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</si>
  <si>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</si>
  <si>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</si>
  <si>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</si>
  <si>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</si>
  <si>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</si>
  <si>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</si>
  <si>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</si>
  <si>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</si>
  <si>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</si>
  <si>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</si>
  <si>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</si>
  <si>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</si>
  <si>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</si>
  <si>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</si>
  <si>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</si>
  <si>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</si>
  <si>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</si>
  <si>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</si>
  <si>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</si>
  <si>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</si>
  <si>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</si>
  <si>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</si>
  <si>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</si>
  <si>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</si>
  <si>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</si>
  <si>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</si>
  <si>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</si>
  <si>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</si>
  <si>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</si>
  <si>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</si>
  <si>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</si>
  <si>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</si>
  <si>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</si>
  <si>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</si>
  <si>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</si>
  <si>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</si>
  <si>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</si>
  <si>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</si>
  <si>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</si>
  <si>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</si>
  <si>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</si>
  <si>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</si>
  <si>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</si>
  <si>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</si>
  <si>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</si>
  <si>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</si>
  <si>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</si>
  <si>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</si>
  <si>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</si>
  <si>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</si>
  <si>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</si>
  <si>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</si>
  <si>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</si>
  <si>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</si>
  <si>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</si>
  <si>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</si>
  <si>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</si>
  <si>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</si>
  <si>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</si>
  <si>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</si>
  <si>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</si>
  <si>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</si>
  <si>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</si>
  <si>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</si>
  <si>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</si>
  <si>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</si>
  <si>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</si>
  <si>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</si>
  <si>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</si>
  <si>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</si>
  <si>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</si>
  <si>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</si>
  <si>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</si>
  <si>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</si>
  <si>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</si>
  <si>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</si>
  <si>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</si>
  <si>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</si>
  <si>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</si>
  <si>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</si>
  <si>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</si>
  <si>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</si>
  <si>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</si>
  <si>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</si>
  <si>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</si>
  <si>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</si>
  <si>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</si>
  <si>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</si>
  <si>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</si>
  <si>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</si>
  <si>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</si>
  <si>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</si>
  <si>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</si>
  <si>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</si>
  <si>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</si>
  <si>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</si>
  <si>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</si>
  <si>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</si>
  <si>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</si>
  <si>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</si>
  <si>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</si>
  <si>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</si>
  <si>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</si>
  <si>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</si>
  <si>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</si>
  <si>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</si>
  <si>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</si>
  <si>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</si>
  <si>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</si>
  <si>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</si>
  <si>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</si>
  <si>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</si>
  <si>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</si>
  <si>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</si>
  <si>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</si>
  <si>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</si>
  <si>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</si>
  <si>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</si>
  <si>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</si>
  <si>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</si>
  <si>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</si>
  <si>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</si>
  <si>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</si>
  <si>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</si>
  <si>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</si>
  <si>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</si>
  <si>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</si>
  <si>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</si>
  <si>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</si>
  <si>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</si>
  <si>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</si>
  <si>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</si>
  <si>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</si>
  <si>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</si>
  <si>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</si>
  <si>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</si>
  <si>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</si>
  <si>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</si>
  <si>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</si>
  <si>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</si>
  <si>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</si>
  <si>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</si>
  <si>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</si>
  <si>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</si>
  <si>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</si>
  <si>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</si>
  <si>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</si>
  <si>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</si>
  <si>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</si>
  <si>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</si>
  <si>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</si>
  <si>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</si>
  <si>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</si>
  <si>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</si>
  <si>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</si>
  <si>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</si>
  <si>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</si>
  <si>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</si>
  <si>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</si>
  <si>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</si>
  <si>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</si>
  <si>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</si>
  <si>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</si>
  <si>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</si>
  <si>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</si>
  <si>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</si>
  <si>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</si>
  <si>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</si>
  <si>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</si>
  <si>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</si>
  <si>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</si>
  <si>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</si>
  <si>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</si>
  <si>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</si>
  <si>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</si>
  <si>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</si>
  <si>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</si>
  <si>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</si>
  <si>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</si>
  <si>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</si>
  <si>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</si>
  <si>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</si>
  <si>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</si>
  <si>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</si>
  <si>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</si>
  <si>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</si>
  <si>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</si>
  <si>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</si>
  <si>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</si>
  <si>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</si>
  <si>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</si>
  <si>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</si>
  <si>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</si>
  <si>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</si>
  <si>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</si>
  <si>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</si>
  <si>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</si>
  <si>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</si>
  <si>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</si>
  <si>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</si>
  <si>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</si>
  <si>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</si>
  <si>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</si>
  <si>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</si>
  <si>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</si>
  <si>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</si>
  <si>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</si>
  <si>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</si>
  <si>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</si>
  <si>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</si>
  <si>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</si>
  <si>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</si>
  <si>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</si>
  <si>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</si>
  <si>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</si>
  <si>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</si>
  <si>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</si>
  <si>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</si>
  <si>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</si>
  <si>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</si>
  <si>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</si>
  <si>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</si>
  <si>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</si>
  <si>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</si>
  <si>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</si>
  <si>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</si>
  <si>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</si>
  <si>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</si>
  <si>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</si>
  <si>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</si>
  <si>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</si>
  <si>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</si>
  <si>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</si>
  <si>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</si>
  <si>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</si>
  <si>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</si>
  <si>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</si>
  <si>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</si>
  <si>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</si>
  <si>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</si>
  <si>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</si>
  <si>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</si>
  <si>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</si>
  <si>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</si>
  <si>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</si>
  <si>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</si>
  <si>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</si>
  <si>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</si>
  <si>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</si>
  <si>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</si>
  <si>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</si>
  <si>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</si>
  <si>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</si>
  <si>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</si>
  <si>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</si>
  <si>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</si>
  <si>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</si>
  <si>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</si>
  <si>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</si>
  <si>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</si>
  <si>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</si>
  <si>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</si>
  <si>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</si>
  <si>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</si>
  <si>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</si>
  <si>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</si>
  <si>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</si>
  <si>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</si>
  <si>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</si>
  <si>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</si>
  <si>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</si>
  <si>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</si>
  <si>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</si>
  <si>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</si>
  <si>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</si>
  <si>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</si>
  <si>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</si>
  <si>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</si>
  <si>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</si>
  <si>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</si>
  <si>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</si>
  <si>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</si>
  <si>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</si>
  <si>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</si>
  <si>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</si>
  <si>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</si>
  <si>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</si>
  <si>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</si>
  <si>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</si>
  <si>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</si>
  <si>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</si>
  <si>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</si>
  <si>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</si>
  <si>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</si>
  <si>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</si>
  <si>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</si>
  <si>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</si>
  <si>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</si>
  <si>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</si>
  <si>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</si>
  <si>
    <t>choose to pay Class 2 NICs voluntarily, put 'X' in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</si>
</sst>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9</v>
      </c>
      <c r="B35" s="158"/>
      <c r="C35" s="210" t="s">
        <v>162</v>
      </c>
      <c r="D35" s="210"/>
      <c r="E35" s="210"/>
      <c r="F35" s="210"/>
      <c r="G35" s="210"/>
      <c r="H35" s="210"/>
      <c r="I35" s="210"/>
      <c r="J35" s="210"/>
      <c r="K35" s="210"/>
      <c r="L35" s="219">
        <v>10</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11</v>
      </c>
      <c r="B44" s="158"/>
      <c r="C44" s="210" t="s">
        <v>169</v>
      </c>
      <c r="D44" s="210"/>
      <c r="E44" s="210"/>
      <c r="F44" s="210"/>
      <c r="G44" s="210"/>
      <c r="H44" s="210"/>
      <c r="I44" s="210"/>
      <c r="J44" s="210"/>
      <c r="K44" s="210"/>
      <c r="L44" s="219">
        <v>16</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Acc'!B5&lt;Admin!F26)," ",'Profit &amp; Loss Acc'!B12-'Profit &amp; Loss Acc'!B10)</f>
        <v xml:space="preserve"> </v>
      </c>
      <c r="E46" s="380"/>
      <c r="F46" s="381"/>
      <c r="G46" s="234" t="s">
        <v>153</v>
      </c>
      <c r="H46" s="235">
        <v>0</v>
      </c>
      <c r="I46" s="235">
        <v>0</v>
      </c>
      <c r="J46" s="158"/>
      <c r="K46" s="158"/>
      <c r="L46" s="158"/>
      <c r="M46" s="158"/>
      <c r="N46" s="233" t="s">
        <v>50</v>
      </c>
      <c r="O46" s="379" t="str">
        <f>IF(('Profit &amp; Loss Acc'!B5&lt;Admin!F26),"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12</v>
      </c>
      <c r="B48" s="158"/>
      <c r="C48" s="210" t="s">
        <v>171</v>
      </c>
      <c r="D48" s="210"/>
      <c r="E48" s="210"/>
      <c r="F48" s="210"/>
      <c r="G48" s="210"/>
      <c r="H48" s="210"/>
      <c r="I48" s="210"/>
      <c r="J48" s="210"/>
      <c r="K48" s="210"/>
      <c r="L48" s="219">
        <v>17</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Acc'!B5&lt;Admin!F26),"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13</v>
      </c>
      <c r="B53" s="158"/>
      <c r="C53" s="210" t="s">
        <v>174</v>
      </c>
      <c r="D53" s="210"/>
      <c r="E53" s="210"/>
      <c r="F53" s="210"/>
      <c r="G53" s="210"/>
      <c r="H53" s="210"/>
      <c r="I53" s="210"/>
      <c r="J53" s="210"/>
      <c r="K53" s="210"/>
      <c r="L53" s="219">
        <v>18</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Acc'!B5&lt;Admin!F26)," ",'Profit &amp; Loss Acc'!B14)</f>
        <v xml:space="preserve"> </v>
      </c>
      <c r="E55" s="380"/>
      <c r="F55" s="381"/>
      <c r="G55" s="234" t="s">
        <v>153</v>
      </c>
      <c r="H55" s="235">
        <v>0</v>
      </c>
      <c r="I55" s="235">
        <v>0</v>
      </c>
      <c r="J55" s="158"/>
      <c r="K55" s="158"/>
      <c r="L55" s="158"/>
      <c r="M55" s="158"/>
      <c r="N55" s="233" t="s">
        <v>50</v>
      </c>
      <c r="O55" s="379" t="str">
        <f>IF(('Profit &amp; Loss Acc'!B5&lt;Admin!F26),"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14</v>
      </c>
      <c r="B57" s="158"/>
      <c r="C57" s="210" t="s">
        <v>176</v>
      </c>
      <c r="D57" s="210"/>
      <c r="E57" s="210"/>
      <c r="F57" s="210"/>
      <c r="G57" s="210"/>
      <c r="H57" s="210"/>
      <c r="I57" s="210"/>
      <c r="J57" s="210"/>
      <c r="K57" s="210"/>
      <c r="L57" s="219">
        <v>19</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Acc'!B5&lt;Admin!F26)," ",'Profit &amp; Loss Acc'!B15)</f>
        <v xml:space="preserve"> </v>
      </c>
      <c r="E60" s="380"/>
      <c r="F60" s="381"/>
      <c r="G60" s="234" t="s">
        <v>153</v>
      </c>
      <c r="H60" s="235">
        <v>0</v>
      </c>
      <c r="I60" s="235">
        <v>0</v>
      </c>
      <c r="J60" s="158"/>
      <c r="K60" s="158"/>
      <c r="L60" s="158"/>
      <c r="M60" s="158"/>
      <c r="N60" s="233" t="s">
        <v>50</v>
      </c>
      <c r="O60" s="379" t="str">
        <f>IF(('Profit &amp; Loss Acc'!B5&lt;Admin!F26),"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15</v>
      </c>
      <c r="B62" s="158"/>
      <c r="C62" s="210" t="s">
        <v>179</v>
      </c>
      <c r="D62" s="210"/>
      <c r="E62" s="210"/>
      <c r="F62" s="210"/>
      <c r="G62" s="210"/>
      <c r="H62" s="210"/>
      <c r="I62" s="210"/>
      <c r="J62" s="210"/>
      <c r="K62" s="210"/>
      <c r="L62" s="219">
        <v>20</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21</v>
      </c>
      <c r="B68" s="158"/>
      <c r="C68" s="210" t="s">
        <v>182</v>
      </c>
      <c r="D68" s="210"/>
      <c r="E68" s="210"/>
      <c r="F68" s="210"/>
      <c r="G68" s="210"/>
      <c r="H68" s="210"/>
      <c r="I68" s="210"/>
      <c r="J68" s="210"/>
      <c r="K68" s="210"/>
      <c r="L68" s="219">
        <v>22</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23</v>
      </c>
      <c r="B78" s="158"/>
      <c r="C78" s="210" t="s">
        <v>132</v>
      </c>
      <c r="D78" s="210"/>
      <c r="E78" s="210"/>
      <c r="F78" s="210"/>
      <c r="G78" s="210"/>
      <c r="H78" s="210"/>
      <c r="I78" s="210"/>
      <c r="J78" s="210"/>
      <c r="K78" s="210"/>
      <c r="L78" s="219">
        <v>25</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24</v>
      </c>
      <c r="B82" s="158"/>
      <c r="C82" s="210" t="s">
        <v>215</v>
      </c>
      <c r="D82" s="158"/>
      <c r="E82" s="158"/>
      <c r="F82" s="158"/>
      <c r="G82" s="158"/>
      <c r="H82" s="158"/>
      <c r="I82" s="158"/>
      <c r="J82" s="158"/>
      <c r="K82" s="158"/>
      <c r="L82" s="219">
        <v>26</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27</v>
      </c>
      <c r="B91" s="158"/>
      <c r="C91" s="210" t="s">
        <v>194</v>
      </c>
      <c r="D91" s="210"/>
      <c r="E91" s="210"/>
      <c r="F91" s="210"/>
      <c r="G91" s="210"/>
      <c r="H91" s="210"/>
      <c r="I91" s="210"/>
      <c r="J91" s="210"/>
      <c r="K91" s="210"/>
      <c r="L91" s="219">
        <v>29</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28</v>
      </c>
      <c r="B96" s="158"/>
      <c r="C96" s="210" t="s">
        <v>220</v>
      </c>
      <c r="D96" s="210"/>
      <c r="E96" s="210"/>
      <c r="F96" s="210"/>
      <c r="G96" s="210"/>
      <c r="H96" s="210"/>
      <c r="I96" s="210"/>
      <c r="J96" s="210"/>
      <c r="K96" s="210"/>
      <c r="L96" s="219">
        <v>30</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31</v>
      </c>
      <c r="B103" s="158"/>
      <c r="C103" s="210" t="s">
        <v>222</v>
      </c>
      <c r="D103" s="210"/>
      <c r="E103" s="210"/>
      <c r="F103" s="210"/>
      <c r="G103" s="210"/>
      <c r="H103" s="210"/>
      <c r="I103" s="210"/>
      <c r="J103" s="210"/>
      <c r="K103" s="210"/>
      <c r="L103" s="219">
        <v>32</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33</v>
      </c>
      <c r="B111" s="158"/>
      <c r="C111" s="210" t="s">
        <v>201</v>
      </c>
      <c r="D111" s="210"/>
      <c r="E111" s="210"/>
      <c r="F111" s="210"/>
      <c r="G111" s="210"/>
      <c r="H111" s="210"/>
      <c r="I111" s="210"/>
      <c r="J111" s="210"/>
      <c r="K111" s="210"/>
      <c r="L111" s="219">
        <v>36</v>
      </c>
      <c r="M111" s="158"/>
      <c r="N111" s="210" t="str">
        <f>"If your total profits for "&amp;Admin!G2&amp;" are less than £"&amp;TEXT(Admin!N16,"#,##0")&amp;" and you"</f>
        <v>If your total profits for 2025-26 are less than £6,845 and you</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315</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34</v>
      </c>
      <c r="B116" s="158"/>
      <c r="C116" s="210" t="s">
        <v>204</v>
      </c>
      <c r="D116" s="210"/>
      <c r="E116" s="210"/>
      <c r="F116" s="210"/>
      <c r="G116" s="210"/>
      <c r="H116" s="210"/>
      <c r="I116" s="210"/>
      <c r="J116" s="210"/>
      <c r="K116" s="210"/>
      <c r="L116" s="219">
        <v>37</v>
      </c>
      <c r="M116" s="158"/>
      <c r="N116" s="210" t="s">
        <v>202</v>
      </c>
      <c r="O116" s="158"/>
      <c r="P116" s="158"/>
      <c r="Q116" s="158"/>
      <c r="R116" s="408"/>
      <c r="S116" s="409"/>
      <c r="T116" s="409"/>
      <c r="U116" s="210"/>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226</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35</v>
      </c>
      <c r="B120" s="158"/>
      <c r="C120" s="210" t="s">
        <v>209</v>
      </c>
      <c r="D120" s="210"/>
      <c r="E120" s="210"/>
      <c r="F120" s="210"/>
      <c r="G120" s="210"/>
      <c r="H120" s="210"/>
      <c r="I120" s="210"/>
      <c r="J120" s="210"/>
      <c r="K120" s="210"/>
      <c r="L120" s="219">
        <v>38</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IF(H18&gt;0,H18*J$4*(1-F18),"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IF(H19&gt;0,H19*J$4*(1-F19),"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IF(H20&gt;0,H20*J$4*(1-F20),"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IF(H21&gt;0,H21*J$4*(1-F21),"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IF(H22&gt;0,H22*J$4*(1-F22),"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IF(H26&gt;0,H26*J$4*(1-F26),"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IF(H27&gt;0,H27*J$4*(1-F27),"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IF(H28&gt;0,H28*J$4*(1-F28),"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IF(H29&gt;0,H29*J$4*(1-F29),"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IF(H30&gt;0,H30*J$4*(1-F30),"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IF(D47&gt;0,D47*J$4*(1-F47),"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IF(D48&gt;0,D48*J$4*(1-F48),"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IF(D49&gt;0,D49*J$4*(1-F49),"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IF(D50&gt;0,D50*J$4*(1-F50),"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IF(D51&gt;0,D51*J$4*(1-F51),"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IF(D55&gt;0,D55*J$4*(1-F55),"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IF(D56&gt;0,D56*J$4*(1-F56),"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IF(D57&gt;0,D57*J$4*(1-F57),"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IF(D58&gt;0,D58*J$4*(1-F58),"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IF(D59&gt;0,D59*J$4*(1-F59),"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IF(E5&lt;=0,0,MAX(0,Admin!N$4-MAX(0,E5-Admin!N$5)/2))</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Admin!M$11</f>
        <v>37700</v>
      </c>
      <c r="D9" s="144">
        <f>Admin!N$7</f>
        <v>0.4</v>
      </c>
      <c r="E9" s="25">
        <f>IF(E7&gt;C9,(MIN(E7,C10)-C9)*D9,0)</f>
        <v>0</v>
      </c>
      <c r="F9" s="26"/>
      <c r="G9" s="27"/>
      <c r="K9" s="324"/>
    </row>
    <row r="10" spans="1:11" ht="14" thickBot="1" x14ac:dyDescent="0.2">
      <c r="A10" s="23"/>
      <c r="B10" s="28" t="inlineStr">
        <is>
          <t>Income Tax third band</t>
        </is>
      </c>
      <c r="C10" s="28">
        <f>Admin!N$13</f>
        <v>125140</v>
      </c>
      <c r="D10" s="144">
        <f>Admin!N$8</f>
        <v>0.45</v>
      </c>
      <c r="E10" s="25">
        <f>IF(E7&gt;C10,(E7-C10)*D10,0)</f>
        <v>0</v>
      </c>
      <c r="F10" s="26"/>
      <c r="G10" s="27"/>
      <c r="K10" s="324"/>
    </row>
    <row r="11" spans="1:11" ht="14" thickBot="1" x14ac:dyDescent="0.2">
      <c r="A11" s="23"/>
      <c r="B11" s="32" t="inlineStr">
        <is>
          <t>Income Tax payable</t>
        </is>
      </c>
      <c r="C11" s="145"/>
      <c r="D11" s="33"/>
      <c r="E11" s="276">
        <f>SUM(E8:E10)</f>
        <v>0</v>
      </c>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SUM(E11:E16)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IF(C34&lt;=0,0,MAX(0,Admin!N$4-MAX(0,C34-Admin!N$5)/2))</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IF((C36&gt;0),(IF((C36&lt;Admin!M$11),C36*Admin!N$6,Admin!M$11*Admin!N$6)),0)</f>
        <v>0</v>
      </c>
      <c r="D37" s="118"/>
      <c r="E37" s="52"/>
      <c r="F37" s="52"/>
      <c r="G37" s="52"/>
      <c r="H37" s="52"/>
      <c r="I37" s="52"/>
      <c r="J37" s="52"/>
      <c r="K37" s="52"/>
      <c r="L37" s="52"/>
      <c r="M37" s="52"/>
      <c r="N37" s="52"/>
      <c r="O37" s="52"/>
      <c r="P37" s="52"/>
    </row>
    <row r="38" spans="1:16" x14ac:dyDescent="0.15">
      <c r="A38" s="52"/>
      <c r="B38" s="68" t="s">
        <v>59</v>
      </c>
      <c r="C38" s="67">
        <f>IF(C36&gt;Admin!M$11,(MIN(C36,Admin!N$13)-Admin!M$11)*Admin!N$7,0)</f>
        <v>0</v>
      </c>
      <c r="D38" s="52"/>
      <c r="E38" s="52"/>
      <c r="F38" s="52"/>
      <c r="G38" s="52"/>
      <c r="H38" s="52"/>
      <c r="I38" s="52"/>
      <c r="J38" s="52"/>
      <c r="K38" s="52"/>
      <c r="L38" s="52"/>
      <c r="M38" s="52"/>
      <c r="N38" s="52"/>
      <c r="O38" s="52"/>
      <c r="P38" s="52"/>
    </row>
    <row r="39" spans="1:16" x14ac:dyDescent="0.15">
      <c r="A39" s="52"/>
      <c r="B39" s="68" t="inlineStr">
        <is>
          <t>Tax at additional rate</t>
        </is>
      </c>
      <c r="C39" s="67">
        <f>IF(C36&gt;Admin!N$13,(C36-Admin!N$13)*Admin!N$8,0)</f>
        <v>0</v>
      </c>
      <c r="D39" s="52"/>
      <c r="E39" s="52"/>
      <c r="F39" s="52"/>
      <c r="G39" s="52"/>
      <c r="H39" s="52"/>
      <c r="I39" s="52"/>
      <c r="J39" s="52"/>
      <c r="K39" s="52"/>
      <c r="L39" s="52"/>
      <c r="M39" s="52"/>
      <c r="N39" s="52"/>
      <c r="O39" s="52"/>
      <c r="P39" s="52"/>
    </row>
    <row r="40" spans="1:16" x14ac:dyDescent="0.15">
      <c r="A40" s="52"/>
      <c r="B40" s="68" t="s">
        <v>60</v>
      </c>
      <c r="C40" s="67">
        <f>IF(C34&gt;Admin!N$20,IF(C34&lt;Admin!N$23,(C34-Admin!N$20)*Admin!L$20,(Admin!N$23-Admin!N$20)*Admin!L$20),0)+IF(C34&gt;Admin!N$23,(C34-Admin!N$23)*Admin!L$23,0)</f>
        <v>0</v>
      </c>
      <c r="D40" s="52"/>
      <c r="E40" s="52"/>
      <c r="F40" s="52"/>
      <c r="G40" s="52"/>
      <c r="H40" s="52"/>
      <c r="I40" s="52"/>
      <c r="J40" s="52"/>
      <c r="K40" s="52"/>
      <c r="L40" s="52"/>
      <c r="M40" s="52"/>
      <c r="N40" s="52"/>
      <c r="O40" s="52"/>
      <c r="P40" s="52"/>
    </row>
    <row r="41" spans="1:16" x14ac:dyDescent="0.15">
      <c r="A41" s="52"/>
      <c r="B41" s="68" t="s">
        <v>61</v>
      </c>
      <c r="C41" s="69">
        <f>C37+C38+C39+C40</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4"/>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SUM(D4:D44)</f>
        <v>0</v>
      </c>
      <c r="E1" s="303">
        <f>SUM(E4:E44)/2</f>
        <v>0</v>
      </c>
      <c r="F1" s="303">
        <f>SUM(F4:F44)/2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45022</v>
      </c>
      <c r="B5" s="297">
        <v>45022</v>
      </c>
      <c r="C5" s="296"/>
      <c r="D5" s="295"/>
      <c r="E5" s="294"/>
      <c r="F5" s="293"/>
    </row>
    <row r="6" spans="1:6" x14ac:dyDescent="0.15">
      <c r="A6" s="292">
        <v>45023</v>
      </c>
      <c r="B6" s="285">
        <v>45023</v>
      </c>
      <c r="F6" s="291"/>
    </row>
    <row r="7" spans="1:6" x14ac:dyDescent="0.15">
      <c r="A7" s="292">
        <v>45024</v>
      </c>
      <c r="B7" s="285">
        <v>45024</v>
      </c>
      <c r="F7" s="291"/>
    </row>
    <row r="8" spans="1:6" x14ac:dyDescent="0.15">
      <c r="A8" s="292">
        <v>45025</v>
      </c>
      <c r="B8" s="285">
        <v>45025</v>
      </c>
      <c r="F8" s="291"/>
    </row>
    <row r="9" spans="1:6" x14ac:dyDescent="0.15">
      <c r="A9" s="292">
        <v>45025</v>
      </c>
      <c r="B9" s="285" t="s">
        <v>234</v>
      </c>
      <c r="F9" s="291"/>
    </row>
    <row r="10" spans="1:6" x14ac:dyDescent="0.15">
      <c r="A10" s="292">
        <v>45025</v>
      </c>
      <c r="B10" s="285" t="s">
        <v>233</v>
      </c>
      <c r="F10" s="291"/>
    </row>
    <row r="11" spans="1:6" ht="14" thickBot="1" x14ac:dyDescent="0.2">
      <c r="A11" s="290"/>
      <c r="B11" s="289"/>
      <c r="C11" s="287"/>
      <c r="D11" s="288"/>
      <c r="E11" s="300">
        <f>SUM(E5:E10)</f>
        <v>0</v>
      </c>
      <c r="F11" s="299">
        <f>SUM(F5:F10)</f>
        <v>0</v>
      </c>
    </row>
    <row r="12" spans="1:6" ht="14" thickBot="1" x14ac:dyDescent="0.2"/>
    <row r="13" spans="1:6" x14ac:dyDescent="0.15">
      <c r="A13" s="298">
        <v>45026</v>
      </c>
      <c r="B13" s="297">
        <v>45026</v>
      </c>
      <c r="C13" s="296"/>
      <c r="D13" s="295"/>
      <c r="E13" s="294"/>
      <c r="F13" s="293"/>
    </row>
    <row r="14" spans="1:6" x14ac:dyDescent="0.15">
      <c r="A14" s="292">
        <v>45027</v>
      </c>
      <c r="B14" s="285">
        <v>45027</v>
      </c>
      <c r="F14" s="291"/>
    </row>
    <row r="15" spans="1:6" x14ac:dyDescent="0.15">
      <c r="A15" s="292">
        <v>45028</v>
      </c>
      <c r="B15" s="285">
        <v>45028</v>
      </c>
      <c r="F15" s="291"/>
    </row>
    <row r="16" spans="1:6" x14ac:dyDescent="0.15">
      <c r="A16" s="292">
        <v>45029</v>
      </c>
      <c r="B16" s="285">
        <v>45029</v>
      </c>
      <c r="F16" s="291"/>
    </row>
    <row r="17" spans="1:6" x14ac:dyDescent="0.15">
      <c r="A17" s="292">
        <v>45030</v>
      </c>
      <c r="B17" s="285">
        <v>45030</v>
      </c>
      <c r="F17" s="291"/>
    </row>
    <row r="18" spans="1:6" x14ac:dyDescent="0.15">
      <c r="A18" s="292">
        <v>45031</v>
      </c>
      <c r="B18" s="285">
        <v>45031</v>
      </c>
      <c r="F18" s="291"/>
    </row>
    <row r="19" spans="1:6" x14ac:dyDescent="0.15">
      <c r="A19" s="292">
        <v>45032</v>
      </c>
      <c r="B19" s="285">
        <v>45032</v>
      </c>
      <c r="F19" s="291"/>
    </row>
    <row r="20" spans="1:6" x14ac:dyDescent="0.15">
      <c r="A20" s="292">
        <v>45032</v>
      </c>
      <c r="B20" s="285" t="s">
        <v>234</v>
      </c>
      <c r="F20" s="291"/>
    </row>
    <row r="21" spans="1:6" x14ac:dyDescent="0.15">
      <c r="A21" s="292">
        <v>45032</v>
      </c>
      <c r="B21" s="285" t="s">
        <v>233</v>
      </c>
      <c r="F21" s="291"/>
    </row>
    <row r="22" spans="1:6" ht="14" thickBot="1" x14ac:dyDescent="0.2">
      <c r="A22" s="290"/>
      <c r="B22" s="289"/>
      <c r="C22" s="287"/>
      <c r="D22" s="288"/>
      <c r="E22" s="300">
        <f>SUM(E13:E21)</f>
        <v>0</v>
      </c>
      <c r="F22" s="299">
        <f>SUM(F13:F21)</f>
        <v>0</v>
      </c>
    </row>
    <row r="23" spans="1:6" ht="14" thickBot="1" x14ac:dyDescent="0.2"/>
    <row r="24" spans="1:6" x14ac:dyDescent="0.15">
      <c r="A24" s="298">
        <v>45033</v>
      </c>
      <c r="B24" s="297">
        <v>45033</v>
      </c>
      <c r="C24" s="296"/>
      <c r="D24" s="295"/>
      <c r="E24" s="294"/>
      <c r="F24" s="293"/>
    </row>
    <row r="25" spans="1:6" x14ac:dyDescent="0.15">
      <c r="A25" s="292">
        <v>45034</v>
      </c>
      <c r="B25" s="285">
        <v>45034</v>
      </c>
      <c r="F25" s="291"/>
    </row>
    <row r="26" spans="1:6" x14ac:dyDescent="0.15">
      <c r="A26" s="292">
        <v>45035</v>
      </c>
      <c r="B26" s="285">
        <v>45035</v>
      </c>
      <c r="F26" s="291"/>
    </row>
    <row r="27" spans="1:6" x14ac:dyDescent="0.15">
      <c r="A27" s="292">
        <v>45036</v>
      </c>
      <c r="B27" s="285">
        <v>45036</v>
      </c>
      <c r="F27" s="291"/>
    </row>
    <row r="28" spans="1:6" x14ac:dyDescent="0.15">
      <c r="A28" s="292">
        <v>45037</v>
      </c>
      <c r="B28" s="285">
        <v>45037</v>
      </c>
      <c r="F28" s="291"/>
    </row>
    <row r="29" spans="1:6" x14ac:dyDescent="0.15">
      <c r="A29" s="292">
        <v>45038</v>
      </c>
      <c r="B29" s="285">
        <v>45038</v>
      </c>
      <c r="F29" s="291"/>
    </row>
    <row r="30" spans="1:6" x14ac:dyDescent="0.15">
      <c r="A30" s="292">
        <v>45039</v>
      </c>
      <c r="B30" s="285">
        <v>45039</v>
      </c>
      <c r="F30" s="291"/>
    </row>
    <row r="31" spans="1:6" x14ac:dyDescent="0.15">
      <c r="A31" s="292">
        <v>45039</v>
      </c>
      <c r="B31" s="285" t="s">
        <v>234</v>
      </c>
      <c r="F31" s="291"/>
    </row>
    <row r="32" spans="1:6" x14ac:dyDescent="0.15">
      <c r="A32" s="292">
        <v>45039</v>
      </c>
      <c r="B32" s="285" t="s">
        <v>233</v>
      </c>
      <c r="F32" s="291"/>
    </row>
    <row r="33" spans="1:6" ht="14" thickBot="1" x14ac:dyDescent="0.2">
      <c r="A33" s="290"/>
      <c r="B33" s="289"/>
      <c r="C33" s="287"/>
      <c r="D33" s="288"/>
      <c r="E33" s="300">
        <f>SUM(E24:E32)</f>
        <v>0</v>
      </c>
      <c r="F33" s="299">
        <f>SUM(F24:F32)</f>
        <v>0</v>
      </c>
    </row>
    <row r="34" spans="1:6" ht="14" thickBot="1" x14ac:dyDescent="0.2"/>
    <row r="35" spans="1:6" x14ac:dyDescent="0.15">
      <c r="A35" s="298">
        <v>45040</v>
      </c>
      <c r="B35" s="297">
        <v>45040</v>
      </c>
      <c r="C35" s="296"/>
      <c r="D35" s="295"/>
      <c r="E35" s="294"/>
      <c r="F35" s="293"/>
    </row>
    <row r="36" spans="1:6" x14ac:dyDescent="0.15">
      <c r="A36" s="292">
        <v>45041</v>
      </c>
      <c r="B36" s="285">
        <v>45041</v>
      </c>
      <c r="F36" s="291"/>
    </row>
    <row r="37" spans="1:6" x14ac:dyDescent="0.15">
      <c r="A37" s="292">
        <v>45042</v>
      </c>
      <c r="B37" s="285">
        <v>45042</v>
      </c>
      <c r="F37" s="291"/>
    </row>
    <row r="38" spans="1:6" x14ac:dyDescent="0.15">
      <c r="A38" s="292">
        <v>45043</v>
      </c>
      <c r="B38" s="285">
        <v>45043</v>
      </c>
      <c r="F38" s="291"/>
    </row>
    <row r="39" spans="1:6" x14ac:dyDescent="0.15">
      <c r="A39" s="292">
        <v>45044</v>
      </c>
      <c r="B39" s="285">
        <v>45044</v>
      </c>
      <c r="F39" s="291"/>
    </row>
    <row r="40" spans="1:6" x14ac:dyDescent="0.15">
      <c r="A40" s="292">
        <v>45045</v>
      </c>
      <c r="B40" s="285">
        <v>45045</v>
      </c>
      <c r="F40" s="291"/>
    </row>
    <row r="41" spans="1:6" x14ac:dyDescent="0.15">
      <c r="A41" s="292">
        <v>45046</v>
      </c>
      <c r="B41" s="285">
        <v>45046</v>
      </c>
      <c r="F41" s="291"/>
    </row>
    <row r="42" spans="1:6" x14ac:dyDescent="0.15">
      <c r="A42" s="292">
        <v>45046</v>
      </c>
      <c r="B42" s="285" t="s">
        <v>234</v>
      </c>
      <c r="F42" s="291"/>
    </row>
    <row r="43" spans="1:6" x14ac:dyDescent="0.15">
      <c r="A43" s="292">
        <v>45046</v>
      </c>
      <c r="B43" s="285" t="s">
        <v>233</v>
      </c>
      <c r="F43" s="291"/>
    </row>
    <row r="44" spans="1:6" ht="14" thickBot="1" x14ac:dyDescent="0.2">
      <c r="A44" s="290"/>
      <c r="B44" s="289"/>
      <c r="C44" s="287"/>
      <c r="D44" s="288"/>
      <c r="E44" s="300">
        <f>SUM(E35:E43)</f>
        <v>0</v>
      </c>
      <c r="F44" s="299">
        <f>SUM(F35:F43)</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45047</v>
      </c>
      <c r="B5" s="297">
        <v>45047</v>
      </c>
      <c r="C5" s="296"/>
      <c r="D5" s="295"/>
      <c r="E5" s="294"/>
      <c r="F5" s="293"/>
    </row>
    <row r="6" spans="1:6" x14ac:dyDescent="0.15">
      <c r="A6" s="292">
        <v>45048</v>
      </c>
      <c r="B6" s="285">
        <v>45048</v>
      </c>
      <c r="F6" s="291"/>
    </row>
    <row r="7" spans="1:6" x14ac:dyDescent="0.15">
      <c r="A7" s="292">
        <v>45049</v>
      </c>
      <c r="B7" s="285">
        <v>45049</v>
      </c>
      <c r="F7" s="291"/>
    </row>
    <row r="8" spans="1:6" x14ac:dyDescent="0.15">
      <c r="A8" s="292">
        <v>45050</v>
      </c>
      <c r="B8" s="285">
        <v>45050</v>
      </c>
      <c r="F8" s="291"/>
    </row>
    <row r="9" spans="1:6" x14ac:dyDescent="0.15">
      <c r="A9" s="292">
        <v>45051</v>
      </c>
      <c r="B9" s="285">
        <v>45051</v>
      </c>
      <c r="F9" s="291"/>
    </row>
    <row r="10" spans="1:6" x14ac:dyDescent="0.15">
      <c r="A10" s="292">
        <v>45052</v>
      </c>
      <c r="B10" s="285">
        <v>45052</v>
      </c>
      <c r="F10" s="291"/>
    </row>
    <row r="11" spans="1:6" x14ac:dyDescent="0.15">
      <c r="A11" s="292">
        <v>45053</v>
      </c>
      <c r="B11" s="285">
        <v>45053</v>
      </c>
      <c r="F11" s="291"/>
    </row>
    <row r="12" spans="1:6" x14ac:dyDescent="0.15">
      <c r="A12" s="292">
        <v>45053</v>
      </c>
      <c r="B12" s="285" t="s">
        <v>234</v>
      </c>
      <c r="F12" s="291"/>
    </row>
    <row r="13" spans="1:6" x14ac:dyDescent="0.15">
      <c r="A13" s="292">
        <v>45053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45054</v>
      </c>
      <c r="B16" s="297">
        <v>45054</v>
      </c>
      <c r="C16" s="296"/>
      <c r="D16" s="295"/>
      <c r="E16" s="294"/>
      <c r="F16" s="293"/>
    </row>
    <row r="17" spans="1:6" x14ac:dyDescent="0.15">
      <c r="A17" s="292">
        <v>45055</v>
      </c>
      <c r="B17" s="285">
        <v>45055</v>
      </c>
      <c r="F17" s="291"/>
    </row>
    <row r="18" spans="1:6" x14ac:dyDescent="0.15">
      <c r="A18" s="292">
        <v>45056</v>
      </c>
      <c r="B18" s="285">
        <v>45056</v>
      </c>
      <c r="F18" s="291"/>
    </row>
    <row r="19" spans="1:6" x14ac:dyDescent="0.15">
      <c r="A19" s="292">
        <v>45057</v>
      </c>
      <c r="B19" s="285">
        <v>45057</v>
      </c>
      <c r="F19" s="291"/>
    </row>
    <row r="20" spans="1:6" x14ac:dyDescent="0.15">
      <c r="A20" s="292">
        <v>45058</v>
      </c>
      <c r="B20" s="285">
        <v>45058</v>
      </c>
      <c r="F20" s="291"/>
    </row>
    <row r="21" spans="1:6" x14ac:dyDescent="0.15">
      <c r="A21" s="292">
        <v>45059</v>
      </c>
      <c r="B21" s="285">
        <v>45059</v>
      </c>
      <c r="F21" s="291"/>
    </row>
    <row r="22" spans="1:6" x14ac:dyDescent="0.15">
      <c r="A22" s="292">
        <v>45060</v>
      </c>
      <c r="B22" s="285">
        <v>45060</v>
      </c>
      <c r="F22" s="291"/>
    </row>
    <row r="23" spans="1:6" x14ac:dyDescent="0.15">
      <c r="A23" s="292">
        <v>45060</v>
      </c>
      <c r="B23" s="285" t="s">
        <v>234</v>
      </c>
      <c r="F23" s="291"/>
    </row>
    <row r="24" spans="1:6" x14ac:dyDescent="0.15">
      <c r="A24" s="292">
        <v>45060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45061</v>
      </c>
      <c r="B27" s="297">
        <v>45061</v>
      </c>
      <c r="C27" s="296"/>
      <c r="D27" s="295"/>
      <c r="E27" s="294"/>
      <c r="F27" s="293"/>
    </row>
    <row r="28" spans="1:6" x14ac:dyDescent="0.15">
      <c r="A28" s="292">
        <v>45062</v>
      </c>
      <c r="B28" s="285">
        <v>45062</v>
      </c>
      <c r="F28" s="291"/>
    </row>
    <row r="29" spans="1:6" x14ac:dyDescent="0.15">
      <c r="A29" s="292">
        <v>45063</v>
      </c>
      <c r="B29" s="285">
        <v>45063</v>
      </c>
      <c r="F29" s="291"/>
    </row>
    <row r="30" spans="1:6" x14ac:dyDescent="0.15">
      <c r="A30" s="292">
        <v>45064</v>
      </c>
      <c r="B30" s="285">
        <v>45064</v>
      </c>
      <c r="F30" s="291"/>
    </row>
    <row r="31" spans="1:6" x14ac:dyDescent="0.15">
      <c r="A31" s="292">
        <v>45065</v>
      </c>
      <c r="B31" s="285">
        <v>45065</v>
      </c>
      <c r="F31" s="291"/>
    </row>
    <row r="32" spans="1:6" x14ac:dyDescent="0.15">
      <c r="A32" s="292">
        <v>45066</v>
      </c>
      <c r="B32" s="285">
        <v>45066</v>
      </c>
      <c r="F32" s="291"/>
    </row>
    <row r="33" spans="1:6" x14ac:dyDescent="0.15">
      <c r="A33" s="292">
        <v>45067</v>
      </c>
      <c r="B33" s="285">
        <v>45067</v>
      </c>
      <c r="F33" s="291"/>
    </row>
    <row r="34" spans="1:6" x14ac:dyDescent="0.15">
      <c r="A34" s="292">
        <v>45067</v>
      </c>
      <c r="B34" s="285" t="s">
        <v>234</v>
      </c>
      <c r="F34" s="291"/>
    </row>
    <row r="35" spans="1:6" x14ac:dyDescent="0.15">
      <c r="A35" s="292">
        <v>45067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45068</v>
      </c>
      <c r="B38" s="297">
        <v>45068</v>
      </c>
      <c r="C38" s="296"/>
      <c r="D38" s="295"/>
      <c r="E38" s="294"/>
      <c r="F38" s="293"/>
    </row>
    <row r="39" spans="1:6" x14ac:dyDescent="0.15">
      <c r="A39" s="292">
        <v>45069</v>
      </c>
      <c r="B39" s="285">
        <v>45069</v>
      </c>
      <c r="F39" s="291"/>
    </row>
    <row r="40" spans="1:6" x14ac:dyDescent="0.15">
      <c r="A40" s="292">
        <v>45070</v>
      </c>
      <c r="B40" s="285">
        <v>45070</v>
      </c>
      <c r="F40" s="291"/>
    </row>
    <row r="41" spans="1:6" x14ac:dyDescent="0.15">
      <c r="A41" s="292">
        <v>45071</v>
      </c>
      <c r="B41" s="285">
        <v>45071</v>
      </c>
      <c r="F41" s="291"/>
    </row>
    <row r="42" spans="1:6" x14ac:dyDescent="0.15">
      <c r="A42" s="292">
        <v>45072</v>
      </c>
      <c r="B42" s="285">
        <v>45072</v>
      </c>
      <c r="F42" s="291"/>
    </row>
    <row r="43" spans="1:6" x14ac:dyDescent="0.15">
      <c r="A43" s="292">
        <v>45073</v>
      </c>
      <c r="B43" s="285">
        <v>45073</v>
      </c>
      <c r="F43" s="291"/>
    </row>
    <row r="44" spans="1:6" x14ac:dyDescent="0.15">
      <c r="A44" s="292">
        <v>45074</v>
      </c>
      <c r="B44" s="285">
        <v>45074</v>
      </c>
      <c r="F44" s="291"/>
    </row>
    <row r="45" spans="1:6" x14ac:dyDescent="0.15">
      <c r="A45" s="292">
        <v>45074</v>
      </c>
      <c r="B45" s="285" t="s">
        <v>234</v>
      </c>
      <c r="F45" s="291"/>
    </row>
    <row r="46" spans="1:6" x14ac:dyDescent="0.15">
      <c r="A46" s="292">
        <v>45074</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45075</v>
      </c>
      <c r="B5" s="297">
        <v>45075</v>
      </c>
      <c r="C5" s="296"/>
      <c r="D5" s="295"/>
      <c r="E5" s="294"/>
      <c r="F5" s="293"/>
    </row>
    <row r="6" spans="1:6" x14ac:dyDescent="0.15">
      <c r="A6" s="292">
        <v>45076</v>
      </c>
      <c r="B6" s="285">
        <v>45076</v>
      </c>
      <c r="F6" s="291"/>
    </row>
    <row r="7" spans="1:6" x14ac:dyDescent="0.15">
      <c r="A7" s="292">
        <v>45077</v>
      </c>
      <c r="B7" s="285">
        <v>45077</v>
      </c>
      <c r="F7" s="291"/>
    </row>
    <row r="8" spans="1:6" x14ac:dyDescent="0.15">
      <c r="A8" s="292">
        <v>45078</v>
      </c>
      <c r="B8" s="285">
        <v>45078</v>
      </c>
      <c r="F8" s="291"/>
    </row>
    <row r="9" spans="1:6" x14ac:dyDescent="0.15">
      <c r="A9" s="292">
        <v>45079</v>
      </c>
      <c r="B9" s="285">
        <v>45079</v>
      </c>
      <c r="F9" s="291"/>
    </row>
    <row r="10" spans="1:6" x14ac:dyDescent="0.15">
      <c r="A10" s="292">
        <v>45080</v>
      </c>
      <c r="B10" s="285">
        <v>45080</v>
      </c>
      <c r="F10" s="291"/>
    </row>
    <row r="11" spans="1:6" x14ac:dyDescent="0.15">
      <c r="A11" s="292">
        <v>45081</v>
      </c>
      <c r="B11" s="285">
        <v>45081</v>
      </c>
      <c r="F11" s="291"/>
    </row>
    <row r="12" spans="1:6" x14ac:dyDescent="0.15">
      <c r="A12" s="292">
        <v>45081</v>
      </c>
      <c r="B12" s="285" t="s">
        <v>234</v>
      </c>
      <c r="F12" s="291"/>
    </row>
    <row r="13" spans="1:6" x14ac:dyDescent="0.15">
      <c r="A13" s="292">
        <v>45081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45082</v>
      </c>
      <c r="B16" s="297">
        <v>45082</v>
      </c>
      <c r="C16" s="296"/>
      <c r="D16" s="295"/>
      <c r="E16" s="294"/>
      <c r="F16" s="293"/>
    </row>
    <row r="17" spans="1:6" x14ac:dyDescent="0.15">
      <c r="A17" s="292">
        <v>45083</v>
      </c>
      <c r="B17" s="285">
        <v>45083</v>
      </c>
      <c r="F17" s="291"/>
    </row>
    <row r="18" spans="1:6" x14ac:dyDescent="0.15">
      <c r="A18" s="292">
        <v>45084</v>
      </c>
      <c r="B18" s="285">
        <v>45084</v>
      </c>
      <c r="F18" s="291"/>
    </row>
    <row r="19" spans="1:6" x14ac:dyDescent="0.15">
      <c r="A19" s="292">
        <v>45085</v>
      </c>
      <c r="B19" s="285">
        <v>45085</v>
      </c>
      <c r="F19" s="291"/>
    </row>
    <row r="20" spans="1:6" x14ac:dyDescent="0.15">
      <c r="A20" s="292">
        <v>45086</v>
      </c>
      <c r="B20" s="285">
        <v>45086</v>
      </c>
      <c r="F20" s="291"/>
    </row>
    <row r="21" spans="1:6" x14ac:dyDescent="0.15">
      <c r="A21" s="292">
        <v>45087</v>
      </c>
      <c r="B21" s="285">
        <v>45087</v>
      </c>
      <c r="F21" s="291"/>
    </row>
    <row r="22" spans="1:6" x14ac:dyDescent="0.15">
      <c r="A22" s="292">
        <v>45088</v>
      </c>
      <c r="B22" s="285">
        <v>45088</v>
      </c>
      <c r="F22" s="291"/>
    </row>
    <row r="23" spans="1:6" x14ac:dyDescent="0.15">
      <c r="A23" s="292">
        <v>45088</v>
      </c>
      <c r="B23" s="285" t="s">
        <v>234</v>
      </c>
      <c r="F23" s="291"/>
    </row>
    <row r="24" spans="1:6" x14ac:dyDescent="0.15">
      <c r="A24" s="292">
        <v>45088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45089</v>
      </c>
      <c r="B27" s="297">
        <v>45089</v>
      </c>
      <c r="C27" s="296"/>
      <c r="D27" s="295"/>
      <c r="E27" s="294"/>
      <c r="F27" s="293"/>
    </row>
    <row r="28" spans="1:6" x14ac:dyDescent="0.15">
      <c r="A28" s="292">
        <v>45090</v>
      </c>
      <c r="B28" s="285">
        <v>45090</v>
      </c>
      <c r="F28" s="291"/>
    </row>
    <row r="29" spans="1:6" x14ac:dyDescent="0.15">
      <c r="A29" s="292">
        <v>45091</v>
      </c>
      <c r="B29" s="285">
        <v>45091</v>
      </c>
      <c r="F29" s="291"/>
    </row>
    <row r="30" spans="1:6" x14ac:dyDescent="0.15">
      <c r="A30" s="292">
        <v>45092</v>
      </c>
      <c r="B30" s="285">
        <v>45092</v>
      </c>
      <c r="F30" s="291"/>
    </row>
    <row r="31" spans="1:6" x14ac:dyDescent="0.15">
      <c r="A31" s="292">
        <v>45093</v>
      </c>
      <c r="B31" s="285">
        <v>45093</v>
      </c>
      <c r="F31" s="291"/>
    </row>
    <row r="32" spans="1:6" x14ac:dyDescent="0.15">
      <c r="A32" s="292">
        <v>45094</v>
      </c>
      <c r="B32" s="285">
        <v>45094</v>
      </c>
      <c r="F32" s="291"/>
    </row>
    <row r="33" spans="1:6" x14ac:dyDescent="0.15">
      <c r="A33" s="292">
        <v>45095</v>
      </c>
      <c r="B33" s="285">
        <v>45095</v>
      </c>
      <c r="F33" s="291"/>
    </row>
    <row r="34" spans="1:6" x14ac:dyDescent="0.15">
      <c r="A34" s="292">
        <v>45095</v>
      </c>
      <c r="B34" s="285" t="s">
        <v>234</v>
      </c>
      <c r="F34" s="291"/>
    </row>
    <row r="35" spans="1:6" x14ac:dyDescent="0.15">
      <c r="A35" s="292">
        <v>45095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45096</v>
      </c>
      <c r="B38" s="297">
        <v>45096</v>
      </c>
      <c r="C38" s="296"/>
      <c r="D38" s="295"/>
      <c r="E38" s="294"/>
      <c r="F38" s="293"/>
    </row>
    <row r="39" spans="1:6" x14ac:dyDescent="0.15">
      <c r="A39" s="292">
        <v>45097</v>
      </c>
      <c r="B39" s="285">
        <v>45097</v>
      </c>
      <c r="F39" s="291"/>
    </row>
    <row r="40" spans="1:6" x14ac:dyDescent="0.15">
      <c r="A40" s="292">
        <v>45098</v>
      </c>
      <c r="B40" s="285">
        <v>45098</v>
      </c>
      <c r="F40" s="291"/>
    </row>
    <row r="41" spans="1:6" x14ac:dyDescent="0.15">
      <c r="A41" s="292">
        <v>45099</v>
      </c>
      <c r="B41" s="285">
        <v>45099</v>
      </c>
      <c r="F41" s="291"/>
    </row>
    <row r="42" spans="1:6" x14ac:dyDescent="0.15">
      <c r="A42" s="292">
        <v>45100</v>
      </c>
      <c r="B42" s="285">
        <v>45100</v>
      </c>
      <c r="F42" s="291"/>
    </row>
    <row r="43" spans="1:6" x14ac:dyDescent="0.15">
      <c r="A43" s="292">
        <v>45101</v>
      </c>
      <c r="B43" s="285">
        <v>45101</v>
      </c>
      <c r="F43" s="291"/>
    </row>
    <row r="44" spans="1:6" x14ac:dyDescent="0.15">
      <c r="A44" s="292">
        <v>45102</v>
      </c>
      <c r="B44" s="285">
        <v>45102</v>
      </c>
      <c r="F44" s="291"/>
    </row>
    <row r="45" spans="1:6" x14ac:dyDescent="0.15">
      <c r="A45" s="292">
        <v>45102</v>
      </c>
      <c r="B45" s="285" t="s">
        <v>234</v>
      </c>
      <c r="F45" s="291"/>
    </row>
    <row r="46" spans="1:6" x14ac:dyDescent="0.15">
      <c r="A46" s="292">
        <v>45102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45103</v>
      </c>
      <c r="B5" s="297">
        <v>45103</v>
      </c>
      <c r="C5" s="296"/>
      <c r="D5" s="295"/>
      <c r="E5" s="294"/>
      <c r="F5" s="293"/>
    </row>
    <row r="6" spans="1:6" x14ac:dyDescent="0.15">
      <c r="A6" s="292">
        <v>45104</v>
      </c>
      <c r="B6" s="285">
        <v>45104</v>
      </c>
      <c r="F6" s="291"/>
    </row>
    <row r="7" spans="1:6" x14ac:dyDescent="0.15">
      <c r="A7" s="292">
        <v>45105</v>
      </c>
      <c r="B7" s="285">
        <v>45105</v>
      </c>
      <c r="F7" s="291"/>
    </row>
    <row r="8" spans="1:6" x14ac:dyDescent="0.15">
      <c r="A8" s="292">
        <v>45106</v>
      </c>
      <c r="B8" s="285">
        <v>45106</v>
      </c>
      <c r="F8" s="291"/>
    </row>
    <row r="9" spans="1:6" x14ac:dyDescent="0.15">
      <c r="A9" s="292">
        <v>45107</v>
      </c>
      <c r="B9" s="285">
        <v>45107</v>
      </c>
      <c r="F9" s="291"/>
    </row>
    <row r="10" spans="1:6" x14ac:dyDescent="0.15">
      <c r="A10" s="292">
        <v>45108</v>
      </c>
      <c r="B10" s="285">
        <v>45108</v>
      </c>
      <c r="F10" s="291"/>
    </row>
    <row r="11" spans="1:6" x14ac:dyDescent="0.15">
      <c r="A11" s="292">
        <v>45109</v>
      </c>
      <c r="B11" s="285">
        <v>45109</v>
      </c>
      <c r="F11" s="291"/>
    </row>
    <row r="12" spans="1:6" x14ac:dyDescent="0.15">
      <c r="A12" s="292">
        <v>45109</v>
      </c>
      <c r="B12" s="285" t="s">
        <v>234</v>
      </c>
      <c r="F12" s="291"/>
    </row>
    <row r="13" spans="1:6" x14ac:dyDescent="0.15">
      <c r="A13" s="292">
        <v>45109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45110</v>
      </c>
      <c r="B16" s="297">
        <v>45110</v>
      </c>
      <c r="C16" s="296"/>
      <c r="D16" s="295"/>
      <c r="E16" s="294"/>
      <c r="F16" s="293"/>
    </row>
    <row r="17" spans="1:6" x14ac:dyDescent="0.15">
      <c r="A17" s="292">
        <v>45111</v>
      </c>
      <c r="B17" s="285">
        <v>45111</v>
      </c>
      <c r="F17" s="291"/>
    </row>
    <row r="18" spans="1:6" x14ac:dyDescent="0.15">
      <c r="A18" s="292">
        <v>45112</v>
      </c>
      <c r="B18" s="285">
        <v>45112</v>
      </c>
      <c r="F18" s="291"/>
    </row>
    <row r="19" spans="1:6" x14ac:dyDescent="0.15">
      <c r="A19" s="292">
        <v>45113</v>
      </c>
      <c r="B19" s="285">
        <v>45113</v>
      </c>
      <c r="F19" s="291"/>
    </row>
    <row r="20" spans="1:6" x14ac:dyDescent="0.15">
      <c r="A20" s="292">
        <v>45114</v>
      </c>
      <c r="B20" s="285">
        <v>45114</v>
      </c>
      <c r="F20" s="291"/>
    </row>
    <row r="21" spans="1:6" x14ac:dyDescent="0.15">
      <c r="A21" s="292">
        <v>45115</v>
      </c>
      <c r="B21" s="285">
        <v>45115</v>
      </c>
      <c r="F21" s="291"/>
    </row>
    <row r="22" spans="1:6" x14ac:dyDescent="0.15">
      <c r="A22" s="292">
        <v>45116</v>
      </c>
      <c r="B22" s="285">
        <v>45116</v>
      </c>
      <c r="F22" s="291"/>
    </row>
    <row r="23" spans="1:6" x14ac:dyDescent="0.15">
      <c r="A23" s="292">
        <v>45116</v>
      </c>
      <c r="B23" s="285" t="s">
        <v>234</v>
      </c>
      <c r="F23" s="291"/>
    </row>
    <row r="24" spans="1:6" x14ac:dyDescent="0.15">
      <c r="A24" s="292">
        <v>45116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45117</v>
      </c>
      <c r="B27" s="297">
        <v>45117</v>
      </c>
      <c r="C27" s="296"/>
      <c r="D27" s="295"/>
      <c r="E27" s="294"/>
      <c r="F27" s="293"/>
    </row>
    <row r="28" spans="1:6" x14ac:dyDescent="0.15">
      <c r="A28" s="292">
        <v>45118</v>
      </c>
      <c r="B28" s="285">
        <v>45118</v>
      </c>
      <c r="F28" s="291"/>
    </row>
    <row r="29" spans="1:6" x14ac:dyDescent="0.15">
      <c r="A29" s="292">
        <v>45119</v>
      </c>
      <c r="B29" s="285">
        <v>45119</v>
      </c>
      <c r="F29" s="291"/>
    </row>
    <row r="30" spans="1:6" x14ac:dyDescent="0.15">
      <c r="A30" s="292">
        <v>45120</v>
      </c>
      <c r="B30" s="285">
        <v>45120</v>
      </c>
      <c r="F30" s="291"/>
    </row>
    <row r="31" spans="1:6" x14ac:dyDescent="0.15">
      <c r="A31" s="292">
        <v>45121</v>
      </c>
      <c r="B31" s="285">
        <v>45121</v>
      </c>
      <c r="F31" s="291"/>
    </row>
    <row r="32" spans="1:6" x14ac:dyDescent="0.15">
      <c r="A32" s="292">
        <v>45122</v>
      </c>
      <c r="B32" s="285">
        <v>45122</v>
      </c>
      <c r="F32" s="291"/>
    </row>
    <row r="33" spans="1:6" x14ac:dyDescent="0.15">
      <c r="A33" s="292">
        <v>45123</v>
      </c>
      <c r="B33" s="285">
        <v>45123</v>
      </c>
      <c r="F33" s="291"/>
    </row>
    <row r="34" spans="1:6" x14ac:dyDescent="0.15">
      <c r="A34" s="292">
        <v>45123</v>
      </c>
      <c r="B34" s="285" t="s">
        <v>234</v>
      </c>
      <c r="F34" s="291"/>
    </row>
    <row r="35" spans="1:6" x14ac:dyDescent="0.15">
      <c r="A35" s="292">
        <v>45123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45124</v>
      </c>
      <c r="B38" s="297">
        <v>45124</v>
      </c>
      <c r="C38" s="296"/>
      <c r="D38" s="295"/>
      <c r="E38" s="294"/>
      <c r="F38" s="293"/>
    </row>
    <row r="39" spans="1:6" x14ac:dyDescent="0.15">
      <c r="A39" s="292">
        <v>45125</v>
      </c>
      <c r="B39" s="285">
        <v>45125</v>
      </c>
      <c r="F39" s="291"/>
    </row>
    <row r="40" spans="1:6" x14ac:dyDescent="0.15">
      <c r="A40" s="292">
        <v>45126</v>
      </c>
      <c r="B40" s="285">
        <v>45126</v>
      </c>
      <c r="F40" s="291"/>
    </row>
    <row r="41" spans="1:6" x14ac:dyDescent="0.15">
      <c r="A41" s="292">
        <v>45127</v>
      </c>
      <c r="B41" s="285">
        <v>45127</v>
      </c>
      <c r="F41" s="291"/>
    </row>
    <row r="42" spans="1:6" x14ac:dyDescent="0.15">
      <c r="A42" s="292">
        <v>45128</v>
      </c>
      <c r="B42" s="285">
        <v>45128</v>
      </c>
      <c r="F42" s="291"/>
    </row>
    <row r="43" spans="1:6" x14ac:dyDescent="0.15">
      <c r="A43" s="292">
        <v>45129</v>
      </c>
      <c r="B43" s="285">
        <v>45129</v>
      </c>
      <c r="F43" s="291"/>
    </row>
    <row r="44" spans="1:6" x14ac:dyDescent="0.15">
      <c r="A44" s="292">
        <v>45130</v>
      </c>
      <c r="B44" s="285">
        <v>45130</v>
      </c>
      <c r="F44" s="291"/>
    </row>
    <row r="45" spans="1:6" x14ac:dyDescent="0.15">
      <c r="A45" s="292">
        <v>45130</v>
      </c>
      <c r="B45" s="285" t="s">
        <v>234</v>
      </c>
      <c r="F45" s="291"/>
    </row>
    <row r="46" spans="1:6" x14ac:dyDescent="0.15">
      <c r="A46" s="292">
        <v>45130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45131</v>
      </c>
      <c r="B49" s="297">
        <v>45131</v>
      </c>
      <c r="C49" s="296"/>
      <c r="D49" s="295"/>
      <c r="E49" s="294"/>
      <c r="F49" s="293"/>
    </row>
    <row r="50" spans="1:6" x14ac:dyDescent="0.15">
      <c r="A50" s="292">
        <v>45132</v>
      </c>
      <c r="B50" s="285">
        <v>45132</v>
      </c>
      <c r="F50" s="291"/>
    </row>
    <row r="51" spans="1:6" x14ac:dyDescent="0.15">
      <c r="A51" s="292">
        <v>45133</v>
      </c>
      <c r="B51" s="285">
        <v>45133</v>
      </c>
      <c r="F51" s="291"/>
    </row>
    <row r="52" spans="1:6" x14ac:dyDescent="0.15">
      <c r="A52" s="292">
        <v>45134</v>
      </c>
      <c r="B52" s="285">
        <v>45134</v>
      </c>
      <c r="F52" s="291"/>
    </row>
    <row r="53" spans="1:6" x14ac:dyDescent="0.15">
      <c r="A53" s="292">
        <v>45135</v>
      </c>
      <c r="B53" s="285">
        <v>45135</v>
      </c>
      <c r="F53" s="291"/>
    </row>
    <row r="54" spans="1:6" x14ac:dyDescent="0.15">
      <c r="A54" s="292">
        <v>45136</v>
      </c>
      <c r="B54" s="285">
        <v>45136</v>
      </c>
      <c r="F54" s="291"/>
    </row>
    <row r="55" spans="1:6" x14ac:dyDescent="0.15">
      <c r="A55" s="292">
        <v>45137</v>
      </c>
      <c r="B55" s="285">
        <v>45137</v>
      </c>
      <c r="F55" s="291"/>
    </row>
    <row r="56" spans="1:6" x14ac:dyDescent="0.15">
      <c r="A56" s="292">
        <v>45137</v>
      </c>
      <c r="B56" s="285" t="s">
        <v>234</v>
      </c>
      <c r="F56" s="291"/>
    </row>
    <row r="57" spans="1:6" x14ac:dyDescent="0.15">
      <c r="A57" s="292">
        <v>45137</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45138</v>
      </c>
      <c r="B5" s="297">
        <v>45138</v>
      </c>
      <c r="C5" s="296"/>
      <c r="D5" s="295"/>
      <c r="E5" s="294"/>
      <c r="F5" s="293"/>
    </row>
    <row r="6" spans="1:6" x14ac:dyDescent="0.15">
      <c r="A6" s="292">
        <v>45139</v>
      </c>
      <c r="B6" s="285">
        <v>45139</v>
      </c>
      <c r="F6" s="291"/>
    </row>
    <row r="7" spans="1:6" x14ac:dyDescent="0.15">
      <c r="A7" s="292">
        <v>45140</v>
      </c>
      <c r="B7" s="285">
        <v>45140</v>
      </c>
      <c r="F7" s="291"/>
    </row>
    <row r="8" spans="1:6" x14ac:dyDescent="0.15">
      <c r="A8" s="292">
        <v>45141</v>
      </c>
      <c r="B8" s="285">
        <v>45141</v>
      </c>
      <c r="F8" s="291"/>
    </row>
    <row r="9" spans="1:6" x14ac:dyDescent="0.15">
      <c r="A9" s="292">
        <v>45142</v>
      </c>
      <c r="B9" s="285">
        <v>45142</v>
      </c>
      <c r="F9" s="291"/>
    </row>
    <row r="10" spans="1:6" x14ac:dyDescent="0.15">
      <c r="A10" s="292">
        <v>45143</v>
      </c>
      <c r="B10" s="285">
        <v>45143</v>
      </c>
      <c r="F10" s="291"/>
    </row>
    <row r="11" spans="1:6" x14ac:dyDescent="0.15">
      <c r="A11" s="292">
        <v>45144</v>
      </c>
      <c r="B11" s="285">
        <v>45144</v>
      </c>
      <c r="F11" s="291"/>
    </row>
    <row r="12" spans="1:6" x14ac:dyDescent="0.15">
      <c r="A12" s="292">
        <v>45144</v>
      </c>
      <c r="B12" s="285" t="s">
        <v>234</v>
      </c>
      <c r="F12" s="291"/>
    </row>
    <row r="13" spans="1:6" x14ac:dyDescent="0.15">
      <c r="A13" s="292">
        <v>45144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45145</v>
      </c>
      <c r="B16" s="297">
        <v>45145</v>
      </c>
      <c r="C16" s="296"/>
      <c r="D16" s="295"/>
      <c r="E16" s="294"/>
      <c r="F16" s="293"/>
    </row>
    <row r="17" spans="1:6" x14ac:dyDescent="0.15">
      <c r="A17" s="292">
        <v>45146</v>
      </c>
      <c r="B17" s="285">
        <v>45146</v>
      </c>
      <c r="F17" s="291"/>
    </row>
    <row r="18" spans="1:6" x14ac:dyDescent="0.15">
      <c r="A18" s="292">
        <v>45147</v>
      </c>
      <c r="B18" s="285">
        <v>45147</v>
      </c>
      <c r="F18" s="291"/>
    </row>
    <row r="19" spans="1:6" x14ac:dyDescent="0.15">
      <c r="A19" s="292">
        <v>45148</v>
      </c>
      <c r="B19" s="285">
        <v>45148</v>
      </c>
      <c r="F19" s="291"/>
    </row>
    <row r="20" spans="1:6" x14ac:dyDescent="0.15">
      <c r="A20" s="292">
        <v>45149</v>
      </c>
      <c r="B20" s="285">
        <v>45149</v>
      </c>
      <c r="F20" s="291"/>
    </row>
    <row r="21" spans="1:6" x14ac:dyDescent="0.15">
      <c r="A21" s="292">
        <v>45150</v>
      </c>
      <c r="B21" s="285">
        <v>45150</v>
      </c>
      <c r="F21" s="291"/>
    </row>
    <row r="22" spans="1:6" x14ac:dyDescent="0.15">
      <c r="A22" s="292">
        <v>45151</v>
      </c>
      <c r="B22" s="285">
        <v>45151</v>
      </c>
      <c r="F22" s="291"/>
    </row>
    <row r="23" spans="1:6" x14ac:dyDescent="0.15">
      <c r="A23" s="292">
        <v>45151</v>
      </c>
      <c r="B23" s="285" t="s">
        <v>234</v>
      </c>
      <c r="F23" s="291"/>
    </row>
    <row r="24" spans="1:6" x14ac:dyDescent="0.15">
      <c r="A24" s="292">
        <v>45151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45152</v>
      </c>
      <c r="B27" s="297">
        <v>45152</v>
      </c>
      <c r="C27" s="296"/>
      <c r="D27" s="295"/>
      <c r="E27" s="294"/>
      <c r="F27" s="293"/>
    </row>
    <row r="28" spans="1:6" x14ac:dyDescent="0.15">
      <c r="A28" s="292">
        <v>45153</v>
      </c>
      <c r="B28" s="285">
        <v>45153</v>
      </c>
      <c r="F28" s="291"/>
    </row>
    <row r="29" spans="1:6" x14ac:dyDescent="0.15">
      <c r="A29" s="292">
        <v>45154</v>
      </c>
      <c r="B29" s="285">
        <v>45154</v>
      </c>
      <c r="F29" s="291"/>
    </row>
    <row r="30" spans="1:6" x14ac:dyDescent="0.15">
      <c r="A30" s="292">
        <v>45155</v>
      </c>
      <c r="B30" s="285">
        <v>45155</v>
      </c>
      <c r="F30" s="291"/>
    </row>
    <row r="31" spans="1:6" x14ac:dyDescent="0.15">
      <c r="A31" s="292">
        <v>45156</v>
      </c>
      <c r="B31" s="285">
        <v>45156</v>
      </c>
      <c r="F31" s="291"/>
    </row>
    <row r="32" spans="1:6" x14ac:dyDescent="0.15">
      <c r="A32" s="292">
        <v>45157</v>
      </c>
      <c r="B32" s="285">
        <v>45157</v>
      </c>
      <c r="F32" s="291"/>
    </row>
    <row r="33" spans="1:6" x14ac:dyDescent="0.15">
      <c r="A33" s="292">
        <v>45158</v>
      </c>
      <c r="B33" s="285">
        <v>45158</v>
      </c>
      <c r="F33" s="291"/>
    </row>
    <row r="34" spans="1:6" x14ac:dyDescent="0.15">
      <c r="A34" s="292">
        <v>45158</v>
      </c>
      <c r="B34" s="285" t="s">
        <v>234</v>
      </c>
      <c r="F34" s="291"/>
    </row>
    <row r="35" spans="1:6" x14ac:dyDescent="0.15">
      <c r="A35" s="292">
        <v>45158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45159</v>
      </c>
      <c r="B38" s="297">
        <v>45159</v>
      </c>
      <c r="C38" s="296"/>
      <c r="D38" s="295"/>
      <c r="E38" s="294"/>
      <c r="F38" s="293"/>
    </row>
    <row r="39" spans="1:6" x14ac:dyDescent="0.15">
      <c r="A39" s="292">
        <v>45160</v>
      </c>
      <c r="B39" s="285">
        <v>45160</v>
      </c>
      <c r="F39" s="291"/>
    </row>
    <row r="40" spans="1:6" x14ac:dyDescent="0.15">
      <c r="A40" s="292">
        <v>45161</v>
      </c>
      <c r="B40" s="285">
        <v>45161</v>
      </c>
      <c r="F40" s="291"/>
    </row>
    <row r="41" spans="1:6" x14ac:dyDescent="0.15">
      <c r="A41" s="292">
        <v>45162</v>
      </c>
      <c r="B41" s="285">
        <v>45162</v>
      </c>
      <c r="F41" s="291"/>
    </row>
    <row r="42" spans="1:6" x14ac:dyDescent="0.15">
      <c r="A42" s="292">
        <v>45163</v>
      </c>
      <c r="B42" s="285">
        <v>45163</v>
      </c>
      <c r="F42" s="291"/>
    </row>
    <row r="43" spans="1:6" x14ac:dyDescent="0.15">
      <c r="A43" s="292">
        <v>45164</v>
      </c>
      <c r="B43" s="285">
        <v>45164</v>
      </c>
      <c r="F43" s="291"/>
    </row>
    <row r="44" spans="1:6" x14ac:dyDescent="0.15">
      <c r="A44" s="292">
        <v>45165</v>
      </c>
      <c r="B44" s="285">
        <v>45165</v>
      </c>
      <c r="F44" s="291"/>
    </row>
    <row r="45" spans="1:6" x14ac:dyDescent="0.15">
      <c r="A45" s="292">
        <v>45165</v>
      </c>
      <c r="B45" s="285" t="s">
        <v>234</v>
      </c>
      <c r="F45" s="291"/>
    </row>
    <row r="46" spans="1:6" x14ac:dyDescent="0.15">
      <c r="A46" s="292">
        <v>45165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45166</v>
      </c>
      <c r="B5" s="297">
        <v>45166</v>
      </c>
      <c r="C5" s="296"/>
      <c r="D5" s="295"/>
      <c r="E5" s="294"/>
      <c r="F5" s="293"/>
    </row>
    <row r="6" spans="1:6" x14ac:dyDescent="0.15">
      <c r="A6" s="292">
        <v>45167</v>
      </c>
      <c r="B6" s="285">
        <v>45167</v>
      </c>
      <c r="F6" s="291"/>
    </row>
    <row r="7" spans="1:6" x14ac:dyDescent="0.15">
      <c r="A7" s="292">
        <v>45168</v>
      </c>
      <c r="B7" s="285">
        <v>45168</v>
      </c>
      <c r="F7" s="291"/>
    </row>
    <row r="8" spans="1:6" x14ac:dyDescent="0.15">
      <c r="A8" s="292">
        <v>45169</v>
      </c>
      <c r="B8" s="285">
        <v>45169</v>
      </c>
      <c r="F8" s="291"/>
    </row>
    <row r="9" spans="1:6" x14ac:dyDescent="0.15">
      <c r="A9" s="292">
        <v>45170</v>
      </c>
      <c r="B9" s="285">
        <v>45170</v>
      </c>
      <c r="F9" s="291"/>
    </row>
    <row r="10" spans="1:6" x14ac:dyDescent="0.15">
      <c r="A10" s="292">
        <v>45171</v>
      </c>
      <c r="B10" s="285">
        <v>45171</v>
      </c>
      <c r="F10" s="291"/>
    </row>
    <row r="11" spans="1:6" x14ac:dyDescent="0.15">
      <c r="A11" s="292">
        <v>45172</v>
      </c>
      <c r="B11" s="285">
        <v>45172</v>
      </c>
      <c r="F11" s="291"/>
    </row>
    <row r="12" spans="1:6" x14ac:dyDescent="0.15">
      <c r="A12" s="292">
        <v>45172</v>
      </c>
      <c r="B12" s="285" t="s">
        <v>234</v>
      </c>
      <c r="F12" s="291"/>
    </row>
    <row r="13" spans="1:6" x14ac:dyDescent="0.15">
      <c r="A13" s="292">
        <v>45172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45173</v>
      </c>
      <c r="B16" s="297">
        <v>45173</v>
      </c>
      <c r="C16" s="296"/>
      <c r="D16" s="295"/>
      <c r="E16" s="294"/>
      <c r="F16" s="293"/>
    </row>
    <row r="17" spans="1:6" x14ac:dyDescent="0.15">
      <c r="A17" s="292">
        <v>45174</v>
      </c>
      <c r="B17" s="285">
        <v>45174</v>
      </c>
      <c r="F17" s="291"/>
    </row>
    <row r="18" spans="1:6" x14ac:dyDescent="0.15">
      <c r="A18" s="292">
        <v>45175</v>
      </c>
      <c r="B18" s="285">
        <v>45175</v>
      </c>
      <c r="F18" s="291"/>
    </row>
    <row r="19" spans="1:6" x14ac:dyDescent="0.15">
      <c r="A19" s="292">
        <v>45176</v>
      </c>
      <c r="B19" s="285">
        <v>45176</v>
      </c>
      <c r="F19" s="291"/>
    </row>
    <row r="20" spans="1:6" x14ac:dyDescent="0.15">
      <c r="A20" s="292">
        <v>45177</v>
      </c>
      <c r="B20" s="285">
        <v>45177</v>
      </c>
      <c r="F20" s="291"/>
    </row>
    <row r="21" spans="1:6" x14ac:dyDescent="0.15">
      <c r="A21" s="292">
        <v>45178</v>
      </c>
      <c r="B21" s="285">
        <v>45178</v>
      </c>
      <c r="F21" s="291"/>
    </row>
    <row r="22" spans="1:6" x14ac:dyDescent="0.15">
      <c r="A22" s="292">
        <v>45179</v>
      </c>
      <c r="B22" s="285">
        <v>45179</v>
      </c>
      <c r="F22" s="291"/>
    </row>
    <row r="23" spans="1:6" x14ac:dyDescent="0.15">
      <c r="A23" s="292">
        <v>45179</v>
      </c>
      <c r="B23" s="285" t="s">
        <v>234</v>
      </c>
      <c r="F23" s="291"/>
    </row>
    <row r="24" spans="1:6" x14ac:dyDescent="0.15">
      <c r="A24" s="292">
        <v>45179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45180</v>
      </c>
      <c r="B27" s="297">
        <v>45180</v>
      </c>
      <c r="C27" s="296"/>
      <c r="D27" s="295"/>
      <c r="E27" s="294"/>
      <c r="F27" s="293"/>
    </row>
    <row r="28" spans="1:6" x14ac:dyDescent="0.15">
      <c r="A28" s="292">
        <v>45181</v>
      </c>
      <c r="B28" s="285">
        <v>45181</v>
      </c>
      <c r="F28" s="291"/>
    </row>
    <row r="29" spans="1:6" x14ac:dyDescent="0.15">
      <c r="A29" s="292">
        <v>45182</v>
      </c>
      <c r="B29" s="285">
        <v>45182</v>
      </c>
      <c r="F29" s="291"/>
    </row>
    <row r="30" spans="1:6" x14ac:dyDescent="0.15">
      <c r="A30" s="292">
        <v>45183</v>
      </c>
      <c r="B30" s="285">
        <v>45183</v>
      </c>
      <c r="F30" s="291"/>
    </row>
    <row r="31" spans="1:6" x14ac:dyDescent="0.15">
      <c r="A31" s="292">
        <v>45184</v>
      </c>
      <c r="B31" s="285">
        <v>45184</v>
      </c>
      <c r="F31" s="291"/>
    </row>
    <row r="32" spans="1:6" x14ac:dyDescent="0.15">
      <c r="A32" s="292">
        <v>45185</v>
      </c>
      <c r="B32" s="285">
        <v>45185</v>
      </c>
      <c r="F32" s="291"/>
    </row>
    <row r="33" spans="1:6" x14ac:dyDescent="0.15">
      <c r="A33" s="292">
        <v>45186</v>
      </c>
      <c r="B33" s="285">
        <v>45186</v>
      </c>
      <c r="F33" s="291"/>
    </row>
    <row r="34" spans="1:6" x14ac:dyDescent="0.15">
      <c r="A34" s="292">
        <v>45186</v>
      </c>
      <c r="B34" s="285" t="s">
        <v>234</v>
      </c>
      <c r="F34" s="291"/>
    </row>
    <row r="35" spans="1:6" x14ac:dyDescent="0.15">
      <c r="A35" s="292">
        <v>45186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45187</v>
      </c>
      <c r="B38" s="297">
        <v>45187</v>
      </c>
      <c r="C38" s="296"/>
      <c r="D38" s="295"/>
      <c r="E38" s="294"/>
      <c r="F38" s="293"/>
    </row>
    <row r="39" spans="1:6" x14ac:dyDescent="0.15">
      <c r="A39" s="292">
        <v>45188</v>
      </c>
      <c r="B39" s="285">
        <v>45188</v>
      </c>
      <c r="F39" s="291"/>
    </row>
    <row r="40" spans="1:6" x14ac:dyDescent="0.15">
      <c r="A40" s="292">
        <v>45189</v>
      </c>
      <c r="B40" s="285">
        <v>45189</v>
      </c>
      <c r="F40" s="291"/>
    </row>
    <row r="41" spans="1:6" x14ac:dyDescent="0.15">
      <c r="A41" s="292">
        <v>45190</v>
      </c>
      <c r="B41" s="285">
        <v>45190</v>
      </c>
      <c r="F41" s="291"/>
    </row>
    <row r="42" spans="1:6" x14ac:dyDescent="0.15">
      <c r="A42" s="292">
        <v>45191</v>
      </c>
      <c r="B42" s="285">
        <v>45191</v>
      </c>
      <c r="F42" s="291"/>
    </row>
    <row r="43" spans="1:6" x14ac:dyDescent="0.15">
      <c r="A43" s="292">
        <v>45192</v>
      </c>
      <c r="B43" s="285">
        <v>45192</v>
      </c>
      <c r="F43" s="291"/>
    </row>
    <row r="44" spans="1:6" x14ac:dyDescent="0.15">
      <c r="A44" s="292">
        <v>45193</v>
      </c>
      <c r="B44" s="285">
        <v>45193</v>
      </c>
      <c r="F44" s="291"/>
    </row>
    <row r="45" spans="1:6" x14ac:dyDescent="0.15">
      <c r="A45" s="292">
        <v>45193</v>
      </c>
      <c r="B45" s="285" t="s">
        <v>234</v>
      </c>
      <c r="F45" s="291"/>
    </row>
    <row r="46" spans="1:6" x14ac:dyDescent="0.15">
      <c r="A46" s="292">
        <v>45193</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5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45194</v>
      </c>
      <c r="B5" s="297">
        <v>45194</v>
      </c>
      <c r="C5" s="296"/>
      <c r="D5" s="295"/>
      <c r="E5" s="294"/>
      <c r="F5" s="293"/>
    </row>
    <row r="6" spans="1:6" x14ac:dyDescent="0.15">
      <c r="A6" s="292">
        <v>45195</v>
      </c>
      <c r="B6" s="285">
        <v>45195</v>
      </c>
      <c r="F6" s="291"/>
    </row>
    <row r="7" spans="1:6" x14ac:dyDescent="0.15">
      <c r="A7" s="292">
        <v>45196</v>
      </c>
      <c r="B7" s="285">
        <v>45196</v>
      </c>
      <c r="F7" s="291"/>
    </row>
    <row r="8" spans="1:6" x14ac:dyDescent="0.15">
      <c r="A8" s="292">
        <v>45197</v>
      </c>
      <c r="B8" s="285">
        <v>45197</v>
      </c>
      <c r="F8" s="291"/>
    </row>
    <row r="9" spans="1:6" x14ac:dyDescent="0.15">
      <c r="A9" s="292">
        <v>45198</v>
      </c>
      <c r="B9" s="285">
        <v>45198</v>
      </c>
      <c r="F9" s="291"/>
    </row>
    <row r="10" spans="1:6" x14ac:dyDescent="0.15">
      <c r="A10" s="292">
        <v>45199</v>
      </c>
      <c r="B10" s="285">
        <v>45199</v>
      </c>
      <c r="F10" s="291"/>
    </row>
    <row r="11" spans="1:6" x14ac:dyDescent="0.15">
      <c r="A11" s="292">
        <v>45200</v>
      </c>
      <c r="B11" s="285">
        <v>45200</v>
      </c>
      <c r="F11" s="291"/>
    </row>
    <row r="12" spans="1:6" x14ac:dyDescent="0.15">
      <c r="A12" s="292">
        <v>45200</v>
      </c>
      <c r="B12" s="285" t="s">
        <v>234</v>
      </c>
      <c r="F12" s="291"/>
    </row>
    <row r="13" spans="1:6" x14ac:dyDescent="0.15">
      <c r="A13" s="292">
        <v>45200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45201</v>
      </c>
      <c r="B16" s="297">
        <v>45201</v>
      </c>
      <c r="C16" s="296"/>
      <c r="D16" s="295"/>
      <c r="E16" s="294"/>
      <c r="F16" s="293"/>
    </row>
    <row r="17" spans="1:6" x14ac:dyDescent="0.15">
      <c r="A17" s="292">
        <v>45202</v>
      </c>
      <c r="B17" s="285">
        <v>45202</v>
      </c>
      <c r="F17" s="291"/>
    </row>
    <row r="18" spans="1:6" x14ac:dyDescent="0.15">
      <c r="A18" s="292">
        <v>45203</v>
      </c>
      <c r="B18" s="285">
        <v>45203</v>
      </c>
      <c r="F18" s="291"/>
    </row>
    <row r="19" spans="1:6" x14ac:dyDescent="0.15">
      <c r="A19" s="292">
        <v>45204</v>
      </c>
      <c r="B19" s="285">
        <v>45204</v>
      </c>
      <c r="F19" s="291"/>
    </row>
    <row r="20" spans="1:6" x14ac:dyDescent="0.15">
      <c r="A20" s="292">
        <v>45205</v>
      </c>
      <c r="B20" s="285">
        <v>45205</v>
      </c>
      <c r="F20" s="291"/>
    </row>
    <row r="21" spans="1:6" x14ac:dyDescent="0.15">
      <c r="A21" s="292">
        <v>45206</v>
      </c>
      <c r="B21" s="285">
        <v>45206</v>
      </c>
      <c r="F21" s="291"/>
    </row>
    <row r="22" spans="1:6" x14ac:dyDescent="0.15">
      <c r="A22" s="292">
        <v>45207</v>
      </c>
      <c r="B22" s="285">
        <v>45207</v>
      </c>
      <c r="F22" s="291"/>
    </row>
    <row r="23" spans="1:6" x14ac:dyDescent="0.15">
      <c r="A23" s="292">
        <v>45207</v>
      </c>
      <c r="B23" s="285" t="s">
        <v>234</v>
      </c>
      <c r="F23" s="291"/>
    </row>
    <row r="24" spans="1:6" x14ac:dyDescent="0.15">
      <c r="A24" s="292">
        <v>45207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45208</v>
      </c>
      <c r="B27" s="297">
        <v>45208</v>
      </c>
      <c r="C27" s="296"/>
      <c r="D27" s="295"/>
      <c r="E27" s="294"/>
      <c r="F27" s="293"/>
    </row>
    <row r="28" spans="1:6" x14ac:dyDescent="0.15">
      <c r="A28" s="292">
        <v>45209</v>
      </c>
      <c r="B28" s="285">
        <v>45209</v>
      </c>
      <c r="F28" s="291"/>
    </row>
    <row r="29" spans="1:6" x14ac:dyDescent="0.15">
      <c r="A29" s="292">
        <v>45210</v>
      </c>
      <c r="B29" s="285">
        <v>45210</v>
      </c>
      <c r="F29" s="291"/>
    </row>
    <row r="30" spans="1:6" x14ac:dyDescent="0.15">
      <c r="A30" s="292">
        <v>45211</v>
      </c>
      <c r="B30" s="285">
        <v>45211</v>
      </c>
      <c r="F30" s="291"/>
    </row>
    <row r="31" spans="1:6" x14ac:dyDescent="0.15">
      <c r="A31" s="292">
        <v>45212</v>
      </c>
      <c r="B31" s="285">
        <v>45212</v>
      </c>
      <c r="F31" s="291"/>
    </row>
    <row r="32" spans="1:6" x14ac:dyDescent="0.15">
      <c r="A32" s="292">
        <v>45213</v>
      </c>
      <c r="B32" s="285">
        <v>45213</v>
      </c>
      <c r="F32" s="291"/>
    </row>
    <row r="33" spans="1:6" x14ac:dyDescent="0.15">
      <c r="A33" s="292">
        <v>45214</v>
      </c>
      <c r="B33" s="285">
        <v>45214</v>
      </c>
      <c r="F33" s="291"/>
    </row>
    <row r="34" spans="1:6" x14ac:dyDescent="0.15">
      <c r="A34" s="292">
        <v>45214</v>
      </c>
      <c r="B34" s="285" t="s">
        <v>234</v>
      </c>
      <c r="F34" s="291"/>
    </row>
    <row r="35" spans="1:6" x14ac:dyDescent="0.15">
      <c r="A35" s="292">
        <v>45214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45215</v>
      </c>
      <c r="B38" s="297">
        <v>45215</v>
      </c>
      <c r="C38" s="296"/>
      <c r="D38" s="295"/>
      <c r="E38" s="294"/>
      <c r="F38" s="293"/>
    </row>
    <row r="39" spans="1:6" x14ac:dyDescent="0.15">
      <c r="A39" s="292">
        <v>45216</v>
      </c>
      <c r="B39" s="285">
        <v>45216</v>
      </c>
      <c r="F39" s="291"/>
    </row>
    <row r="40" spans="1:6" x14ac:dyDescent="0.15">
      <c r="A40" s="292">
        <v>45217</v>
      </c>
      <c r="B40" s="285">
        <v>45217</v>
      </c>
      <c r="F40" s="291"/>
    </row>
    <row r="41" spans="1:6" x14ac:dyDescent="0.15">
      <c r="A41" s="292">
        <v>45218</v>
      </c>
      <c r="B41" s="285">
        <v>45218</v>
      </c>
      <c r="F41" s="291"/>
    </row>
    <row r="42" spans="1:6" x14ac:dyDescent="0.15">
      <c r="A42" s="292">
        <v>45219</v>
      </c>
      <c r="B42" s="285">
        <v>45219</v>
      </c>
      <c r="F42" s="291"/>
    </row>
    <row r="43" spans="1:6" x14ac:dyDescent="0.15">
      <c r="A43" s="292">
        <v>45220</v>
      </c>
      <c r="B43" s="285">
        <v>45220</v>
      </c>
      <c r="F43" s="291"/>
    </row>
    <row r="44" spans="1:6" x14ac:dyDescent="0.15">
      <c r="A44" s="292">
        <v>45221</v>
      </c>
      <c r="B44" s="285">
        <v>45221</v>
      </c>
      <c r="F44" s="291"/>
    </row>
    <row r="45" spans="1:6" x14ac:dyDescent="0.15">
      <c r="A45" s="292">
        <v>45221</v>
      </c>
      <c r="B45" s="285" t="s">
        <v>234</v>
      </c>
      <c r="F45" s="291"/>
    </row>
    <row r="46" spans="1:6" x14ac:dyDescent="0.15">
      <c r="A46" s="292">
        <v>45221</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45222</v>
      </c>
      <c r="B49" s="297">
        <v>45222</v>
      </c>
      <c r="C49" s="296"/>
      <c r="D49" s="295"/>
      <c r="E49" s="294"/>
      <c r="F49" s="293"/>
    </row>
    <row r="50" spans="1:6" x14ac:dyDescent="0.15">
      <c r="A50" s="292">
        <v>45223</v>
      </c>
      <c r="B50" s="285">
        <v>45223</v>
      </c>
      <c r="F50" s="291"/>
    </row>
    <row r="51" spans="1:6" x14ac:dyDescent="0.15">
      <c r="A51" s="292">
        <v>45224</v>
      </c>
      <c r="B51" s="285">
        <v>45224</v>
      </c>
      <c r="F51" s="291"/>
    </row>
    <row r="52" spans="1:6" x14ac:dyDescent="0.15">
      <c r="A52" s="292">
        <v>45225</v>
      </c>
      <c r="B52" s="285">
        <v>45225</v>
      </c>
      <c r="F52" s="291"/>
    </row>
    <row r="53" spans="1:6" x14ac:dyDescent="0.15">
      <c r="A53" s="292">
        <v>45226</v>
      </c>
      <c r="B53" s="285">
        <v>45226</v>
      </c>
      <c r="F53" s="291"/>
    </row>
    <row r="54" spans="1:6" x14ac:dyDescent="0.15">
      <c r="A54" s="292">
        <v>45227</v>
      </c>
      <c r="B54" s="285">
        <v>45227</v>
      </c>
      <c r="F54" s="291"/>
    </row>
    <row r="55" spans="1:6" x14ac:dyDescent="0.15">
      <c r="A55" s="292">
        <v>45228</v>
      </c>
      <c r="B55" s="285">
        <v>45228</v>
      </c>
      <c r="F55" s="291"/>
    </row>
    <row r="56" spans="1:6" x14ac:dyDescent="0.15">
      <c r="A56" s="292">
        <v>45228</v>
      </c>
      <c r="B56" s="285" t="s">
        <v>234</v>
      </c>
      <c r="F56" s="291"/>
    </row>
    <row r="57" spans="1:6" x14ac:dyDescent="0.15">
      <c r="A57" s="292">
        <v>45228</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45229</v>
      </c>
      <c r="B5" s="297">
        <v>45229</v>
      </c>
      <c r="C5" s="296"/>
      <c r="D5" s="295"/>
      <c r="E5" s="294"/>
      <c r="F5" s="293"/>
    </row>
    <row r="6" spans="1:6" x14ac:dyDescent="0.15">
      <c r="A6" s="292">
        <v>45230</v>
      </c>
      <c r="B6" s="285">
        <v>45230</v>
      </c>
      <c r="F6" s="291"/>
    </row>
    <row r="7" spans="1:6" x14ac:dyDescent="0.15">
      <c r="A7" s="292">
        <v>45231</v>
      </c>
      <c r="B7" s="285">
        <v>45231</v>
      </c>
      <c r="F7" s="291"/>
    </row>
    <row r="8" spans="1:6" x14ac:dyDescent="0.15">
      <c r="A8" s="292">
        <v>45232</v>
      </c>
      <c r="B8" s="285">
        <v>45232</v>
      </c>
      <c r="F8" s="291"/>
    </row>
    <row r="9" spans="1:6" x14ac:dyDescent="0.15">
      <c r="A9" s="292">
        <v>45233</v>
      </c>
      <c r="B9" s="285">
        <v>45233</v>
      </c>
      <c r="F9" s="291"/>
    </row>
    <row r="10" spans="1:6" x14ac:dyDescent="0.15">
      <c r="A10" s="292">
        <v>45234</v>
      </c>
      <c r="B10" s="285">
        <v>45234</v>
      </c>
      <c r="F10" s="291"/>
    </row>
    <row r="11" spans="1:6" x14ac:dyDescent="0.15">
      <c r="A11" s="292">
        <v>45235</v>
      </c>
      <c r="B11" s="285">
        <v>45235</v>
      </c>
      <c r="F11" s="291"/>
    </row>
    <row r="12" spans="1:6" x14ac:dyDescent="0.15">
      <c r="A12" s="292">
        <v>45235</v>
      </c>
      <c r="B12" s="285" t="s">
        <v>234</v>
      </c>
      <c r="F12" s="291"/>
    </row>
    <row r="13" spans="1:6" x14ac:dyDescent="0.15">
      <c r="A13" s="292">
        <v>45235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45236</v>
      </c>
      <c r="B16" s="297">
        <v>45236</v>
      </c>
      <c r="C16" s="296"/>
      <c r="D16" s="295"/>
      <c r="E16" s="294"/>
      <c r="F16" s="293"/>
    </row>
    <row r="17" spans="1:6" x14ac:dyDescent="0.15">
      <c r="A17" s="292">
        <v>45237</v>
      </c>
      <c r="B17" s="285">
        <v>45237</v>
      </c>
      <c r="F17" s="291"/>
    </row>
    <row r="18" spans="1:6" x14ac:dyDescent="0.15">
      <c r="A18" s="292">
        <v>45238</v>
      </c>
      <c r="B18" s="285">
        <v>45238</v>
      </c>
      <c r="F18" s="291"/>
    </row>
    <row r="19" spans="1:6" x14ac:dyDescent="0.15">
      <c r="A19" s="292">
        <v>45239</v>
      </c>
      <c r="B19" s="285">
        <v>45239</v>
      </c>
      <c r="F19" s="291"/>
    </row>
    <row r="20" spans="1:6" x14ac:dyDescent="0.15">
      <c r="A20" s="292">
        <v>45240</v>
      </c>
      <c r="B20" s="285">
        <v>45240</v>
      </c>
      <c r="F20" s="291"/>
    </row>
    <row r="21" spans="1:6" x14ac:dyDescent="0.15">
      <c r="A21" s="292">
        <v>45241</v>
      </c>
      <c r="B21" s="285">
        <v>45241</v>
      </c>
      <c r="F21" s="291"/>
    </row>
    <row r="22" spans="1:6" x14ac:dyDescent="0.15">
      <c r="A22" s="292">
        <v>45242</v>
      </c>
      <c r="B22" s="285">
        <v>45242</v>
      </c>
      <c r="F22" s="291"/>
    </row>
    <row r="23" spans="1:6" x14ac:dyDescent="0.15">
      <c r="A23" s="292">
        <v>45242</v>
      </c>
      <c r="B23" s="285" t="s">
        <v>234</v>
      </c>
      <c r="F23" s="291"/>
    </row>
    <row r="24" spans="1:6" x14ac:dyDescent="0.15">
      <c r="A24" s="292">
        <v>45242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45243</v>
      </c>
      <c r="B27" s="297">
        <v>45243</v>
      </c>
      <c r="C27" s="296"/>
      <c r="D27" s="295"/>
      <c r="E27" s="294"/>
      <c r="F27" s="293"/>
    </row>
    <row r="28" spans="1:6" x14ac:dyDescent="0.15">
      <c r="A28" s="292">
        <v>45244</v>
      </c>
      <c r="B28" s="285">
        <v>45244</v>
      </c>
      <c r="F28" s="291"/>
    </row>
    <row r="29" spans="1:6" x14ac:dyDescent="0.15">
      <c r="A29" s="292">
        <v>45245</v>
      </c>
      <c r="B29" s="285">
        <v>45245</v>
      </c>
      <c r="F29" s="291"/>
    </row>
    <row r="30" spans="1:6" x14ac:dyDescent="0.15">
      <c r="A30" s="292">
        <v>45246</v>
      </c>
      <c r="B30" s="285">
        <v>45246</v>
      </c>
      <c r="F30" s="291"/>
    </row>
    <row r="31" spans="1:6" x14ac:dyDescent="0.15">
      <c r="A31" s="292">
        <v>45247</v>
      </c>
      <c r="B31" s="285">
        <v>45247</v>
      </c>
      <c r="F31" s="291"/>
    </row>
    <row r="32" spans="1:6" x14ac:dyDescent="0.15">
      <c r="A32" s="292">
        <v>45248</v>
      </c>
      <c r="B32" s="285">
        <v>45248</v>
      </c>
      <c r="F32" s="291"/>
    </row>
    <row r="33" spans="1:6" x14ac:dyDescent="0.15">
      <c r="A33" s="292">
        <v>45249</v>
      </c>
      <c r="B33" s="285">
        <v>45249</v>
      </c>
      <c r="F33" s="291"/>
    </row>
    <row r="34" spans="1:6" x14ac:dyDescent="0.15">
      <c r="A34" s="292">
        <v>45249</v>
      </c>
      <c r="B34" s="285" t="s">
        <v>234</v>
      </c>
      <c r="F34" s="291"/>
    </row>
    <row r="35" spans="1:6" x14ac:dyDescent="0.15">
      <c r="A35" s="292">
        <v>45249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45250</v>
      </c>
      <c r="B38" s="297">
        <v>45250</v>
      </c>
      <c r="C38" s="296"/>
      <c r="D38" s="295"/>
      <c r="E38" s="294"/>
      <c r="F38" s="293"/>
    </row>
    <row r="39" spans="1:6" x14ac:dyDescent="0.15">
      <c r="A39" s="292">
        <v>45251</v>
      </c>
      <c r="B39" s="285">
        <v>45251</v>
      </c>
      <c r="F39" s="291"/>
    </row>
    <row r="40" spans="1:6" x14ac:dyDescent="0.15">
      <c r="A40" s="292">
        <v>45252</v>
      </c>
      <c r="B40" s="285">
        <v>45252</v>
      </c>
      <c r="F40" s="291"/>
    </row>
    <row r="41" spans="1:6" x14ac:dyDescent="0.15">
      <c r="A41" s="292">
        <v>45253</v>
      </c>
      <c r="B41" s="285">
        <v>45253</v>
      </c>
      <c r="F41" s="291"/>
    </row>
    <row r="42" spans="1:6" x14ac:dyDescent="0.15">
      <c r="A42" s="292">
        <v>45254</v>
      </c>
      <c r="B42" s="285">
        <v>45254</v>
      </c>
      <c r="F42" s="291"/>
    </row>
    <row r="43" spans="1:6" x14ac:dyDescent="0.15">
      <c r="A43" s="292">
        <v>45255</v>
      </c>
      <c r="B43" s="285">
        <v>45255</v>
      </c>
      <c r="F43" s="291"/>
    </row>
    <row r="44" spans="1:6" x14ac:dyDescent="0.15">
      <c r="A44" s="292">
        <v>45256</v>
      </c>
      <c r="B44" s="285">
        <v>45256</v>
      </c>
      <c r="F44" s="291"/>
    </row>
    <row r="45" spans="1:6" x14ac:dyDescent="0.15">
      <c r="A45" s="292">
        <v>45256</v>
      </c>
      <c r="B45" s="285" t="s">
        <v>234</v>
      </c>
      <c r="F45" s="291"/>
    </row>
    <row r="46" spans="1:6" x14ac:dyDescent="0.15">
      <c r="A46" s="292">
        <v>45256</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45257</v>
      </c>
      <c r="B5" s="297">
        <v>45257</v>
      </c>
      <c r="C5" s="296"/>
      <c r="D5" s="295"/>
      <c r="E5" s="294"/>
      <c r="F5" s="293"/>
    </row>
    <row r="6" spans="1:6" x14ac:dyDescent="0.15">
      <c r="A6" s="292">
        <v>45258</v>
      </c>
      <c r="B6" s="285">
        <v>45258</v>
      </c>
      <c r="F6" s="291"/>
    </row>
    <row r="7" spans="1:6" x14ac:dyDescent="0.15">
      <c r="A7" s="292">
        <v>45259</v>
      </c>
      <c r="B7" s="285">
        <v>45259</v>
      </c>
      <c r="F7" s="291"/>
    </row>
    <row r="8" spans="1:6" x14ac:dyDescent="0.15">
      <c r="A8" s="292">
        <v>45260</v>
      </c>
      <c r="B8" s="285">
        <v>45260</v>
      </c>
      <c r="F8" s="291"/>
    </row>
    <row r="9" spans="1:6" x14ac:dyDescent="0.15">
      <c r="A9" s="292">
        <v>45261</v>
      </c>
      <c r="B9" s="285">
        <v>45261</v>
      </c>
      <c r="F9" s="291"/>
    </row>
    <row r="10" spans="1:6" x14ac:dyDescent="0.15">
      <c r="A10" s="292">
        <v>45262</v>
      </c>
      <c r="B10" s="285">
        <v>45262</v>
      </c>
      <c r="F10" s="291"/>
    </row>
    <row r="11" spans="1:6" x14ac:dyDescent="0.15">
      <c r="A11" s="292">
        <v>45263</v>
      </c>
      <c r="B11" s="285">
        <v>45263</v>
      </c>
      <c r="F11" s="291"/>
    </row>
    <row r="12" spans="1:6" x14ac:dyDescent="0.15">
      <c r="A12" s="292">
        <v>45263</v>
      </c>
      <c r="B12" s="285" t="s">
        <v>234</v>
      </c>
      <c r="F12" s="291"/>
    </row>
    <row r="13" spans="1:6" x14ac:dyDescent="0.15">
      <c r="A13" s="292">
        <v>45263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45264</v>
      </c>
      <c r="B16" s="297">
        <v>45264</v>
      </c>
      <c r="C16" s="296"/>
      <c r="D16" s="295"/>
      <c r="E16" s="294"/>
      <c r="F16" s="293"/>
    </row>
    <row r="17" spans="1:6" x14ac:dyDescent="0.15">
      <c r="A17" s="292">
        <v>45265</v>
      </c>
      <c r="B17" s="285">
        <v>45265</v>
      </c>
      <c r="F17" s="291"/>
    </row>
    <row r="18" spans="1:6" x14ac:dyDescent="0.15">
      <c r="A18" s="292">
        <v>45266</v>
      </c>
      <c r="B18" s="285">
        <v>45266</v>
      </c>
      <c r="F18" s="291"/>
    </row>
    <row r="19" spans="1:6" x14ac:dyDescent="0.15">
      <c r="A19" s="292">
        <v>45267</v>
      </c>
      <c r="B19" s="285">
        <v>45267</v>
      </c>
      <c r="F19" s="291"/>
    </row>
    <row r="20" spans="1:6" x14ac:dyDescent="0.15">
      <c r="A20" s="292">
        <v>45268</v>
      </c>
      <c r="B20" s="285">
        <v>45268</v>
      </c>
      <c r="F20" s="291"/>
    </row>
    <row r="21" spans="1:6" x14ac:dyDescent="0.15">
      <c r="A21" s="292">
        <v>45269</v>
      </c>
      <c r="B21" s="285">
        <v>45269</v>
      </c>
      <c r="F21" s="291"/>
    </row>
    <row r="22" spans="1:6" x14ac:dyDescent="0.15">
      <c r="A22" s="292">
        <v>45270</v>
      </c>
      <c r="B22" s="285">
        <v>45270</v>
      </c>
      <c r="F22" s="291"/>
    </row>
    <row r="23" spans="1:6" x14ac:dyDescent="0.15">
      <c r="A23" s="292">
        <v>45270</v>
      </c>
      <c r="B23" s="285" t="s">
        <v>234</v>
      </c>
      <c r="F23" s="291"/>
    </row>
    <row r="24" spans="1:6" x14ac:dyDescent="0.15">
      <c r="A24" s="292">
        <v>45270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45271</v>
      </c>
      <c r="B27" s="297">
        <v>45271</v>
      </c>
      <c r="C27" s="296"/>
      <c r="D27" s="295"/>
      <c r="E27" s="294"/>
      <c r="F27" s="293"/>
    </row>
    <row r="28" spans="1:6" x14ac:dyDescent="0.15">
      <c r="A28" s="292">
        <v>45272</v>
      </c>
      <c r="B28" s="285">
        <v>45272</v>
      </c>
      <c r="F28" s="291"/>
    </row>
    <row r="29" spans="1:6" x14ac:dyDescent="0.15">
      <c r="A29" s="292">
        <v>45273</v>
      </c>
      <c r="B29" s="285">
        <v>45273</v>
      </c>
      <c r="F29" s="291"/>
    </row>
    <row r="30" spans="1:6" x14ac:dyDescent="0.15">
      <c r="A30" s="292">
        <v>45274</v>
      </c>
      <c r="B30" s="285">
        <v>45274</v>
      </c>
      <c r="F30" s="291"/>
    </row>
    <row r="31" spans="1:6" x14ac:dyDescent="0.15">
      <c r="A31" s="292">
        <v>45275</v>
      </c>
      <c r="B31" s="285">
        <v>45275</v>
      </c>
      <c r="F31" s="291"/>
    </row>
    <row r="32" spans="1:6" x14ac:dyDescent="0.15">
      <c r="A32" s="292">
        <v>45276</v>
      </c>
      <c r="B32" s="285">
        <v>45276</v>
      </c>
      <c r="F32" s="291"/>
    </row>
    <row r="33" spans="1:6" x14ac:dyDescent="0.15">
      <c r="A33" s="292">
        <v>45277</v>
      </c>
      <c r="B33" s="285">
        <v>45277</v>
      </c>
      <c r="F33" s="291"/>
    </row>
    <row r="34" spans="1:6" x14ac:dyDescent="0.15">
      <c r="A34" s="292">
        <v>45277</v>
      </c>
      <c r="B34" s="285" t="s">
        <v>234</v>
      </c>
      <c r="F34" s="291"/>
    </row>
    <row r="35" spans="1:6" x14ac:dyDescent="0.15">
      <c r="A35" s="292">
        <v>45277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45278</v>
      </c>
      <c r="B38" s="297">
        <v>45278</v>
      </c>
      <c r="C38" s="296"/>
      <c r="D38" s="295"/>
      <c r="E38" s="294"/>
      <c r="F38" s="293"/>
    </row>
    <row r="39" spans="1:6" x14ac:dyDescent="0.15">
      <c r="A39" s="292">
        <v>45279</v>
      </c>
      <c r="B39" s="285">
        <v>45279</v>
      </c>
      <c r="F39" s="291"/>
    </row>
    <row r="40" spans="1:6" x14ac:dyDescent="0.15">
      <c r="A40" s="292">
        <v>45280</v>
      </c>
      <c r="B40" s="285">
        <v>45280</v>
      </c>
      <c r="F40" s="291"/>
    </row>
    <row r="41" spans="1:6" x14ac:dyDescent="0.15">
      <c r="A41" s="292">
        <v>45281</v>
      </c>
      <c r="B41" s="285">
        <v>45281</v>
      </c>
      <c r="F41" s="291"/>
    </row>
    <row r="42" spans="1:6" x14ac:dyDescent="0.15">
      <c r="A42" s="292">
        <v>45282</v>
      </c>
      <c r="B42" s="285">
        <v>45282</v>
      </c>
      <c r="F42" s="291"/>
    </row>
    <row r="43" spans="1:6" x14ac:dyDescent="0.15">
      <c r="A43" s="292">
        <v>45283</v>
      </c>
      <c r="B43" s="285">
        <v>45283</v>
      </c>
      <c r="F43" s="291"/>
    </row>
    <row r="44" spans="1:6" x14ac:dyDescent="0.15">
      <c r="A44" s="292">
        <v>45284</v>
      </c>
      <c r="B44" s="285">
        <v>45284</v>
      </c>
      <c r="F44" s="291"/>
    </row>
    <row r="45" spans="1:6" x14ac:dyDescent="0.15">
      <c r="A45" s="292">
        <v>45284</v>
      </c>
      <c r="B45" s="285" t="s">
        <v>234</v>
      </c>
      <c r="F45" s="291"/>
    </row>
    <row r="46" spans="1:6" x14ac:dyDescent="0.15">
      <c r="A46" s="292">
        <v>45284</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45285</v>
      </c>
      <c r="B49" s="297">
        <v>45285</v>
      </c>
      <c r="C49" s="296"/>
      <c r="D49" s="295"/>
      <c r="E49" s="294"/>
      <c r="F49" s="293"/>
    </row>
    <row r="50" spans="1:6" x14ac:dyDescent="0.15">
      <c r="A50" s="292">
        <v>45286</v>
      </c>
      <c r="B50" s="285">
        <v>45286</v>
      </c>
      <c r="F50" s="291"/>
    </row>
    <row r="51" spans="1:6" x14ac:dyDescent="0.15">
      <c r="A51" s="292">
        <v>45287</v>
      </c>
      <c r="B51" s="285">
        <v>45287</v>
      </c>
      <c r="F51" s="291"/>
    </row>
    <row r="52" spans="1:6" x14ac:dyDescent="0.15">
      <c r="A52" s="292">
        <v>45288</v>
      </c>
      <c r="B52" s="285">
        <v>45288</v>
      </c>
      <c r="F52" s="291"/>
    </row>
    <row r="53" spans="1:6" x14ac:dyDescent="0.15">
      <c r="A53" s="292">
        <v>45289</v>
      </c>
      <c r="B53" s="285">
        <v>45289</v>
      </c>
      <c r="F53" s="291"/>
    </row>
    <row r="54" spans="1:6" x14ac:dyDescent="0.15">
      <c r="A54" s="292">
        <v>45290</v>
      </c>
      <c r="B54" s="285">
        <v>45290</v>
      </c>
      <c r="F54" s="291"/>
    </row>
    <row r="55" spans="1:6" x14ac:dyDescent="0.15">
      <c r="A55" s="292">
        <v>45291</v>
      </c>
      <c r="B55" s="285">
        <v>45291</v>
      </c>
      <c r="F55" s="291"/>
    </row>
    <row r="56" spans="1:6" x14ac:dyDescent="0.15">
      <c r="A56" s="292">
        <v>45291</v>
      </c>
      <c r="B56" s="285" t="s">
        <v>234</v>
      </c>
      <c r="F56" s="291"/>
    </row>
    <row r="57" spans="1:6" x14ac:dyDescent="0.15">
      <c r="A57" s="292">
        <v>45291</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45292</v>
      </c>
      <c r="B5" s="297">
        <v>45292</v>
      </c>
      <c r="C5" s="296"/>
      <c r="D5" s="295"/>
      <c r="E5" s="294"/>
      <c r="F5" s="293"/>
    </row>
    <row r="6" spans="1:6" x14ac:dyDescent="0.15">
      <c r="A6" s="292">
        <v>45293</v>
      </c>
      <c r="B6" s="285">
        <v>45293</v>
      </c>
      <c r="F6" s="291"/>
    </row>
    <row r="7" spans="1:6" x14ac:dyDescent="0.15">
      <c r="A7" s="292">
        <v>45294</v>
      </c>
      <c r="B7" s="285">
        <v>45294</v>
      </c>
      <c r="F7" s="291"/>
    </row>
    <row r="8" spans="1:6" x14ac:dyDescent="0.15">
      <c r="A8" s="292">
        <v>45295</v>
      </c>
      <c r="B8" s="285">
        <v>45295</v>
      </c>
      <c r="F8" s="291"/>
    </row>
    <row r="9" spans="1:6" x14ac:dyDescent="0.15">
      <c r="A9" s="292">
        <v>45296</v>
      </c>
      <c r="B9" s="285">
        <v>45296</v>
      </c>
      <c r="F9" s="291"/>
    </row>
    <row r="10" spans="1:6" x14ac:dyDescent="0.15">
      <c r="A10" s="292">
        <v>45297</v>
      </c>
      <c r="B10" s="285">
        <v>45297</v>
      </c>
      <c r="F10" s="291"/>
    </row>
    <row r="11" spans="1:6" x14ac:dyDescent="0.15">
      <c r="A11" s="292">
        <v>45298</v>
      </c>
      <c r="B11" s="285">
        <v>45298</v>
      </c>
      <c r="F11" s="291"/>
    </row>
    <row r="12" spans="1:6" x14ac:dyDescent="0.15">
      <c r="A12" s="292">
        <v>45298</v>
      </c>
      <c r="B12" s="285" t="s">
        <v>234</v>
      </c>
      <c r="F12" s="291"/>
    </row>
    <row r="13" spans="1:6" x14ac:dyDescent="0.15">
      <c r="A13" s="292">
        <v>45298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45299</v>
      </c>
      <c r="B16" s="297">
        <v>45299</v>
      </c>
      <c r="C16" s="296"/>
      <c r="D16" s="295"/>
      <c r="E16" s="294"/>
      <c r="F16" s="293"/>
    </row>
    <row r="17" spans="1:6" x14ac:dyDescent="0.15">
      <c r="A17" s="292">
        <v>45300</v>
      </c>
      <c r="B17" s="285">
        <v>45300</v>
      </c>
      <c r="F17" s="291"/>
    </row>
    <row r="18" spans="1:6" x14ac:dyDescent="0.15">
      <c r="A18" s="292">
        <v>45301</v>
      </c>
      <c r="B18" s="285">
        <v>45301</v>
      </c>
      <c r="F18" s="291"/>
    </row>
    <row r="19" spans="1:6" x14ac:dyDescent="0.15">
      <c r="A19" s="292">
        <v>45302</v>
      </c>
      <c r="B19" s="285">
        <v>45302</v>
      </c>
      <c r="F19" s="291"/>
    </row>
    <row r="20" spans="1:6" x14ac:dyDescent="0.15">
      <c r="A20" s="292">
        <v>45303</v>
      </c>
      <c r="B20" s="285">
        <v>45303</v>
      </c>
      <c r="F20" s="291"/>
    </row>
    <row r="21" spans="1:6" x14ac:dyDescent="0.15">
      <c r="A21" s="292">
        <v>45304</v>
      </c>
      <c r="B21" s="285">
        <v>45304</v>
      </c>
      <c r="F21" s="291"/>
    </row>
    <row r="22" spans="1:6" x14ac:dyDescent="0.15">
      <c r="A22" s="292">
        <v>45305</v>
      </c>
      <c r="B22" s="285">
        <v>45305</v>
      </c>
      <c r="F22" s="291"/>
    </row>
    <row r="23" spans="1:6" x14ac:dyDescent="0.15">
      <c r="A23" s="292">
        <v>45305</v>
      </c>
      <c r="B23" s="285" t="s">
        <v>234</v>
      </c>
      <c r="F23" s="291"/>
    </row>
    <row r="24" spans="1:6" x14ac:dyDescent="0.15">
      <c r="A24" s="292">
        <v>45305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45306</v>
      </c>
      <c r="B27" s="297">
        <v>45306</v>
      </c>
      <c r="C27" s="296"/>
      <c r="D27" s="295"/>
      <c r="E27" s="294"/>
      <c r="F27" s="293"/>
    </row>
    <row r="28" spans="1:6" x14ac:dyDescent="0.15">
      <c r="A28" s="292">
        <v>45307</v>
      </c>
      <c r="B28" s="285">
        <v>45307</v>
      </c>
      <c r="F28" s="291"/>
    </row>
    <row r="29" spans="1:6" x14ac:dyDescent="0.15">
      <c r="A29" s="292">
        <v>45308</v>
      </c>
      <c r="B29" s="285">
        <v>45308</v>
      </c>
      <c r="F29" s="291"/>
    </row>
    <row r="30" spans="1:6" x14ac:dyDescent="0.15">
      <c r="A30" s="292">
        <v>45309</v>
      </c>
      <c r="B30" s="285">
        <v>45309</v>
      </c>
      <c r="F30" s="291"/>
    </row>
    <row r="31" spans="1:6" x14ac:dyDescent="0.15">
      <c r="A31" s="292">
        <v>45310</v>
      </c>
      <c r="B31" s="285">
        <v>45310</v>
      </c>
      <c r="F31" s="291"/>
    </row>
    <row r="32" spans="1:6" x14ac:dyDescent="0.15">
      <c r="A32" s="292">
        <v>45311</v>
      </c>
      <c r="B32" s="285">
        <v>45311</v>
      </c>
      <c r="F32" s="291"/>
    </row>
    <row r="33" spans="1:6" x14ac:dyDescent="0.15">
      <c r="A33" s="292">
        <v>45312</v>
      </c>
      <c r="B33" s="285">
        <v>45312</v>
      </c>
      <c r="F33" s="291"/>
    </row>
    <row r="34" spans="1:6" x14ac:dyDescent="0.15">
      <c r="A34" s="292">
        <v>45312</v>
      </c>
      <c r="B34" s="285" t="s">
        <v>234</v>
      </c>
      <c r="F34" s="291"/>
    </row>
    <row r="35" spans="1:6" x14ac:dyDescent="0.15">
      <c r="A35" s="292">
        <v>45312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45313</v>
      </c>
      <c r="B38" s="297">
        <v>45313</v>
      </c>
      <c r="C38" s="296"/>
      <c r="D38" s="295"/>
      <c r="E38" s="294"/>
      <c r="F38" s="293"/>
    </row>
    <row r="39" spans="1:6" x14ac:dyDescent="0.15">
      <c r="A39" s="292">
        <v>45314</v>
      </c>
      <c r="B39" s="285">
        <v>45314</v>
      </c>
      <c r="F39" s="291"/>
    </row>
    <row r="40" spans="1:6" x14ac:dyDescent="0.15">
      <c r="A40" s="292">
        <v>45315</v>
      </c>
      <c r="B40" s="285">
        <v>45315</v>
      </c>
      <c r="F40" s="291"/>
    </row>
    <row r="41" spans="1:6" x14ac:dyDescent="0.15">
      <c r="A41" s="292">
        <v>45316</v>
      </c>
      <c r="B41" s="285">
        <v>45316</v>
      </c>
      <c r="F41" s="291"/>
    </row>
    <row r="42" spans="1:6" x14ac:dyDescent="0.15">
      <c r="A42" s="292">
        <v>45317</v>
      </c>
      <c r="B42" s="285">
        <v>45317</v>
      </c>
      <c r="F42" s="291"/>
    </row>
    <row r="43" spans="1:6" x14ac:dyDescent="0.15">
      <c r="A43" s="292">
        <v>45318</v>
      </c>
      <c r="B43" s="285">
        <v>45318</v>
      </c>
      <c r="F43" s="291"/>
    </row>
    <row r="44" spans="1:6" x14ac:dyDescent="0.15">
      <c r="A44" s="292">
        <v>45319</v>
      </c>
      <c r="B44" s="285">
        <v>45319</v>
      </c>
      <c r="F44" s="291"/>
    </row>
    <row r="45" spans="1:6" x14ac:dyDescent="0.15">
      <c r="A45" s="292">
        <v>45319</v>
      </c>
      <c r="B45" s="285" t="s">
        <v>234</v>
      </c>
      <c r="F45" s="291"/>
    </row>
    <row r="46" spans="1:6" x14ac:dyDescent="0.15">
      <c r="A46" s="292">
        <v>45319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45320</v>
      </c>
      <c r="B5" s="297">
        <v>45320</v>
      </c>
      <c r="C5" s="296"/>
      <c r="D5" s="295"/>
      <c r="E5" s="294"/>
      <c r="F5" s="293"/>
    </row>
    <row r="6" spans="1:6" x14ac:dyDescent="0.15">
      <c r="A6" s="292">
        <v>45321</v>
      </c>
      <c r="B6" s="285">
        <v>45321</v>
      </c>
      <c r="F6" s="291"/>
    </row>
    <row r="7" spans="1:6" x14ac:dyDescent="0.15">
      <c r="A7" s="292">
        <v>45322</v>
      </c>
      <c r="B7" s="285">
        <v>45322</v>
      </c>
      <c r="F7" s="291"/>
    </row>
    <row r="8" spans="1:6" x14ac:dyDescent="0.15">
      <c r="A8" s="292">
        <v>45323</v>
      </c>
      <c r="B8" s="285">
        <v>45323</v>
      </c>
      <c r="F8" s="291"/>
    </row>
    <row r="9" spans="1:6" x14ac:dyDescent="0.15">
      <c r="A9" s="292">
        <v>45324</v>
      </c>
      <c r="B9" s="285">
        <v>45324</v>
      </c>
      <c r="F9" s="291"/>
    </row>
    <row r="10" spans="1:6" x14ac:dyDescent="0.15">
      <c r="A10" s="292">
        <v>45325</v>
      </c>
      <c r="B10" s="285">
        <v>45325</v>
      </c>
      <c r="F10" s="291"/>
    </row>
    <row r="11" spans="1:6" x14ac:dyDescent="0.15">
      <c r="A11" s="292">
        <v>45326</v>
      </c>
      <c r="B11" s="285">
        <v>45326</v>
      </c>
      <c r="F11" s="291"/>
    </row>
    <row r="12" spans="1:6" x14ac:dyDescent="0.15">
      <c r="A12" s="292">
        <v>45326</v>
      </c>
      <c r="B12" s="285" t="s">
        <v>234</v>
      </c>
      <c r="F12" s="291"/>
    </row>
    <row r="13" spans="1:6" x14ac:dyDescent="0.15">
      <c r="A13" s="292">
        <v>45326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45327</v>
      </c>
      <c r="B16" s="297">
        <v>45327</v>
      </c>
      <c r="C16" s="296"/>
      <c r="D16" s="295"/>
      <c r="E16" s="294"/>
      <c r="F16" s="293"/>
    </row>
    <row r="17" spans="1:6" x14ac:dyDescent="0.15">
      <c r="A17" s="292">
        <v>45328</v>
      </c>
      <c r="B17" s="285">
        <v>45328</v>
      </c>
      <c r="F17" s="291"/>
    </row>
    <row r="18" spans="1:6" x14ac:dyDescent="0.15">
      <c r="A18" s="292">
        <v>45329</v>
      </c>
      <c r="B18" s="285">
        <v>45329</v>
      </c>
      <c r="F18" s="291"/>
    </row>
    <row r="19" spans="1:6" x14ac:dyDescent="0.15">
      <c r="A19" s="292">
        <v>45330</v>
      </c>
      <c r="B19" s="285">
        <v>45330</v>
      </c>
      <c r="F19" s="291"/>
    </row>
    <row r="20" spans="1:6" x14ac:dyDescent="0.15">
      <c r="A20" s="292">
        <v>45331</v>
      </c>
      <c r="B20" s="285">
        <v>45331</v>
      </c>
      <c r="F20" s="291"/>
    </row>
    <row r="21" spans="1:6" x14ac:dyDescent="0.15">
      <c r="A21" s="292">
        <v>45332</v>
      </c>
      <c r="B21" s="285">
        <v>45332</v>
      </c>
      <c r="F21" s="291"/>
    </row>
    <row r="22" spans="1:6" x14ac:dyDescent="0.15">
      <c r="A22" s="292">
        <v>45333</v>
      </c>
      <c r="B22" s="285">
        <v>45333</v>
      </c>
      <c r="F22" s="291"/>
    </row>
    <row r="23" spans="1:6" x14ac:dyDescent="0.15">
      <c r="A23" s="292">
        <v>45333</v>
      </c>
      <c r="B23" s="285" t="s">
        <v>234</v>
      </c>
      <c r="F23" s="291"/>
    </row>
    <row r="24" spans="1:6" x14ac:dyDescent="0.15">
      <c r="A24" s="292">
        <v>45333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45334</v>
      </c>
      <c r="B27" s="297">
        <v>45334</v>
      </c>
      <c r="C27" s="296"/>
      <c r="D27" s="295"/>
      <c r="E27" s="294"/>
      <c r="F27" s="293"/>
    </row>
    <row r="28" spans="1:6" x14ac:dyDescent="0.15">
      <c r="A28" s="292">
        <v>45335</v>
      </c>
      <c r="B28" s="285">
        <v>45335</v>
      </c>
      <c r="F28" s="291"/>
    </row>
    <row r="29" spans="1:6" x14ac:dyDescent="0.15">
      <c r="A29" s="292">
        <v>45336</v>
      </c>
      <c r="B29" s="285">
        <v>45336</v>
      </c>
      <c r="F29" s="291"/>
    </row>
    <row r="30" spans="1:6" x14ac:dyDescent="0.15">
      <c r="A30" s="292">
        <v>45337</v>
      </c>
      <c r="B30" s="285">
        <v>45337</v>
      </c>
      <c r="F30" s="291"/>
    </row>
    <row r="31" spans="1:6" x14ac:dyDescent="0.15">
      <c r="A31" s="292">
        <v>45338</v>
      </c>
      <c r="B31" s="285">
        <v>45338</v>
      </c>
      <c r="F31" s="291"/>
    </row>
    <row r="32" spans="1:6" x14ac:dyDescent="0.15">
      <c r="A32" s="292">
        <v>45339</v>
      </c>
      <c r="B32" s="285">
        <v>45339</v>
      </c>
      <c r="F32" s="291"/>
    </row>
    <row r="33" spans="1:6" x14ac:dyDescent="0.15">
      <c r="A33" s="292">
        <v>45340</v>
      </c>
      <c r="B33" s="285">
        <v>45340</v>
      </c>
      <c r="F33" s="291"/>
    </row>
    <row r="34" spans="1:6" x14ac:dyDescent="0.15">
      <c r="A34" s="292">
        <v>45340</v>
      </c>
      <c r="B34" s="285" t="s">
        <v>234</v>
      </c>
      <c r="F34" s="291"/>
    </row>
    <row r="35" spans="1:6" x14ac:dyDescent="0.15">
      <c r="A35" s="292">
        <v>45340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45341</v>
      </c>
      <c r="B38" s="297">
        <v>45341</v>
      </c>
      <c r="C38" s="296"/>
      <c r="D38" s="295"/>
      <c r="E38" s="294"/>
      <c r="F38" s="293"/>
    </row>
    <row r="39" spans="1:6" x14ac:dyDescent="0.15">
      <c r="A39" s="292">
        <v>45342</v>
      </c>
      <c r="B39" s="285">
        <v>45342</v>
      </c>
      <c r="F39" s="291"/>
    </row>
    <row r="40" spans="1:6" x14ac:dyDescent="0.15">
      <c r="A40" s="292">
        <v>45343</v>
      </c>
      <c r="B40" s="285">
        <v>45343</v>
      </c>
      <c r="F40" s="291"/>
    </row>
    <row r="41" spans="1:6" x14ac:dyDescent="0.15">
      <c r="A41" s="292">
        <v>45344</v>
      </c>
      <c r="B41" s="285">
        <v>45344</v>
      </c>
      <c r="F41" s="291"/>
    </row>
    <row r="42" spans="1:6" x14ac:dyDescent="0.15">
      <c r="A42" s="292">
        <v>45345</v>
      </c>
      <c r="B42" s="285">
        <v>45345</v>
      </c>
      <c r="F42" s="291"/>
    </row>
    <row r="43" spans="1:6" x14ac:dyDescent="0.15">
      <c r="A43" s="292">
        <v>45346</v>
      </c>
      <c r="B43" s="285">
        <v>45346</v>
      </c>
      <c r="F43" s="291"/>
    </row>
    <row r="44" spans="1:6" x14ac:dyDescent="0.15">
      <c r="A44" s="292">
        <v>45347</v>
      </c>
      <c r="B44" s="285">
        <v>45347</v>
      </c>
      <c r="F44" s="291"/>
    </row>
    <row r="45" spans="1:6" x14ac:dyDescent="0.15">
      <c r="A45" s="292">
        <v>45347</v>
      </c>
      <c r="B45" s="285" t="s">
        <v>234</v>
      </c>
      <c r="F45" s="291"/>
    </row>
    <row r="46" spans="1:6" x14ac:dyDescent="0.15">
      <c r="A46" s="292">
        <v>45347</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SUM(D4:D67)</f>
        <v>0</v>
      </c>
      <c r="E1" s="303">
        <f>SUM(E4:E67)/2</f>
        <v>0</v>
      </c>
      <c r="F1" s="303">
        <f>SUM(F4:F67)/2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45348</v>
      </c>
      <c r="B5" s="297">
        <v>45348</v>
      </c>
      <c r="C5" s="296"/>
      <c r="D5" s="295"/>
      <c r="E5" s="294"/>
      <c r="F5" s="293"/>
    </row>
    <row r="6" spans="1:6" x14ac:dyDescent="0.15">
      <c r="A6" s="292">
        <v>45349</v>
      </c>
      <c r="B6" s="285">
        <v>45349</v>
      </c>
      <c r="F6" s="291"/>
    </row>
    <row r="7" spans="1:6" x14ac:dyDescent="0.15">
      <c r="A7" s="292">
        <v>45350</v>
      </c>
      <c r="B7" s="285">
        <v>45350</v>
      </c>
      <c r="F7" s="291"/>
    </row>
    <row r="8" spans="1:6" x14ac:dyDescent="0.15">
      <c r="A8" s="292">
        <v>45351</v>
      </c>
      <c r="B8" s="285">
        <v>45351</v>
      </c>
      <c r="F8" s="291"/>
    </row>
    <row r="9" spans="1:6" x14ac:dyDescent="0.15">
      <c r="A9" s="292">
        <v>45352</v>
      </c>
      <c r="B9" s="285">
        <v>45352</v>
      </c>
      <c r="F9" s="291"/>
    </row>
    <row r="10" spans="1:6" x14ac:dyDescent="0.15">
      <c r="A10" s="292">
        <v>45353</v>
      </c>
      <c r="B10" s="285">
        <v>45353</v>
      </c>
      <c r="F10" s="291"/>
    </row>
    <row r="11" spans="1:6" x14ac:dyDescent="0.15">
      <c r="A11" s="292">
        <v>45354</v>
      </c>
      <c r="B11" s="285">
        <v>45354</v>
      </c>
      <c r="F11" s="291"/>
    </row>
    <row r="12" spans="1:6" x14ac:dyDescent="0.15">
      <c r="A12" s="292">
        <v>45354</v>
      </c>
      <c r="B12" s="285" t="s">
        <v>234</v>
      </c>
      <c r="F12" s="291"/>
    </row>
    <row r="13" spans="1:6" x14ac:dyDescent="0.15">
      <c r="A13" s="292">
        <v>45354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45355</v>
      </c>
      <c r="B16" s="297">
        <v>45355</v>
      </c>
      <c r="C16" s="296"/>
      <c r="D16" s="295"/>
      <c r="E16" s="294"/>
      <c r="F16" s="293"/>
    </row>
    <row r="17" spans="1:6" x14ac:dyDescent="0.15">
      <c r="A17" s="292">
        <v>45356</v>
      </c>
      <c r="B17" s="285">
        <v>45356</v>
      </c>
      <c r="F17" s="291"/>
    </row>
    <row r="18" spans="1:6" x14ac:dyDescent="0.15">
      <c r="A18" s="292">
        <v>45357</v>
      </c>
      <c r="B18" s="285">
        <v>45357</v>
      </c>
      <c r="F18" s="291"/>
    </row>
    <row r="19" spans="1:6" x14ac:dyDescent="0.15">
      <c r="A19" s="292">
        <v>45358</v>
      </c>
      <c r="B19" s="285">
        <v>45358</v>
      </c>
      <c r="F19" s="291"/>
    </row>
    <row r="20" spans="1:6" x14ac:dyDescent="0.15">
      <c r="A20" s="292">
        <v>45359</v>
      </c>
      <c r="B20" s="285">
        <v>45359</v>
      </c>
      <c r="F20" s="291"/>
    </row>
    <row r="21" spans="1:6" x14ac:dyDescent="0.15">
      <c r="A21" s="292">
        <v>45360</v>
      </c>
      <c r="B21" s="285">
        <v>45360</v>
      </c>
      <c r="F21" s="291"/>
    </row>
    <row r="22" spans="1:6" x14ac:dyDescent="0.15">
      <c r="A22" s="292">
        <v>45361</v>
      </c>
      <c r="B22" s="285">
        <v>45361</v>
      </c>
      <c r="F22" s="291"/>
    </row>
    <row r="23" spans="1:6" x14ac:dyDescent="0.15">
      <c r="A23" s="292">
        <v>45361</v>
      </c>
      <c r="B23" s="285" t="s">
        <v>234</v>
      </c>
      <c r="F23" s="291"/>
    </row>
    <row r="24" spans="1:6" x14ac:dyDescent="0.15">
      <c r="A24" s="292">
        <v>45361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45362</v>
      </c>
      <c r="B27" s="297">
        <v>45362</v>
      </c>
      <c r="C27" s="296"/>
      <c r="D27" s="295"/>
      <c r="E27" s="294"/>
      <c r="F27" s="293"/>
    </row>
    <row r="28" spans="1:6" x14ac:dyDescent="0.15">
      <c r="A28" s="292">
        <v>45363</v>
      </c>
      <c r="B28" s="285">
        <v>45363</v>
      </c>
      <c r="F28" s="291"/>
    </row>
    <row r="29" spans="1:6" x14ac:dyDescent="0.15">
      <c r="A29" s="292">
        <v>45364</v>
      </c>
      <c r="B29" s="285">
        <v>45364</v>
      </c>
      <c r="F29" s="291"/>
    </row>
    <row r="30" spans="1:6" x14ac:dyDescent="0.15">
      <c r="A30" s="292">
        <v>45365</v>
      </c>
      <c r="B30" s="285">
        <v>45365</v>
      </c>
      <c r="F30" s="291"/>
    </row>
    <row r="31" spans="1:6" x14ac:dyDescent="0.15">
      <c r="A31" s="292">
        <v>45366</v>
      </c>
      <c r="B31" s="285">
        <v>45366</v>
      </c>
      <c r="F31" s="291"/>
    </row>
    <row r="32" spans="1:6" x14ac:dyDescent="0.15">
      <c r="A32" s="292">
        <v>45367</v>
      </c>
      <c r="B32" s="285">
        <v>45367</v>
      </c>
      <c r="F32" s="291"/>
    </row>
    <row r="33" spans="1:6" x14ac:dyDescent="0.15">
      <c r="A33" s="292">
        <v>45368</v>
      </c>
      <c r="B33" s="285">
        <v>45368</v>
      </c>
      <c r="F33" s="291"/>
    </row>
    <row r="34" spans="1:6" x14ac:dyDescent="0.15">
      <c r="A34" s="292">
        <v>45368</v>
      </c>
      <c r="B34" s="285" t="s">
        <v>234</v>
      </c>
      <c r="F34" s="291"/>
    </row>
    <row r="35" spans="1:6" x14ac:dyDescent="0.15">
      <c r="A35" s="292">
        <v>45368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45369</v>
      </c>
      <c r="B38" s="297">
        <v>45369</v>
      </c>
      <c r="C38" s="296"/>
      <c r="D38" s="295"/>
      <c r="E38" s="294"/>
      <c r="F38" s="293"/>
    </row>
    <row r="39" spans="1:6" x14ac:dyDescent="0.15">
      <c r="A39" s="292">
        <v>45370</v>
      </c>
      <c r="B39" s="285">
        <v>45370</v>
      </c>
      <c r="F39" s="291"/>
    </row>
    <row r="40" spans="1:6" x14ac:dyDescent="0.15">
      <c r="A40" s="292">
        <v>45371</v>
      </c>
      <c r="B40" s="285">
        <v>45371</v>
      </c>
      <c r="F40" s="291"/>
    </row>
    <row r="41" spans="1:6" x14ac:dyDescent="0.15">
      <c r="A41" s="292">
        <v>45372</v>
      </c>
      <c r="B41" s="285">
        <v>45372</v>
      </c>
      <c r="F41" s="291"/>
    </row>
    <row r="42" spans="1:6" x14ac:dyDescent="0.15">
      <c r="A42" s="292">
        <v>45373</v>
      </c>
      <c r="B42" s="285">
        <v>45373</v>
      </c>
      <c r="F42" s="291"/>
    </row>
    <row r="43" spans="1:6" x14ac:dyDescent="0.15">
      <c r="A43" s="292">
        <v>45374</v>
      </c>
      <c r="B43" s="285">
        <v>45374</v>
      </c>
      <c r="F43" s="291"/>
    </row>
    <row r="44" spans="1:6" x14ac:dyDescent="0.15">
      <c r="A44" s="292">
        <v>45375</v>
      </c>
      <c r="B44" s="285">
        <v>45375</v>
      </c>
      <c r="F44" s="291"/>
    </row>
    <row r="45" spans="1:6" x14ac:dyDescent="0.15">
      <c r="A45" s="292">
        <v>45375</v>
      </c>
      <c r="B45" s="285" t="s">
        <v>234</v>
      </c>
      <c r="F45" s="291"/>
    </row>
    <row r="46" spans="1:6" x14ac:dyDescent="0.15">
      <c r="A46" s="292">
        <v>45375</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45376</v>
      </c>
      <c r="B49" s="297">
        <v>45376</v>
      </c>
      <c r="C49" s="296"/>
      <c r="D49" s="295"/>
      <c r="E49" s="294"/>
      <c r="F49" s="293"/>
    </row>
    <row r="50" spans="1:6" x14ac:dyDescent="0.15">
      <c r="A50" s="292">
        <v>45377</v>
      </c>
      <c r="B50" s="285">
        <v>45377</v>
      </c>
      <c r="F50" s="291"/>
    </row>
    <row r="51" spans="1:6" x14ac:dyDescent="0.15">
      <c r="A51" s="292">
        <v>45378</v>
      </c>
      <c r="B51" s="285">
        <v>45378</v>
      </c>
      <c r="F51" s="291"/>
    </row>
    <row r="52" spans="1:6" x14ac:dyDescent="0.15">
      <c r="A52" s="292">
        <v>45379</v>
      </c>
      <c r="B52" s="285">
        <v>45379</v>
      </c>
      <c r="F52" s="291"/>
    </row>
    <row r="53" spans="1:6" x14ac:dyDescent="0.15">
      <c r="A53" s="292">
        <v>45380</v>
      </c>
      <c r="B53" s="285">
        <v>45380</v>
      </c>
      <c r="F53" s="291"/>
    </row>
    <row r="54" spans="1:6" x14ac:dyDescent="0.15">
      <c r="A54" s="292">
        <v>45381</v>
      </c>
      <c r="B54" s="285">
        <v>45381</v>
      </c>
      <c r="F54" s="291"/>
    </row>
    <row r="55" spans="1:6" x14ac:dyDescent="0.15">
      <c r="A55" s="292">
        <v>45382</v>
      </c>
      <c r="B55" s="285">
        <v>45382</v>
      </c>
      <c r="F55" s="291"/>
    </row>
    <row r="56" spans="1:6" x14ac:dyDescent="0.15">
      <c r="A56" s="292">
        <v>45382</v>
      </c>
      <c r="B56" s="285" t="s">
        <v>234</v>
      </c>
      <c r="F56" s="291"/>
    </row>
    <row r="57" spans="1:6" x14ac:dyDescent="0.15">
      <c r="A57" s="292">
        <v>45382</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45383</v>
      </c>
      <c r="B60" s="297">
        <v>45383</v>
      </c>
      <c r="C60" s="296"/>
      <c r="D60" s="295"/>
      <c r="E60" s="294"/>
      <c r="F60" s="293"/>
    </row>
    <row r="61" spans="1:6" x14ac:dyDescent="0.15">
      <c r="A61" s="292">
        <v>45384</v>
      </c>
      <c r="B61" s="285">
        <v>45384</v>
      </c>
      <c r="F61" s="291"/>
    </row>
    <row r="62" spans="1:6" x14ac:dyDescent="0.15">
      <c r="A62" s="292">
        <v>45385</v>
      </c>
      <c r="B62" s="285">
        <v>45385</v>
      </c>
      <c r="F62" s="291"/>
    </row>
    <row r="63" spans="1:6" x14ac:dyDescent="0.15">
      <c r="A63" s="292">
        <v>45386</v>
      </c>
      <c r="B63" s="285">
        <v>45386</v>
      </c>
      <c r="F63" s="291"/>
    </row>
    <row r="64" spans="1:6" x14ac:dyDescent="0.15">
      <c r="A64" s="292">
        <v>45387</v>
      </c>
      <c r="B64" s="285">
        <v>45387</v>
      </c>
      <c r="F64" s="291"/>
    </row>
    <row r="65" spans="1:6" x14ac:dyDescent="0.15">
      <c r="A65" s="292">
        <v>45387</v>
      </c>
      <c r="B65" s="285" t="s">
        <v>234</v>
      </c>
      <c r="F65" s="291"/>
    </row>
    <row r="66" spans="1:6" x14ac:dyDescent="0.15">
      <c r="A66" s="292">
        <v>45387</v>
      </c>
      <c r="B66" s="285" t="s">
        <v>233</v>
      </c>
      <c r="F66" s="291"/>
    </row>
    <row r="67" spans="1:6" ht="14" thickBot="1" x14ac:dyDescent="0.2">
      <c r="A67" s="290"/>
      <c r="B67" s="289"/>
      <c r="C67" s="287"/>
      <c r="D67" s="288"/>
      <c r="E67" s="300">
        <f>SUM(E60:E66)</f>
        <v>0</v>
      </c>
      <c r="F67" s="299">
        <f>SUM(F60:F66)</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Assets'!$D$62,"ENTER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44985</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45016</v>
      </c>
      <c r="C3" s="119"/>
      <c r="D3" s="119"/>
      <c r="E3" s="119"/>
      <c r="F3" s="119"/>
      <c r="G3" s="125"/>
      <c r="H3" s="119"/>
      <c r="I3" s="119"/>
      <c r="J3" s="126"/>
      <c r="K3" s="126"/>
      <c r="L3" s="121"/>
      <c r="M3" s="119"/>
      <c r="N3" s="119"/>
      <c r="O3" s="119"/>
    </row>
    <row r="4" spans="1:15" ht="12" customHeight="1" thickBot="1" x14ac:dyDescent="0.2">
      <c r="A4" s="119"/>
      <c r="B4" s="127">
        <v>45022</v>
      </c>
      <c r="C4" s="119"/>
      <c r="D4" s="510" t="s">
        <v>132</v>
      </c>
      <c r="E4" s="510"/>
      <c r="F4" s="510"/>
      <c r="G4" s="128">
        <v>1</v>
      </c>
      <c r="H4" s="119"/>
      <c r="I4" s="510" t="s">
        <v>73</v>
      </c>
      <c r="J4" s="510"/>
      <c r="K4" s="510"/>
      <c r="L4" s="510"/>
      <c r="M4" s="510"/>
      <c r="N4" s="129">
        <v>12570</v>
      </c>
      <c r="O4" s="125" t="s">
        <v>50</v>
      </c>
    </row>
    <row r="5" spans="1:15" ht="12" customHeight="1" x14ac:dyDescent="0.15">
      <c r="A5" s="119"/>
      <c r="B5" s="123">
        <v>45046</v>
      </c>
      <c r="C5" s="119"/>
      <c r="D5" s="510" t="s">
        <v>74</v>
      </c>
      <c r="E5" s="510"/>
      <c r="F5" s="510"/>
      <c r="G5" s="128">
        <v>0.18</v>
      </c>
      <c r="H5" s="119"/>
      <c r="I5" s="510" t="inlineStr">
        <is>
          <t>Personal allowance taper threshold</t>
        </is>
      </c>
      <c r="J5" s="119"/>
      <c r="K5" s="119"/>
      <c r="L5" s="119"/>
      <c r="M5" s="119"/>
      <c r="N5" s="130">
        <v>100000</v>
      </c>
      <c r="O5" s="125"/>
    </row>
    <row r="6" spans="1:15" ht="12" customHeight="1" x14ac:dyDescent="0.15">
      <c r="A6" s="119"/>
      <c r="B6" s="123">
        <v>45077</v>
      </c>
      <c r="C6" s="119"/>
      <c r="D6" s="119"/>
      <c r="E6" s="119"/>
      <c r="F6" s="119"/>
      <c r="G6" s="125"/>
      <c r="H6" s="119"/>
      <c r="I6" s="510" t="s">
        <v>75</v>
      </c>
      <c r="J6" s="510"/>
      <c r="K6" s="510"/>
      <c r="L6" s="510"/>
      <c r="M6" s="510"/>
      <c r="N6" s="128">
        <v>0.2</v>
      </c>
      <c r="O6" s="125" t="s">
        <v>76</v>
      </c>
    </row>
    <row r="7" spans="1:15" ht="12" customHeight="1" x14ac:dyDescent="0.15">
      <c r="A7" s="119"/>
      <c r="B7" s="123">
        <v>45107</v>
      </c>
      <c r="C7" s="119"/>
      <c r="D7" s="510" t="s">
        <v>77</v>
      </c>
      <c r="E7" s="510"/>
      <c r="F7" s="510"/>
      <c r="G7" s="125"/>
      <c r="H7" s="119"/>
      <c r="I7" s="510" t="s">
        <v>78</v>
      </c>
      <c r="J7" s="510"/>
      <c r="K7" s="510"/>
      <c r="L7" s="510"/>
      <c r="M7" s="510"/>
      <c r="N7" s="128">
        <v>0.4</v>
      </c>
      <c r="O7" s="125" t="s">
        <v>76</v>
      </c>
    </row>
    <row r="8" spans="1:15" ht="12" customHeight="1" x14ac:dyDescent="0.15">
      <c r="A8" s="119"/>
      <c r="B8" s="123">
        <v>45138</v>
      </c>
      <c r="C8" s="119"/>
      <c r="D8" s="119"/>
      <c r="E8" s="130"/>
      <c r="F8" s="119"/>
      <c r="G8" s="130"/>
      <c r="H8" s="119"/>
      <c r="I8" s="510" t="inlineStr">
        <is>
          <t>Additional rate applicable above the higher rate limit</t>
        </is>
      </c>
      <c r="J8" s="119"/>
      <c r="K8" s="119"/>
      <c r="L8" s="119"/>
      <c r="M8" s="119"/>
      <c r="N8" s="128">
        <v>0.45</v>
      </c>
      <c r="O8" s="125"/>
    </row>
    <row r="9" spans="1:15" ht="12" customHeight="1" x14ac:dyDescent="0.15">
      <c r="A9" s="119"/>
      <c r="B9" s="123">
        <v>45169</v>
      </c>
      <c r="C9" s="119"/>
      <c r="D9" s="119"/>
      <c r="E9" s="125"/>
      <c r="F9" s="119"/>
      <c r="G9" s="125"/>
      <c r="H9" s="119"/>
      <c r="I9" s="510" t="s">
        <v>81</v>
      </c>
      <c r="J9" s="517"/>
      <c r="K9" s="517"/>
      <c r="L9" s="131" t="s">
        <v>82</v>
      </c>
      <c r="M9" s="131" t="s">
        <v>83</v>
      </c>
      <c r="N9" s="132" t="s">
        <v>84</v>
      </c>
      <c r="O9" s="125"/>
    </row>
    <row r="10" spans="1:15" ht="12" customHeight="1" x14ac:dyDescent="0.15">
      <c r="A10" s="119"/>
      <c r="B10" s="123">
        <v>45199</v>
      </c>
      <c r="C10" s="119"/>
      <c r="D10" s="119"/>
      <c r="E10" s="125"/>
      <c r="F10" s="119"/>
      <c r="G10" s="125"/>
      <c r="H10" s="119"/>
      <c r="I10" s="119"/>
      <c r="J10" s="119"/>
      <c r="K10" s="119"/>
      <c r="L10" s="119"/>
      <c r="M10" s="119"/>
      <c r="N10" s="125"/>
      <c r="O10" s="125"/>
    </row>
    <row r="11" spans="1:15" ht="12" customHeight="1" x14ac:dyDescent="0.15">
      <c r="A11" s="119"/>
      <c r="B11" s="123">
        <v>45230</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45260</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45291</v>
      </c>
      <c r="C13" s="119"/>
      <c r="D13" s="510" t="s">
        <v>88</v>
      </c>
      <c r="E13" s="510"/>
      <c r="F13" s="510"/>
      <c r="G13" s="128">
        <v>0</v>
      </c>
      <c r="H13" s="119"/>
      <c r="I13" s="119" t="inlineStr">
        <is>
          <t>Additional rate</t>
        </is>
      </c>
      <c r="J13" s="119"/>
      <c r="K13" s="133">
        <v>0.45</v>
      </c>
      <c r="L13" s="125">
        <v>125141</v>
      </c>
      <c r="M13" s="119"/>
      <c r="N13" s="130">
        <v>125140</v>
      </c>
      <c r="O13" s="119"/>
    </row>
    <row r="14" spans="1:15" ht="12" customHeight="1" x14ac:dyDescent="0.15">
      <c r="A14" s="119"/>
      <c r="B14" s="123">
        <v>45322</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45351</v>
      </c>
      <c r="C15" s="119"/>
      <c r="D15" s="510" t="s">
        <v>91</v>
      </c>
      <c r="E15" s="510"/>
      <c r="F15" s="510"/>
      <c r="G15" s="128">
        <v>0.2</v>
      </c>
      <c r="H15" s="119"/>
      <c r="I15" s="119"/>
      <c r="J15" s="119"/>
      <c r="K15" s="119"/>
      <c r="L15" s="119"/>
      <c r="M15" s="119"/>
      <c r="N15" s="119"/>
      <c r="O15" s="119"/>
    </row>
    <row r="16" spans="1:15" ht="12" customHeight="1" thickBot="1" x14ac:dyDescent="0.2">
      <c r="A16" s="119"/>
      <c r="B16" s="123">
        <v>45382</v>
      </c>
      <c r="C16" s="119"/>
      <c r="D16" s="510" t="s">
        <v>92</v>
      </c>
      <c r="E16" s="510"/>
      <c r="F16" s="510"/>
      <c r="G16" s="128">
        <v>0.33</v>
      </c>
      <c r="H16" s="119"/>
      <c r="I16" s="510" t="s">
        <v>93</v>
      </c>
      <c r="J16" s="510"/>
      <c r="K16" s="510"/>
      <c r="L16" s="135">
        <v>3.45</v>
      </c>
      <c r="M16" s="158" t="s">
        <v>313</v>
      </c>
      <c r="N16" s="119">
        <v>6725</v>
      </c>
      <c r="O16" s="119"/>
    </row>
    <row r="17" spans="1:15" ht="12" customHeight="1" thickBot="1" x14ac:dyDescent="0.2">
      <c r="A17" s="119"/>
      <c r="B17" s="127">
        <v>45387</v>
      </c>
      <c r="C17" s="119"/>
      <c r="D17" s="510" t="s">
        <v>94</v>
      </c>
      <c r="E17" s="510"/>
      <c r="F17" s="510"/>
      <c r="G17" s="128">
        <v>0.25</v>
      </c>
      <c r="H17" s="119"/>
      <c r="I17" s="119"/>
      <c r="J17" s="119"/>
      <c r="K17" s="119"/>
      <c r="L17" s="137"/>
      <c r="M17" s="119"/>
      <c r="N17" s="119"/>
      <c r="O17" s="119"/>
    </row>
    <row r="18" spans="1:15" ht="12" customHeight="1" x14ac:dyDescent="0.15">
      <c r="A18" s="119"/>
      <c r="B18" s="123">
        <v>45412</v>
      </c>
      <c r="C18" s="119"/>
      <c r="D18" s="119"/>
      <c r="E18" s="119"/>
      <c r="F18" s="119"/>
      <c r="G18" s="125"/>
      <c r="H18" s="119"/>
      <c r="I18" s="119"/>
      <c r="J18" s="119"/>
      <c r="K18" s="119"/>
      <c r="L18" s="119"/>
      <c r="M18" s="119"/>
      <c r="N18" s="119"/>
      <c r="O18" s="119"/>
    </row>
    <row r="19" spans="1:15" ht="12" customHeight="1" x14ac:dyDescent="0.15">
      <c r="A19" s="119"/>
      <c r="B19" s="123">
        <v>45443</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45473</v>
      </c>
      <c r="C20" s="119"/>
      <c r="D20" s="121"/>
      <c r="E20" s="121"/>
      <c r="F20" s="125"/>
      <c r="G20" s="125"/>
      <c r="H20" s="119"/>
      <c r="I20" s="522"/>
      <c r="J20" s="522"/>
      <c r="K20" s="522"/>
      <c r="L20" s="328">
        <v>0.09</v>
      </c>
      <c r="M20" s="521"/>
      <c r="N20" s="130">
        <v>12570</v>
      </c>
      <c r="O20" s="125" t="s">
        <v>50</v>
      </c>
    </row>
    <row r="21" spans="1:15" ht="12" customHeight="1" x14ac:dyDescent="0.15">
      <c r="A21" s="119"/>
      <c r="B21" s="123">
        <v>45688</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45869</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2023-24</t>
        </is>
      </c>
      <c r="C23" s="119"/>
      <c r="D23" s="119"/>
      <c r="E23" s="119"/>
      <c r="F23" s="125"/>
      <c r="G23" s="137"/>
      <c r="H23" s="119"/>
      <c r="I23" s="522"/>
      <c r="J23" s="522"/>
      <c r="K23" s="522"/>
      <c r="L23" s="328">
        <v>0.02</v>
      </c>
      <c r="M23" s="521"/>
      <c r="N23" s="130">
        <v>50270</v>
      </c>
      <c r="O23" s="125" t="s">
        <v>50</v>
      </c>
    </row>
    <row r="24" spans="1:15" ht="12" customHeight="1" thickBot="1" x14ac:dyDescent="0.2">
      <c r="A24" s="119"/>
      <c r="B24" s="127" t="inlineStr">
        <is>
          <t>2024-25</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85000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2026-03-31T22:02:53Z</dcterms:modified>
</cp:coreProperties>
</file>