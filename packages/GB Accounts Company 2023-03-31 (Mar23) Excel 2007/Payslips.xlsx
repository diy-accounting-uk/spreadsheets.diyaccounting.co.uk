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<sst xmlns="http://schemas.openxmlformats.org/spreadsheetml/2006/main" count="1383" uniqueCount="138">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</sst>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44657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44658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44659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44660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44661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44662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44663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44657</v>
      </c>
      <c r="N9" s="5"/>
      <c r="O9" s="163">
        <f>Admin!I1</f>
        <v>45021</v>
      </c>
      <c r="P9" s="145"/>
      <c r="Q9" s="140"/>
      <c r="R9" s="141"/>
      <c r="S9" s="141"/>
      <c r="T9" s="80"/>
      <c r="U9" s="345"/>
      <c r="W9" s="206">
        <f>Admin!B9</f>
        <v>44664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44665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44666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44667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44668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44669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44670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44671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44672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44673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44674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44675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44676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44677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44678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44679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44680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44681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44682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44683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44684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44685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44686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44687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44688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44689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44690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44691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44692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44693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44694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44695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44696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44697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44698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44699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44700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44701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44702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44703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44704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44705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44706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44707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44708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44709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44710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44711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44712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44713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44714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44715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44716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44717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44718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44719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44720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44721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44722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44723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44724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44725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44726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44727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44728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44729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44730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44731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44732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44733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44734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44735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44736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44737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44738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44739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44740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44741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44742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44743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44744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44745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44746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44747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44748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44749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44750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44751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44752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44753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44754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44755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44756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44757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44758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44759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44760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44761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44762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44763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44764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44765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44766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44767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44768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44769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44770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44771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44772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44773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44774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44775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44776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44777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44778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44779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44780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44781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44782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44783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44784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44785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44786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44787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44788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44789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44790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44791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44792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44793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44794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44795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44796</v>
      </c>
    </row>
    <row r="142" spans="1:23" x14ac:dyDescent="0.15">
      <c r="W142" s="206">
        <f>Admin!B142</f>
        <v>44797</v>
      </c>
    </row>
    <row r="143" spans="1:23" x14ac:dyDescent="0.15">
      <c r="W143" s="206">
        <f>Admin!B143</f>
        <v>44798</v>
      </c>
    </row>
    <row r="144" spans="1:23" x14ac:dyDescent="0.15">
      <c r="W144" s="206">
        <f>Admin!B144</f>
        <v>44799</v>
      </c>
    </row>
    <row r="145" spans="23:23" x14ac:dyDescent="0.15">
      <c r="W145" s="206">
        <f>Admin!B145</f>
        <v>44800</v>
      </c>
    </row>
    <row r="146" spans="23:23" x14ac:dyDescent="0.15">
      <c r="W146" s="206">
        <f>Admin!B146</f>
        <v>44801</v>
      </c>
    </row>
    <row r="147" spans="23:23" x14ac:dyDescent="0.15">
      <c r="W147" s="206">
        <f>Admin!B147</f>
        <v>44802</v>
      </c>
    </row>
    <row r="148" spans="23:23" x14ac:dyDescent="0.15">
      <c r="W148" s="206">
        <f>Admin!B148</f>
        <v>44803</v>
      </c>
    </row>
    <row r="149" spans="23:23" x14ac:dyDescent="0.15">
      <c r="W149" s="206">
        <f>Admin!B149</f>
        <v>44804</v>
      </c>
    </row>
    <row r="150" spans="23:23" x14ac:dyDescent="0.15">
      <c r="W150" s="206">
        <f>Admin!B150</f>
        <v>44805</v>
      </c>
    </row>
    <row r="151" spans="23:23" x14ac:dyDescent="0.15">
      <c r="W151" s="206">
        <f>Admin!B151</f>
        <v>44806</v>
      </c>
    </row>
    <row r="152" spans="23:23" x14ac:dyDescent="0.15">
      <c r="W152" s="206">
        <f>Admin!B152</f>
        <v>44807</v>
      </c>
    </row>
    <row r="153" spans="23:23" x14ac:dyDescent="0.15">
      <c r="W153" s="206">
        <f>Admin!B153</f>
        <v>44808</v>
      </c>
    </row>
    <row r="154" spans="23:23" x14ac:dyDescent="0.15">
      <c r="W154" s="206">
        <f>Admin!B154</f>
        <v>44809</v>
      </c>
    </row>
    <row r="155" spans="23:23" x14ac:dyDescent="0.15">
      <c r="W155" s="206">
        <f>Admin!B155</f>
        <v>44810</v>
      </c>
    </row>
    <row r="156" spans="23:23" x14ac:dyDescent="0.15">
      <c r="W156" s="206">
        <f>Admin!B156</f>
        <v>44811</v>
      </c>
    </row>
    <row r="157" spans="23:23" x14ac:dyDescent="0.15">
      <c r="W157" s="206">
        <f>Admin!B157</f>
        <v>44812</v>
      </c>
    </row>
    <row r="158" spans="23:23" x14ac:dyDescent="0.15">
      <c r="W158" s="206">
        <f>Admin!B158</f>
        <v>44813</v>
      </c>
    </row>
    <row r="159" spans="23:23" x14ac:dyDescent="0.15">
      <c r="W159" s="206">
        <f>Admin!B159</f>
        <v>44814</v>
      </c>
    </row>
    <row r="160" spans="23:23" x14ac:dyDescent="0.15">
      <c r="W160" s="206">
        <f>Admin!B160</f>
        <v>44815</v>
      </c>
    </row>
    <row r="161" spans="23:23" x14ac:dyDescent="0.15">
      <c r="W161" s="206">
        <f>Admin!B161</f>
        <v>44816</v>
      </c>
    </row>
    <row r="162" spans="23:23" x14ac:dyDescent="0.15">
      <c r="W162" s="206">
        <f>Admin!B162</f>
        <v>44817</v>
      </c>
    </row>
    <row r="163" spans="23:23" x14ac:dyDescent="0.15">
      <c r="W163" s="206">
        <f>Admin!B163</f>
        <v>44818</v>
      </c>
    </row>
    <row r="164" spans="23:23" x14ac:dyDescent="0.15">
      <c r="W164" s="206">
        <f>Admin!B164</f>
        <v>44819</v>
      </c>
    </row>
    <row r="165" spans="23:23" x14ac:dyDescent="0.15">
      <c r="W165" s="206">
        <f>Admin!B165</f>
        <v>44820</v>
      </c>
    </row>
    <row r="166" spans="23:23" x14ac:dyDescent="0.15">
      <c r="W166" s="206">
        <f>Admin!B166</f>
        <v>44821</v>
      </c>
    </row>
    <row r="167" spans="23:23" x14ac:dyDescent="0.15">
      <c r="W167" s="206">
        <f>Admin!B167</f>
        <v>44822</v>
      </c>
    </row>
    <row r="168" spans="23:23" x14ac:dyDescent="0.15">
      <c r="W168" s="206">
        <f>Admin!B168</f>
        <v>44823</v>
      </c>
    </row>
    <row r="169" spans="23:23" x14ac:dyDescent="0.15">
      <c r="W169" s="206">
        <f>Admin!B169</f>
        <v>44824</v>
      </c>
    </row>
    <row r="170" spans="23:23" x14ac:dyDescent="0.15">
      <c r="W170" s="206">
        <f>Admin!B170</f>
        <v>44825</v>
      </c>
    </row>
    <row r="171" spans="23:23" x14ac:dyDescent="0.15">
      <c r="W171" s="206">
        <f>Admin!B171</f>
        <v>44826</v>
      </c>
    </row>
    <row r="172" spans="23:23" x14ac:dyDescent="0.15">
      <c r="W172" s="206">
        <f>Admin!B172</f>
        <v>44827</v>
      </c>
    </row>
    <row r="173" spans="23:23" x14ac:dyDescent="0.15">
      <c r="W173" s="206">
        <f>Admin!B173</f>
        <v>44828</v>
      </c>
    </row>
    <row r="174" spans="23:23" x14ac:dyDescent="0.15">
      <c r="W174" s="206">
        <f>Admin!B174</f>
        <v>44829</v>
      </c>
    </row>
    <row r="175" spans="23:23" x14ac:dyDescent="0.15">
      <c r="W175" s="206">
        <f>Admin!B175</f>
        <v>44830</v>
      </c>
    </row>
    <row r="176" spans="23:23" x14ac:dyDescent="0.15">
      <c r="W176" s="206">
        <f>Admin!B176</f>
        <v>44831</v>
      </c>
    </row>
    <row r="177" spans="23:23" x14ac:dyDescent="0.15">
      <c r="W177" s="206">
        <f>Admin!B177</f>
        <v>44832</v>
      </c>
    </row>
    <row r="178" spans="23:23" x14ac:dyDescent="0.15">
      <c r="W178" s="206">
        <f>Admin!B178</f>
        <v>44833</v>
      </c>
    </row>
    <row r="179" spans="23:23" x14ac:dyDescent="0.15">
      <c r="W179" s="206">
        <f>Admin!B179</f>
        <v>44834</v>
      </c>
    </row>
    <row r="180" spans="23:23" x14ac:dyDescent="0.15">
      <c r="W180" s="206">
        <f>Admin!B180</f>
        <v>44835</v>
      </c>
    </row>
    <row r="181" spans="23:23" x14ac:dyDescent="0.15">
      <c r="W181" s="206">
        <f>Admin!B181</f>
        <v>44836</v>
      </c>
    </row>
    <row r="182" spans="23:23" x14ac:dyDescent="0.15">
      <c r="W182" s="206">
        <f>Admin!B182</f>
        <v>44837</v>
      </c>
    </row>
    <row r="183" spans="23:23" x14ac:dyDescent="0.15">
      <c r="W183" s="206">
        <f>Admin!B183</f>
        <v>44838</v>
      </c>
    </row>
    <row r="184" spans="23:23" x14ac:dyDescent="0.15">
      <c r="W184" s="206">
        <f>Admin!B184</f>
        <v>44839</v>
      </c>
    </row>
    <row r="185" spans="23:23" x14ac:dyDescent="0.15">
      <c r="W185" s="206">
        <f>Admin!B185</f>
        <v>44840</v>
      </c>
    </row>
    <row r="186" spans="23:23" x14ac:dyDescent="0.15">
      <c r="W186" s="206">
        <f>Admin!B186</f>
        <v>44841</v>
      </c>
    </row>
    <row r="187" spans="23:23" x14ac:dyDescent="0.15">
      <c r="W187" s="206">
        <f>Admin!B187</f>
        <v>44842</v>
      </c>
    </row>
    <row r="188" spans="23:23" x14ac:dyDescent="0.15">
      <c r="W188" s="206">
        <f>Admin!B188</f>
        <v>44843</v>
      </c>
    </row>
    <row r="189" spans="23:23" x14ac:dyDescent="0.15">
      <c r="W189" s="206">
        <f>Admin!B189</f>
        <v>44844</v>
      </c>
    </row>
    <row r="190" spans="23:23" x14ac:dyDescent="0.15">
      <c r="W190" s="206">
        <f>Admin!B190</f>
        <v>44845</v>
      </c>
    </row>
    <row r="191" spans="23:23" x14ac:dyDescent="0.15">
      <c r="W191" s="206">
        <f>Admin!B191</f>
        <v>44846</v>
      </c>
    </row>
    <row r="192" spans="23:23" x14ac:dyDescent="0.15">
      <c r="W192" s="206">
        <f>Admin!B192</f>
        <v>44847</v>
      </c>
    </row>
    <row r="193" spans="23:23" x14ac:dyDescent="0.15">
      <c r="W193" s="206">
        <f>Admin!B193</f>
        <v>44848</v>
      </c>
    </row>
    <row r="194" spans="23:23" x14ac:dyDescent="0.15">
      <c r="W194" s="206">
        <f>Admin!B194</f>
        <v>44849</v>
      </c>
    </row>
    <row r="195" spans="23:23" x14ac:dyDescent="0.15">
      <c r="W195" s="206">
        <f>Admin!B195</f>
        <v>44850</v>
      </c>
    </row>
    <row r="196" spans="23:23" x14ac:dyDescent="0.15">
      <c r="W196" s="206">
        <f>Admin!B196</f>
        <v>44851</v>
      </c>
    </row>
    <row r="197" spans="23:23" x14ac:dyDescent="0.15">
      <c r="W197" s="206">
        <f>Admin!B197</f>
        <v>44852</v>
      </c>
    </row>
    <row r="198" spans="23:23" x14ac:dyDescent="0.15">
      <c r="W198" s="206">
        <f>Admin!B198</f>
        <v>44853</v>
      </c>
    </row>
    <row r="199" spans="23:23" x14ac:dyDescent="0.15">
      <c r="W199" s="206">
        <f>Admin!B199</f>
        <v>44854</v>
      </c>
    </row>
    <row r="200" spans="23:23" x14ac:dyDescent="0.15">
      <c r="W200" s="206">
        <f>Admin!B200</f>
        <v>44855</v>
      </c>
    </row>
    <row r="201" spans="23:23" x14ac:dyDescent="0.15">
      <c r="W201" s="206">
        <f>Admin!B201</f>
        <v>44856</v>
      </c>
    </row>
    <row r="202" spans="23:23" x14ac:dyDescent="0.15">
      <c r="W202" s="206">
        <f>Admin!B202</f>
        <v>44857</v>
      </c>
    </row>
    <row r="203" spans="23:23" x14ac:dyDescent="0.15">
      <c r="W203" s="206">
        <f>Admin!B203</f>
        <v>44858</v>
      </c>
    </row>
    <row r="204" spans="23:23" x14ac:dyDescent="0.15">
      <c r="W204" s="206">
        <f>Admin!B204</f>
        <v>44859</v>
      </c>
    </row>
    <row r="205" spans="23:23" x14ac:dyDescent="0.15">
      <c r="W205" s="206">
        <f>Admin!B205</f>
        <v>44860</v>
      </c>
    </row>
    <row r="206" spans="23:23" x14ac:dyDescent="0.15">
      <c r="W206" s="206">
        <f>Admin!B206</f>
        <v>44861</v>
      </c>
    </row>
    <row r="207" spans="23:23" x14ac:dyDescent="0.15">
      <c r="W207" s="206">
        <f>Admin!B207</f>
        <v>44862</v>
      </c>
    </row>
    <row r="208" spans="23:23" x14ac:dyDescent="0.15">
      <c r="W208" s="206">
        <f>Admin!B208</f>
        <v>44863</v>
      </c>
    </row>
    <row r="209" spans="23:23" x14ac:dyDescent="0.15">
      <c r="W209" s="206">
        <f>Admin!B209</f>
        <v>44864</v>
      </c>
    </row>
    <row r="210" spans="23:23" x14ac:dyDescent="0.15">
      <c r="W210" s="206">
        <f>Admin!B210</f>
        <v>44865</v>
      </c>
    </row>
    <row r="211" spans="23:23" x14ac:dyDescent="0.15">
      <c r="W211" s="206">
        <f>Admin!B211</f>
        <v>44866</v>
      </c>
    </row>
    <row r="212" spans="23:23" x14ac:dyDescent="0.15">
      <c r="W212" s="206">
        <f>Admin!B212</f>
        <v>44867</v>
      </c>
    </row>
    <row r="213" spans="23:23" x14ac:dyDescent="0.15">
      <c r="W213" s="206">
        <f>Admin!B213</f>
        <v>44868</v>
      </c>
    </row>
    <row r="214" spans="23:23" x14ac:dyDescent="0.15">
      <c r="W214" s="206">
        <f>Admin!B214</f>
        <v>44869</v>
      </c>
    </row>
    <row r="215" spans="23:23" x14ac:dyDescent="0.15">
      <c r="W215" s="206">
        <f>Admin!B215</f>
        <v>44870</v>
      </c>
    </row>
    <row r="216" spans="23:23" x14ac:dyDescent="0.15">
      <c r="W216" s="206">
        <f>Admin!B216</f>
        <v>44871</v>
      </c>
    </row>
    <row r="217" spans="23:23" x14ac:dyDescent="0.15">
      <c r="W217" s="206">
        <f>Admin!B217</f>
        <v>44872</v>
      </c>
    </row>
    <row r="218" spans="23:23" x14ac:dyDescent="0.15">
      <c r="W218" s="206">
        <f>Admin!B218</f>
        <v>44873</v>
      </c>
    </row>
    <row r="219" spans="23:23" x14ac:dyDescent="0.15">
      <c r="W219" s="206">
        <f>Admin!B219</f>
        <v>44874</v>
      </c>
    </row>
    <row r="220" spans="23:23" x14ac:dyDescent="0.15">
      <c r="W220" s="206">
        <f>Admin!B220</f>
        <v>44875</v>
      </c>
    </row>
    <row r="221" spans="23:23" x14ac:dyDescent="0.15">
      <c r="W221" s="206">
        <f>Admin!B221</f>
        <v>44876</v>
      </c>
    </row>
    <row r="222" spans="23:23" x14ac:dyDescent="0.15">
      <c r="W222" s="206">
        <f>Admin!B222</f>
        <v>44877</v>
      </c>
    </row>
    <row r="223" spans="23:23" x14ac:dyDescent="0.15">
      <c r="W223" s="206">
        <f>Admin!B223</f>
        <v>44878</v>
      </c>
    </row>
    <row r="224" spans="23:23" x14ac:dyDescent="0.15">
      <c r="W224" s="206">
        <f>Admin!B224</f>
        <v>44879</v>
      </c>
    </row>
    <row r="225" spans="23:23" x14ac:dyDescent="0.15">
      <c r="W225" s="206">
        <f>Admin!B225</f>
        <v>44880</v>
      </c>
    </row>
    <row r="226" spans="23:23" x14ac:dyDescent="0.15">
      <c r="W226" s="206">
        <f>Admin!B226</f>
        <v>44881</v>
      </c>
    </row>
    <row r="227" spans="23:23" x14ac:dyDescent="0.15">
      <c r="W227" s="206">
        <f>Admin!B227</f>
        <v>44882</v>
      </c>
    </row>
    <row r="228" spans="23:23" x14ac:dyDescent="0.15">
      <c r="W228" s="206">
        <f>Admin!B228</f>
        <v>44883</v>
      </c>
    </row>
    <row r="229" spans="23:23" x14ac:dyDescent="0.15">
      <c r="W229" s="206">
        <f>Admin!B229</f>
        <v>44884</v>
      </c>
    </row>
    <row r="230" spans="23:23" x14ac:dyDescent="0.15">
      <c r="W230" s="206">
        <f>Admin!B230</f>
        <v>44885</v>
      </c>
    </row>
    <row r="231" spans="23:23" x14ac:dyDescent="0.15">
      <c r="W231" s="206">
        <f>Admin!B231</f>
        <v>44886</v>
      </c>
    </row>
    <row r="232" spans="23:23" x14ac:dyDescent="0.15">
      <c r="W232" s="206">
        <f>Admin!B232</f>
        <v>44887</v>
      </c>
    </row>
    <row r="233" spans="23:23" x14ac:dyDescent="0.15">
      <c r="W233" s="206">
        <f>Admin!B233</f>
        <v>44888</v>
      </c>
    </row>
    <row r="234" spans="23:23" x14ac:dyDescent="0.15">
      <c r="W234" s="206">
        <f>Admin!B234</f>
        <v>44889</v>
      </c>
    </row>
    <row r="235" spans="23:23" x14ac:dyDescent="0.15">
      <c r="W235" s="206">
        <f>Admin!B235</f>
        <v>44890</v>
      </c>
    </row>
    <row r="236" spans="23:23" x14ac:dyDescent="0.15">
      <c r="W236" s="206">
        <f>Admin!B236</f>
        <v>44891</v>
      </c>
    </row>
    <row r="237" spans="23:23" x14ac:dyDescent="0.15">
      <c r="W237" s="206">
        <f>Admin!B237</f>
        <v>44892</v>
      </c>
    </row>
    <row r="238" spans="23:23" x14ac:dyDescent="0.15">
      <c r="W238" s="206">
        <f>Admin!B238</f>
        <v>44893</v>
      </c>
    </row>
    <row r="239" spans="23:23" x14ac:dyDescent="0.15">
      <c r="W239" s="206">
        <f>Admin!B239</f>
        <v>44894</v>
      </c>
    </row>
    <row r="240" spans="23:23" x14ac:dyDescent="0.15">
      <c r="W240" s="206">
        <f>Admin!B240</f>
        <v>44895</v>
      </c>
    </row>
    <row r="241" spans="23:23" x14ac:dyDescent="0.15">
      <c r="W241" s="206">
        <f>Admin!B241</f>
        <v>44896</v>
      </c>
    </row>
    <row r="242" spans="23:23" x14ac:dyDescent="0.15">
      <c r="W242" s="206">
        <f>Admin!B242</f>
        <v>44897</v>
      </c>
    </row>
    <row r="243" spans="23:23" x14ac:dyDescent="0.15">
      <c r="W243" s="206">
        <f>Admin!B243</f>
        <v>44898</v>
      </c>
    </row>
    <row r="244" spans="23:23" x14ac:dyDescent="0.15">
      <c r="W244" s="206">
        <f>Admin!B244</f>
        <v>44899</v>
      </c>
    </row>
    <row r="245" spans="23:23" x14ac:dyDescent="0.15">
      <c r="W245" s="206">
        <f>Admin!B245</f>
        <v>44900</v>
      </c>
    </row>
    <row r="246" spans="23:23" x14ac:dyDescent="0.15">
      <c r="W246" s="206">
        <f>Admin!B246</f>
        <v>44901</v>
      </c>
    </row>
    <row r="247" spans="23:23" x14ac:dyDescent="0.15">
      <c r="W247" s="206">
        <f>Admin!B247</f>
        <v>44902</v>
      </c>
    </row>
    <row r="248" spans="23:23" x14ac:dyDescent="0.15">
      <c r="W248" s="206">
        <f>Admin!B248</f>
        <v>44903</v>
      </c>
    </row>
    <row r="249" spans="23:23" x14ac:dyDescent="0.15">
      <c r="W249" s="206">
        <f>Admin!B249</f>
        <v>44904</v>
      </c>
    </row>
    <row r="250" spans="23:23" x14ac:dyDescent="0.15">
      <c r="W250" s="206">
        <f>Admin!B250</f>
        <v>44905</v>
      </c>
    </row>
    <row r="251" spans="23:23" x14ac:dyDescent="0.15">
      <c r="W251" s="206">
        <f>Admin!B251</f>
        <v>44906</v>
      </c>
    </row>
    <row r="252" spans="23:23" x14ac:dyDescent="0.15">
      <c r="W252" s="206">
        <f>Admin!B252</f>
        <v>44907</v>
      </c>
    </row>
    <row r="253" spans="23:23" x14ac:dyDescent="0.15">
      <c r="W253" s="206">
        <f>Admin!B253</f>
        <v>44908</v>
      </c>
    </row>
    <row r="254" spans="23:23" x14ac:dyDescent="0.15">
      <c r="W254" s="206">
        <f>Admin!B254</f>
        <v>44909</v>
      </c>
    </row>
    <row r="255" spans="23:23" x14ac:dyDescent="0.15">
      <c r="W255" s="206">
        <f>Admin!B255</f>
        <v>44910</v>
      </c>
    </row>
    <row r="256" spans="23:23" x14ac:dyDescent="0.15">
      <c r="W256" s="206">
        <f>Admin!B256</f>
        <v>44911</v>
      </c>
    </row>
    <row r="257" spans="23:23" x14ac:dyDescent="0.15">
      <c r="W257" s="206">
        <f>Admin!B257</f>
        <v>44912</v>
      </c>
    </row>
    <row r="258" spans="23:23" x14ac:dyDescent="0.15">
      <c r="W258" s="206">
        <f>Admin!B258</f>
        <v>44913</v>
      </c>
    </row>
    <row r="259" spans="23:23" x14ac:dyDescent="0.15">
      <c r="W259" s="206">
        <f>Admin!B259</f>
        <v>44914</v>
      </c>
    </row>
    <row r="260" spans="23:23" x14ac:dyDescent="0.15">
      <c r="W260" s="206">
        <f>Admin!B260</f>
        <v>44915</v>
      </c>
    </row>
    <row r="261" spans="23:23" x14ac:dyDescent="0.15">
      <c r="W261" s="206">
        <f>Admin!B261</f>
        <v>44916</v>
      </c>
    </row>
    <row r="262" spans="23:23" x14ac:dyDescent="0.15">
      <c r="W262" s="206">
        <f>Admin!B262</f>
        <v>44917</v>
      </c>
    </row>
    <row r="263" spans="23:23" x14ac:dyDescent="0.15">
      <c r="W263" s="206">
        <f>Admin!B263</f>
        <v>44918</v>
      </c>
    </row>
    <row r="264" spans="23:23" x14ac:dyDescent="0.15">
      <c r="W264" s="206">
        <f>Admin!B264</f>
        <v>44919</v>
      </c>
    </row>
    <row r="265" spans="23:23" x14ac:dyDescent="0.15">
      <c r="W265" s="206">
        <f>Admin!B265</f>
        <v>44920</v>
      </c>
    </row>
    <row r="266" spans="23:23" x14ac:dyDescent="0.15">
      <c r="W266" s="206">
        <f>Admin!B266</f>
        <v>44921</v>
      </c>
    </row>
    <row r="267" spans="23:23" x14ac:dyDescent="0.15">
      <c r="W267" s="206">
        <f>Admin!B267</f>
        <v>44922</v>
      </c>
    </row>
    <row r="268" spans="23:23" x14ac:dyDescent="0.15">
      <c r="W268" s="206">
        <f>Admin!B268</f>
        <v>44923</v>
      </c>
    </row>
    <row r="269" spans="23:23" x14ac:dyDescent="0.15">
      <c r="W269" s="206">
        <f>Admin!B269</f>
        <v>44924</v>
      </c>
    </row>
    <row r="270" spans="23:23" x14ac:dyDescent="0.15">
      <c r="W270" s="206">
        <f>Admin!B270</f>
        <v>44925</v>
      </c>
    </row>
    <row r="271" spans="23:23" x14ac:dyDescent="0.15">
      <c r="W271" s="206">
        <f>Admin!B271</f>
        <v>44926</v>
      </c>
    </row>
    <row r="272" spans="23:23" x14ac:dyDescent="0.15">
      <c r="W272" s="206">
        <f>Admin!B272</f>
        <v>44927</v>
      </c>
    </row>
    <row r="273" spans="23:23" x14ac:dyDescent="0.15">
      <c r="W273" s="206">
        <f>Admin!B273</f>
        <v>44928</v>
      </c>
    </row>
    <row r="274" spans="23:23" x14ac:dyDescent="0.15">
      <c r="W274" s="206">
        <f>Admin!B274</f>
        <v>44929</v>
      </c>
    </row>
    <row r="275" spans="23:23" x14ac:dyDescent="0.15">
      <c r="W275" s="206">
        <f>Admin!B275</f>
        <v>44930</v>
      </c>
    </row>
    <row r="276" spans="23:23" x14ac:dyDescent="0.15">
      <c r="W276" s="206">
        <f>Admin!B276</f>
        <v>44931</v>
      </c>
    </row>
    <row r="277" spans="23:23" x14ac:dyDescent="0.15">
      <c r="W277" s="206">
        <f>Admin!B277</f>
        <v>44932</v>
      </c>
    </row>
    <row r="278" spans="23:23" x14ac:dyDescent="0.15">
      <c r="W278" s="206">
        <f>Admin!B278</f>
        <v>44933</v>
      </c>
    </row>
    <row r="279" spans="23:23" x14ac:dyDescent="0.15">
      <c r="W279" s="206">
        <f>Admin!B279</f>
        <v>44934</v>
      </c>
    </row>
    <row r="280" spans="23:23" x14ac:dyDescent="0.15">
      <c r="W280" s="206">
        <f>Admin!B280</f>
        <v>44935</v>
      </c>
    </row>
    <row r="281" spans="23:23" x14ac:dyDescent="0.15">
      <c r="W281" s="206">
        <f>Admin!B281</f>
        <v>44936</v>
      </c>
    </row>
    <row r="282" spans="23:23" x14ac:dyDescent="0.15">
      <c r="W282" s="206">
        <f>Admin!B282</f>
        <v>44937</v>
      </c>
    </row>
    <row r="283" spans="23:23" x14ac:dyDescent="0.15">
      <c r="W283" s="206">
        <f>Admin!B283</f>
        <v>44938</v>
      </c>
    </row>
    <row r="284" spans="23:23" x14ac:dyDescent="0.15">
      <c r="W284" s="206">
        <f>Admin!B284</f>
        <v>44939</v>
      </c>
    </row>
    <row r="285" spans="23:23" x14ac:dyDescent="0.15">
      <c r="W285" s="206">
        <f>Admin!B285</f>
        <v>44940</v>
      </c>
    </row>
    <row r="286" spans="23:23" x14ac:dyDescent="0.15">
      <c r="W286" s="206">
        <f>Admin!B286</f>
        <v>44941</v>
      </c>
    </row>
    <row r="287" spans="23:23" x14ac:dyDescent="0.15">
      <c r="W287" s="206">
        <f>Admin!B287</f>
        <v>44942</v>
      </c>
    </row>
    <row r="288" spans="23:23" x14ac:dyDescent="0.15">
      <c r="W288" s="206">
        <f>Admin!B288</f>
        <v>44943</v>
      </c>
    </row>
    <row r="289" spans="23:23" x14ac:dyDescent="0.15">
      <c r="W289" s="206">
        <f>Admin!B289</f>
        <v>44944</v>
      </c>
    </row>
    <row r="290" spans="23:23" x14ac:dyDescent="0.15">
      <c r="W290" s="206">
        <f>Admin!B290</f>
        <v>44945</v>
      </c>
    </row>
    <row r="291" spans="23:23" x14ac:dyDescent="0.15">
      <c r="W291" s="206">
        <f>Admin!B291</f>
        <v>44946</v>
      </c>
    </row>
    <row r="292" spans="23:23" x14ac:dyDescent="0.15">
      <c r="W292" s="206">
        <f>Admin!B292</f>
        <v>44947</v>
      </c>
    </row>
    <row r="293" spans="23:23" x14ac:dyDescent="0.15">
      <c r="W293" s="206">
        <f>Admin!B293</f>
        <v>44948</v>
      </c>
    </row>
    <row r="294" spans="23:23" x14ac:dyDescent="0.15">
      <c r="W294" s="206">
        <f>Admin!B294</f>
        <v>44949</v>
      </c>
    </row>
    <row r="295" spans="23:23" x14ac:dyDescent="0.15">
      <c r="W295" s="206">
        <f>Admin!B295</f>
        <v>44950</v>
      </c>
    </row>
    <row r="296" spans="23:23" x14ac:dyDescent="0.15">
      <c r="W296" s="206">
        <f>Admin!B296</f>
        <v>44951</v>
      </c>
    </row>
    <row r="297" spans="23:23" x14ac:dyDescent="0.15">
      <c r="W297" s="206">
        <f>Admin!B297</f>
        <v>44952</v>
      </c>
    </row>
    <row r="298" spans="23:23" x14ac:dyDescent="0.15">
      <c r="W298" s="206">
        <f>Admin!B298</f>
        <v>44953</v>
      </c>
    </row>
    <row r="299" spans="23:23" x14ac:dyDescent="0.15">
      <c r="W299" s="206">
        <f>Admin!B299</f>
        <v>44954</v>
      </c>
    </row>
    <row r="300" spans="23:23" x14ac:dyDescent="0.15">
      <c r="W300" s="206">
        <f>Admin!B300</f>
        <v>44955</v>
      </c>
    </row>
    <row r="301" spans="23:23" x14ac:dyDescent="0.15">
      <c r="W301" s="206">
        <f>Admin!B301</f>
        <v>44956</v>
      </c>
    </row>
    <row r="302" spans="23:23" x14ac:dyDescent="0.15">
      <c r="W302" s="206">
        <f>Admin!B302</f>
        <v>44957</v>
      </c>
    </row>
    <row r="303" spans="23:23" x14ac:dyDescent="0.15">
      <c r="W303" s="206">
        <f>Admin!B303</f>
        <v>44958</v>
      </c>
    </row>
    <row r="304" spans="23:23" x14ac:dyDescent="0.15">
      <c r="W304" s="206">
        <f>Admin!B304</f>
        <v>44959</v>
      </c>
    </row>
    <row r="305" spans="23:23" x14ac:dyDescent="0.15">
      <c r="W305" s="206">
        <f>Admin!B305</f>
        <v>44960</v>
      </c>
    </row>
    <row r="306" spans="23:23" x14ac:dyDescent="0.15">
      <c r="W306" s="206">
        <f>Admin!B306</f>
        <v>44961</v>
      </c>
    </row>
    <row r="307" spans="23:23" x14ac:dyDescent="0.15">
      <c r="W307" s="206">
        <f>Admin!B307</f>
        <v>44962</v>
      </c>
    </row>
    <row r="308" spans="23:23" x14ac:dyDescent="0.15">
      <c r="W308" s="206">
        <f>Admin!B308</f>
        <v>44963</v>
      </c>
    </row>
    <row r="309" spans="23:23" x14ac:dyDescent="0.15">
      <c r="W309" s="206">
        <f>Admin!B309</f>
        <v>44964</v>
      </c>
    </row>
    <row r="310" spans="23:23" x14ac:dyDescent="0.15">
      <c r="W310" s="206">
        <f>Admin!B310</f>
        <v>44965</v>
      </c>
    </row>
    <row r="311" spans="23:23" x14ac:dyDescent="0.15">
      <c r="W311" s="206">
        <f>Admin!B311</f>
        <v>44966</v>
      </c>
    </row>
    <row r="312" spans="23:23" x14ac:dyDescent="0.15">
      <c r="W312" s="206">
        <f>Admin!B312</f>
        <v>44967</v>
      </c>
    </row>
    <row r="313" spans="23:23" x14ac:dyDescent="0.15">
      <c r="W313" s="206">
        <f>Admin!B313</f>
        <v>44968</v>
      </c>
    </row>
    <row r="314" spans="23:23" x14ac:dyDescent="0.15">
      <c r="W314" s="206">
        <f>Admin!B314</f>
        <v>44969</v>
      </c>
    </row>
    <row r="315" spans="23:23" x14ac:dyDescent="0.15">
      <c r="W315" s="206">
        <f>Admin!B315</f>
        <v>44970</v>
      </c>
    </row>
    <row r="316" spans="23:23" x14ac:dyDescent="0.15">
      <c r="W316" s="206">
        <f>Admin!B316</f>
        <v>44971</v>
      </c>
    </row>
    <row r="317" spans="23:23" x14ac:dyDescent="0.15">
      <c r="W317" s="206">
        <f>Admin!B317</f>
        <v>44972</v>
      </c>
    </row>
    <row r="318" spans="23:23" x14ac:dyDescent="0.15">
      <c r="W318" s="206">
        <f>Admin!B318</f>
        <v>44973</v>
      </c>
    </row>
    <row r="319" spans="23:23" x14ac:dyDescent="0.15">
      <c r="W319" s="206">
        <f>Admin!B319</f>
        <v>44974</v>
      </c>
    </row>
    <row r="320" spans="23:23" x14ac:dyDescent="0.15">
      <c r="W320" s="206">
        <f>Admin!B320</f>
        <v>44975</v>
      </c>
    </row>
    <row r="321" spans="23:23" x14ac:dyDescent="0.15">
      <c r="W321" s="206">
        <f>Admin!B321</f>
        <v>44976</v>
      </c>
    </row>
    <row r="322" spans="23:23" x14ac:dyDescent="0.15">
      <c r="W322" s="206">
        <f>Admin!B322</f>
        <v>44977</v>
      </c>
    </row>
    <row r="323" spans="23:23" x14ac:dyDescent="0.15">
      <c r="W323" s="206">
        <f>Admin!B323</f>
        <v>44978</v>
      </c>
    </row>
    <row r="324" spans="23:23" x14ac:dyDescent="0.15">
      <c r="W324" s="206">
        <f>Admin!B324</f>
        <v>44979</v>
      </c>
    </row>
    <row r="325" spans="23:23" x14ac:dyDescent="0.15">
      <c r="W325" s="206">
        <f>Admin!B325</f>
        <v>44980</v>
      </c>
    </row>
    <row r="326" spans="23:23" x14ac:dyDescent="0.15">
      <c r="W326" s="206">
        <f>Admin!B326</f>
        <v>44981</v>
      </c>
    </row>
    <row r="327" spans="23:23" x14ac:dyDescent="0.15">
      <c r="W327" s="206">
        <f>Admin!B327</f>
        <v>44982</v>
      </c>
    </row>
    <row r="328" spans="23:23" x14ac:dyDescent="0.15">
      <c r="W328" s="206">
        <f>Admin!B328</f>
        <v>44983</v>
      </c>
    </row>
    <row r="329" spans="23:23" x14ac:dyDescent="0.15">
      <c r="W329" s="206">
        <f>Admin!B329</f>
        <v>44984</v>
      </c>
    </row>
    <row r="330" spans="23:23" x14ac:dyDescent="0.15">
      <c r="W330" s="206">
        <f>Admin!B330</f>
        <v>44985</v>
      </c>
    </row>
    <row r="331" spans="23:23" x14ac:dyDescent="0.15">
      <c r="W331" s="206">
        <f>Admin!B331</f>
        <v>44986</v>
      </c>
    </row>
    <row r="332" spans="23:23" x14ac:dyDescent="0.15">
      <c r="W332" s="206">
        <f>Admin!B332</f>
        <v>44987</v>
      </c>
    </row>
    <row r="333" spans="23:23" x14ac:dyDescent="0.15">
      <c r="W333" s="206">
        <f>Admin!B333</f>
        <v>44988</v>
      </c>
    </row>
    <row r="334" spans="23:23" x14ac:dyDescent="0.15">
      <c r="W334" s="206">
        <f>Admin!B334</f>
        <v>44989</v>
      </c>
    </row>
    <row r="335" spans="23:23" x14ac:dyDescent="0.15">
      <c r="W335" s="206">
        <f>Admin!B335</f>
        <v>44990</v>
      </c>
    </row>
    <row r="336" spans="23:23" x14ac:dyDescent="0.15">
      <c r="W336" s="206">
        <f>Admin!B336</f>
        <v>44991</v>
      </c>
    </row>
    <row r="337" spans="23:23" x14ac:dyDescent="0.15">
      <c r="W337" s="206">
        <f>Admin!B337</f>
        <v>44992</v>
      </c>
    </row>
    <row r="338" spans="23:23" x14ac:dyDescent="0.15">
      <c r="W338" s="206">
        <f>Admin!B338</f>
        <v>44993</v>
      </c>
    </row>
    <row r="339" spans="23:23" x14ac:dyDescent="0.15">
      <c r="W339" s="206">
        <f>Admin!B339</f>
        <v>44994</v>
      </c>
    </row>
    <row r="340" spans="23:23" x14ac:dyDescent="0.15">
      <c r="W340" s="206">
        <f>Admin!B340</f>
        <v>44995</v>
      </c>
    </row>
    <row r="341" spans="23:23" x14ac:dyDescent="0.15">
      <c r="W341" s="206">
        <f>Admin!B341</f>
        <v>44996</v>
      </c>
    </row>
    <row r="342" spans="23:23" x14ac:dyDescent="0.15">
      <c r="W342" s="206">
        <f>Admin!B342</f>
        <v>44997</v>
      </c>
    </row>
    <row r="343" spans="23:23" x14ac:dyDescent="0.15">
      <c r="W343" s="206">
        <f>Admin!B343</f>
        <v>44998</v>
      </c>
    </row>
    <row r="344" spans="23:23" x14ac:dyDescent="0.15">
      <c r="W344" s="206">
        <f>Admin!B344</f>
        <v>44999</v>
      </c>
    </row>
    <row r="345" spans="23:23" x14ac:dyDescent="0.15">
      <c r="W345" s="206">
        <f>Admin!B345</f>
        <v>45000</v>
      </c>
    </row>
    <row r="346" spans="23:23" x14ac:dyDescent="0.15">
      <c r="W346" s="206">
        <f>Admin!B346</f>
        <v>45001</v>
      </c>
    </row>
    <row r="347" spans="23:23" x14ac:dyDescent="0.15">
      <c r="W347" s="206">
        <f>Admin!B347</f>
        <v>45002</v>
      </c>
    </row>
    <row r="348" spans="23:23" x14ac:dyDescent="0.15">
      <c r="W348" s="206">
        <f>Admin!B348</f>
        <v>45003</v>
      </c>
    </row>
    <row r="349" spans="23:23" x14ac:dyDescent="0.15">
      <c r="W349" s="206">
        <f>Admin!B349</f>
        <v>45004</v>
      </c>
    </row>
    <row r="350" spans="23:23" x14ac:dyDescent="0.15">
      <c r="W350" s="206">
        <f>Admin!B350</f>
        <v>45005</v>
      </c>
    </row>
    <row r="351" spans="23:23" x14ac:dyDescent="0.15">
      <c r="W351" s="206">
        <f>Admin!B351</f>
        <v>45006</v>
      </c>
    </row>
    <row r="352" spans="23:23" x14ac:dyDescent="0.15">
      <c r="W352" s="206">
        <f>Admin!B352</f>
        <v>45007</v>
      </c>
    </row>
    <row r="353" spans="23:23" x14ac:dyDescent="0.15">
      <c r="W353" s="206">
        <f>Admin!B353</f>
        <v>45008</v>
      </c>
    </row>
    <row r="354" spans="23:23" x14ac:dyDescent="0.15">
      <c r="W354" s="206">
        <f>Admin!B354</f>
        <v>45009</v>
      </c>
    </row>
    <row r="355" spans="23:23" x14ac:dyDescent="0.15">
      <c r="W355" s="206">
        <f>Admin!B355</f>
        <v>45010</v>
      </c>
    </row>
    <row r="356" spans="23:23" x14ac:dyDescent="0.15">
      <c r="W356" s="206">
        <f>Admin!B356</f>
        <v>45011</v>
      </c>
    </row>
    <row r="357" spans="23:23" x14ac:dyDescent="0.15">
      <c r="W357" s="206">
        <f>Admin!B357</f>
        <v>45012</v>
      </c>
    </row>
    <row r="358" spans="23:23" x14ac:dyDescent="0.15">
      <c r="W358" s="206">
        <f>Admin!B358</f>
        <v>45013</v>
      </c>
    </row>
    <row r="359" spans="23:23" x14ac:dyDescent="0.15">
      <c r="W359" s="206">
        <f>Admin!B359</f>
        <v>45014</v>
      </c>
    </row>
    <row r="360" spans="23:23" x14ac:dyDescent="0.15">
      <c r="W360" s="206">
        <f>Admin!B360</f>
        <v>45015</v>
      </c>
    </row>
    <row r="361" spans="23:23" x14ac:dyDescent="0.15">
      <c r="W361" s="206">
        <f>Admin!B361</f>
        <v>45016</v>
      </c>
    </row>
    <row r="362" spans="23:23" x14ac:dyDescent="0.15">
      <c r="W362" s="206">
        <f>Admin!B362</f>
        <v>45017</v>
      </c>
    </row>
    <row r="363" spans="23:23" x14ac:dyDescent="0.15">
      <c r="W363" s="206">
        <f>Admin!B363</f>
        <v>45018</v>
      </c>
    </row>
    <row r="364" spans="23:23" x14ac:dyDescent="0.15">
      <c r="W364" s="206">
        <f>Admin!B364</f>
        <v>45019</v>
      </c>
    </row>
    <row r="365" spans="23:23" x14ac:dyDescent="0.15">
      <c r="W365" s="206">
        <f>Admin!B365</f>
        <v>45020</v>
      </c>
    </row>
    <row r="366" spans="23:23" x14ac:dyDescent="0.15">
      <c r="W366" s="206">
        <f>Admin!B366</f>
        <v>45021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44657</v>
      </c>
      <c r="L9" s="200" t="s">
        <v>76</v>
      </c>
      <c r="M9" s="202">
        <f>K9+(7-WEEKDAY(K9, 2))</f>
        <v>44661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44662</v>
      </c>
      <c r="L19" s="200" t="s">
        <v>76</v>
      </c>
      <c r="M19" s="202">
        <f>K19+6</f>
        <v>44668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44669</v>
      </c>
      <c r="L29" s="200" t="s">
        <v>76</v>
      </c>
      <c r="M29" s="202">
        <f>K29+6</f>
        <v>44675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44676</v>
      </c>
      <c r="L39" s="200" t="s">
        <v>76</v>
      </c>
      <c r="M39" s="202">
        <f>K39+6</f>
        <v>44682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DATE(2022,4,6)</f>
        <v>44657</v>
      </c>
      <c r="L49" s="203" t="s">
        <v>76</v>
      </c>
      <c r="M49" s="205">
        <f>DATE(2022,4,30)</f>
        <v>44681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44683</v>
      </c>
      <c r="L9" s="203" t="s">
        <v>76</v>
      </c>
      <c r="M9" s="205">
        <f>K9+6</f>
        <v>44689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44690</v>
      </c>
      <c r="L19" s="203" t="s">
        <v>76</v>
      </c>
      <c r="M19" s="205">
        <f>K19+6</f>
        <v>44696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44697</v>
      </c>
      <c r="L29" s="203" t="s">
        <v>76</v>
      </c>
      <c r="M29" s="205">
        <f>K29+6</f>
        <v>44703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44704</v>
      </c>
      <c r="L39" s="203" t="s">
        <v>76</v>
      </c>
      <c r="M39" s="205">
        <f>K39+6</f>
        <v>44710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DATE(2022,5,1)</f>
        <v>44682</v>
      </c>
      <c r="L49" s="203" t="s">
        <v>76</v>
      </c>
      <c r="M49" s="205">
        <f>DATE(2022,5,31)</f>
        <v>44712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44711</v>
      </c>
      <c r="L9" s="203" t="s">
        <v>76</v>
      </c>
      <c r="M9" s="205">
        <f>K9+6</f>
        <v>44717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44718</v>
      </c>
      <c r="L19" s="203" t="s">
        <v>76</v>
      </c>
      <c r="M19" s="205">
        <f>K19+6</f>
        <v>44724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44725</v>
      </c>
      <c r="L29" s="203" t="s">
        <v>76</v>
      </c>
      <c r="M29" s="205">
        <f>K29+6</f>
        <v>44731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44732</v>
      </c>
      <c r="L39" s="203" t="s">
        <v>76</v>
      </c>
      <c r="M39" s="205">
        <f>K39+6</f>
        <v>44738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44739</v>
      </c>
      <c r="L49" s="203" t="s">
        <v>76</v>
      </c>
      <c r="M49" s="205">
        <f>K49+6</f>
        <v>44745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DATE(2022,6,1)</f>
        <v>44713</v>
      </c>
      <c r="L59" s="203" t="s">
        <v>76</v>
      </c>
      <c r="M59" s="205">
        <f>DATE(2022,6,30)</f>
        <v>44742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44746</v>
      </c>
      <c r="L9" s="203" t="s">
        <v>76</v>
      </c>
      <c r="M9" s="205">
        <f>K9+6</f>
        <v>44752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44753</v>
      </c>
      <c r="L19" s="203" t="s">
        <v>76</v>
      </c>
      <c r="M19" s="205">
        <f>K19+6</f>
        <v>44759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44760</v>
      </c>
      <c r="L29" s="203" t="s">
        <v>76</v>
      </c>
      <c r="M29" s="205">
        <f>K29+6</f>
        <v>44766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44767</v>
      </c>
      <c r="L39" s="203" t="s">
        <v>76</v>
      </c>
      <c r="M39" s="205">
        <f>K39+6</f>
        <v>44773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DATE(2022,7,1)</f>
        <v>44743</v>
      </c>
      <c r="L49" s="203" t="s">
        <v>76</v>
      </c>
      <c r="M49" s="205">
        <f>DATE(2022,7,31)</f>
        <v>44773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44774</v>
      </c>
      <c r="L9" s="203" t="s">
        <v>76</v>
      </c>
      <c r="M9" s="205">
        <f>K9+6</f>
        <v>44780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44781</v>
      </c>
      <c r="L19" s="203" t="s">
        <v>76</v>
      </c>
      <c r="M19" s="205">
        <f>K19+6</f>
        <v>44787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44788</v>
      </c>
      <c r="L29" s="203" t="s">
        <v>76</v>
      </c>
      <c r="M29" s="205">
        <f>K29+6</f>
        <v>44794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44795</v>
      </c>
      <c r="L39" s="203" t="s">
        <v>76</v>
      </c>
      <c r="M39" s="205">
        <f>K39+6</f>
        <v>44801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DATE(2022,8,1)</f>
        <v>44774</v>
      </c>
      <c r="L49" s="203" t="s">
        <v>76</v>
      </c>
      <c r="M49" s="205">
        <f>DATE(2022,8,31)</f>
        <v>44804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44802</v>
      </c>
      <c r="L9" s="203" t="s">
        <v>76</v>
      </c>
      <c r="M9" s="205">
        <f>K9+6</f>
        <v>44808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44809</v>
      </c>
      <c r="L19" s="203" t="s">
        <v>76</v>
      </c>
      <c r="M19" s="205">
        <f>K19+6</f>
        <v>44815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44816</v>
      </c>
      <c r="L29" s="203" t="s">
        <v>76</v>
      </c>
      <c r="M29" s="205">
        <f>K29+6</f>
        <v>44822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44823</v>
      </c>
      <c r="L39" s="203" t="s">
        <v>76</v>
      </c>
      <c r="M39" s="205">
        <f>K39+6</f>
        <v>44829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44830</v>
      </c>
      <c r="L49" s="203" t="s">
        <v>76</v>
      </c>
      <c r="M49" s="205">
        <f>K49+6</f>
        <v>44836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DATE(2022,9,1)</f>
        <v>44805</v>
      </c>
      <c r="L59" s="203" t="s">
        <v>76</v>
      </c>
      <c r="M59" s="205">
        <f>DATE(2022,9,30)</f>
        <v>44834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44837</v>
      </c>
      <c r="L9" s="203" t="s">
        <v>76</v>
      </c>
      <c r="M9" s="205">
        <f>Admin!B188</f>
        <v>44843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44844</v>
      </c>
      <c r="L19" s="203" t="s">
        <v>76</v>
      </c>
      <c r="M19" s="205">
        <f>K19+6</f>
        <v>44850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44851</v>
      </c>
      <c r="L29" s="203" t="s">
        <v>76</v>
      </c>
      <c r="M29" s="205">
        <f>K29+6</f>
        <v>44857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44858</v>
      </c>
      <c r="L39" s="203" t="s">
        <v>76</v>
      </c>
      <c r="M39" s="205">
        <f>K39+6</f>
        <v>44864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DATE(2022,10,1)</f>
        <v>44835</v>
      </c>
      <c r="L49" s="203" t="s">
        <v>76</v>
      </c>
      <c r="M49" s="205">
        <f>DATE(2022,10,31)</f>
        <v>44865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44865</v>
      </c>
      <c r="L9" s="203" t="s">
        <v>76</v>
      </c>
      <c r="M9" s="205">
        <f>K9+6</f>
        <v>44871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44872</v>
      </c>
      <c r="L19" s="203" t="s">
        <v>76</v>
      </c>
      <c r="M19" s="205">
        <f>K19+6</f>
        <v>44878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44879</v>
      </c>
      <c r="L29" s="203" t="s">
        <v>76</v>
      </c>
      <c r="M29" s="205">
        <f>K29+6</f>
        <v>44885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44886</v>
      </c>
      <c r="L39" s="203" t="s">
        <v>76</v>
      </c>
      <c r="M39" s="205">
        <f>K39+6</f>
        <v>44892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DATE(2022,11,1)</f>
        <v>44866</v>
      </c>
      <c r="L49" s="203" t="s">
        <v>76</v>
      </c>
      <c r="M49" s="205">
        <f>DATE(2022,11,30)</f>
        <v>44895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44893</v>
      </c>
      <c r="L9" s="203" t="s">
        <v>76</v>
      </c>
      <c r="M9" s="205">
        <f>K9+6</f>
        <v>44899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44900</v>
      </c>
      <c r="L19" s="203" t="s">
        <v>76</v>
      </c>
      <c r="M19" s="205">
        <f>K19+6</f>
        <v>44906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44907</v>
      </c>
      <c r="L29" s="203" t="s">
        <v>76</v>
      </c>
      <c r="M29" s="205">
        <f>K29+6</f>
        <v>44913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44914</v>
      </c>
      <c r="L39" s="203" t="s">
        <v>76</v>
      </c>
      <c r="M39" s="205">
        <f>K39+6</f>
        <v>44920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44921</v>
      </c>
      <c r="L49" s="203" t="s">
        <v>76</v>
      </c>
      <c r="M49" s="205">
        <f>K49+6</f>
        <v>44927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DATE(2022,12,1)</f>
        <v>44896</v>
      </c>
      <c r="L59" s="203" t="s">
        <v>76</v>
      </c>
      <c r="M59" s="205">
        <f>DATE(2022,12,31)</f>
        <v>44926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44928</v>
      </c>
      <c r="L9" s="203" t="s">
        <v>76</v>
      </c>
      <c r="M9" s="205">
        <f>K9+6</f>
        <v>44934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44935</v>
      </c>
      <c r="L19" s="203" t="s">
        <v>76</v>
      </c>
      <c r="M19" s="205">
        <f>K19+6</f>
        <v>44941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44942</v>
      </c>
      <c r="L29" s="203" t="s">
        <v>76</v>
      </c>
      <c r="M29" s="205">
        <f>K29+6</f>
        <v>44948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44949</v>
      </c>
      <c r="L39" s="203" t="s">
        <v>76</v>
      </c>
      <c r="M39" s="205">
        <f>K39+6</f>
        <v>44955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DATE(2023,1,1)</f>
        <v>44927</v>
      </c>
      <c r="L49" s="203" t="s">
        <v>76</v>
      </c>
      <c r="M49" s="205">
        <f>DATE(2023,1,31)</f>
        <v>44957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44956</v>
      </c>
      <c r="L9" s="203" t="s">
        <v>76</v>
      </c>
      <c r="M9" s="205">
        <f>K9+6</f>
        <v>44962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44963</v>
      </c>
      <c r="L19" s="203" t="s">
        <v>76</v>
      </c>
      <c r="M19" s="205">
        <f>K19+6</f>
        <v>44969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44970</v>
      </c>
      <c r="L29" s="203" t="s">
        <v>76</v>
      </c>
      <c r="M29" s="205">
        <f>K29+6</f>
        <v>44976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44977</v>
      </c>
      <c r="L39" s="203" t="s">
        <v>76</v>
      </c>
      <c r="M39" s="205">
        <f>K39+6</f>
        <v>44983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DATE(2023,2,1)</f>
        <v>44958</v>
      </c>
      <c r="L49" s="203" t="s">
        <v>76</v>
      </c>
      <c r="M49" s="205">
        <f>DATE(2023,2,28)</f>
        <v>44985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44984</v>
      </c>
      <c r="L9" s="203" t="s">
        <v>76</v>
      </c>
      <c r="M9" s="205">
        <f>K9+6</f>
        <v>44990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44991</v>
      </c>
      <c r="L19" s="203" t="s">
        <v>76</v>
      </c>
      <c r="M19" s="205">
        <f>K19+6</f>
        <v>44997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44998</v>
      </c>
      <c r="L29" s="203" t="s">
        <v>76</v>
      </c>
      <c r="M29" s="205">
        <f>K29+6</f>
        <v>45004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45005</v>
      </c>
      <c r="L39" s="203" t="s">
        <v>76</v>
      </c>
      <c r="M39" s="205">
        <f>K39+6</f>
        <v>45011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45012</v>
      </c>
      <c r="L49" s="203" t="s">
        <v>76</v>
      </c>
      <c r="M49" s="205">
        <f>K49+6</f>
        <v>45018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45019</v>
      </c>
      <c r="L59" s="203" t="s">
        <v>76</v>
      </c>
      <c r="M59" s="205">
        <f>K59+4</f>
        <v>45023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DATE(2023,3,1)</f>
        <v>44986</v>
      </c>
      <c r="L69" s="203" t="s">
        <v>76</v>
      </c>
      <c r="M69" s="205">
        <f>DATE(2023,3,31)</f>
        <v>45016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44661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44661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44661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44661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44661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DATE(2022,4,30)</f>
        <v>44681</v>
      </c>
      <c r="C4" s="229">
        <f>DATE(2022,5,19)</f>
        <v>44700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2301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DATE(2022,5,31)</f>
        <v>44712</v>
      </c>
      <c r="C5" s="229">
        <f>DATE(2022,6,19)</f>
        <v>44731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2302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DATE(2022,6,30)</f>
        <v>44742</v>
      </c>
      <c r="C6" s="229">
        <f>DATE(2022,7,19)</f>
        <v>44761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2303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DATE(2022,7,31)</f>
        <v>44773</v>
      </c>
      <c r="C7" s="229">
        <f>DATE(2022,8,19)</f>
        <v>44792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2304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DATE(2022,8,31)</f>
        <v>44804</v>
      </c>
      <c r="C8" s="229">
        <f>DATE(2022,9,19)</f>
        <v>44823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2305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DATE(2022,9,30)</f>
        <v>44834</v>
      </c>
      <c r="C9" s="229">
        <f>DATE(2022,10,19)</f>
        <v>44853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2306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DATE(2022,10,31)</f>
        <v>44865</v>
      </c>
      <c r="C10" s="229">
        <f>DATE(2022,11,19)</f>
        <v>44884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2307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DATE(2022,11,30)</f>
        <v>44895</v>
      </c>
      <c r="C11" s="229">
        <f>DATE(2022,12,19)</f>
        <v>44914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2308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DATE(2022,12,31)</f>
        <v>44926</v>
      </c>
      <c r="C12" s="229">
        <f>DATE(2023,1,19)</f>
        <v>44945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2309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DATE(2023,1,31)</f>
        <v>44957</v>
      </c>
      <c r="C13" s="229">
        <f>DATE(2023,2,19)</f>
        <v>44976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2310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DATE(2023,2,28)</f>
        <v>44985</v>
      </c>
      <c r="C14" s="229">
        <f>DATE(2023,3,19)</f>
        <v>45004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2311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DATE(2023,3,31)</f>
        <v>45016</v>
      </c>
      <c r="C15" s="229">
        <f>DATE(2023,4,19)</f>
        <v>45035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2312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45021</v>
      </c>
      <c r="J1" s="493"/>
      <c r="K1" s="303"/>
      <c r="L1" s="303"/>
      <c r="M1" s="304"/>
      <c r="N1" s="305" t="str">
        <f>TEXT(YEAR(I1)-1,"0") &amp; "-" &amp; TEXT(YEAR(I1)-2000,"0")</f>
        <v>2022-23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44657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44658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44659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44660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44661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44662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44663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44664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44665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44666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44667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44668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44669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44670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44671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44672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44673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44674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44675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44676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44677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44678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44679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44680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44681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44682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44683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44684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44685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44686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44687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44688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44689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44690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44691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44692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44693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44694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44695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44696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44697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44698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44699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44700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44701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44702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44703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44704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44705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44706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44707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44708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44709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44710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44711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44712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44713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44714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44715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44716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44717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44718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44719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44720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44721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44722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44723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44724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44725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44726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44727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44728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44729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44730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44731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44732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44733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44734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44735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44736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44737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44738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44739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44740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44741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44742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44743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44744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44745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44746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44747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44748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44749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44750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44751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44752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44753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44754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44755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44756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44757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44758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44759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44760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44761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44762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44763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44764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44765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44766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44767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44768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44769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44770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44771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44772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44773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44774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44775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44776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44777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44778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44779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44780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44781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44782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44783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44784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44785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44786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44787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44788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44789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44790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44791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44792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44793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44794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44795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44796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44797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44798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44799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44800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44801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44802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44803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44804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44805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44806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44807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44808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44809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44810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44811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44812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44813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44814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44815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44816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44817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44818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44819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44820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44821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44822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44823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44824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44825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44826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44827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44828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44829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44830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44831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44832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44833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44834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44835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44836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44837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44838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44839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44840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44841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44842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44843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44844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44845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44846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44847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44848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44849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44850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44851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44852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44853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44854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44855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44856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44857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44858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44859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44860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44861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44862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44863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44864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44865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44866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44867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44868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44869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44870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44871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44872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44873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44874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44875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44876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44877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44878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44879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44880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44881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44882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44883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44884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44885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44886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44887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44888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44889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44890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44891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44892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44893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44894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44895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44896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44897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44898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44899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44900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44901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44902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44903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44904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44905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44906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44907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44908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44909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44910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44911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44912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44913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44914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44915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44916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44917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44918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44919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44920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44921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44922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44923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44924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44925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44926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44927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44928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44929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44930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44931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44932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44933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44934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44935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44936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44937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44938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44939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44940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44941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44942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44943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44944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44945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44946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44947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44948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44949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44950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44951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44952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44953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44954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44955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44956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44957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44958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44959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44960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44961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44962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44963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44964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44965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44966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44967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44968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44969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44970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44971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44972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44973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44974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44975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44976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44977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44978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44979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44980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44981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44982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44983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44984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44985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44986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44987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44988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44989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44990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44991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44992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44993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44994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44995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44996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44997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44998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44999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45000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45001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45002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45003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45004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45005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45006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45007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45008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45009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45010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45011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45012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45013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45014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45015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45016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45017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45018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45019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45020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45021</v>
      </c>
      <c r="C366" s="309">
        <v>53</v>
      </c>
      <c r="D366" s="309">
        <v>12</v>
      </c>
      <c r="E366" s="310">
        <f>B366</f>
        <v>45021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45022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45023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45024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45025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45026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45027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45028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45029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45030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45031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45032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45033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45034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45035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45036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