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<sst xmlns="http://schemas.openxmlformats.org/spreadsheetml/2006/main" count="1383" uniqueCount="138">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</sst>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45021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44661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44662</v>
      </c>
      <c r="L19" s="200" t="s">
        <v>76</v>
      </c>
      <c r="M19" s="202">
        <f>K19+6</f>
        <v>44668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44669</v>
      </c>
      <c r="L29" s="200" t="s">
        <v>76</v>
      </c>
      <c r="M29" s="202">
        <f>K29+6</f>
        <v>44675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44676</v>
      </c>
      <c r="L39" s="200" t="s">
        <v>76</v>
      </c>
      <c r="M39" s="202">
        <f>K39+6</f>
        <v>44682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DATE(2022,4,6)</f>
        <v>44657</v>
      </c>
      <c r="L49" s="203" t="s">
        <v>76</v>
      </c>
      <c r="M49" s="205">
        <f>DATE(2022,4,30)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44683</v>
      </c>
      <c r="L9" s="203" t="s">
        <v>76</v>
      </c>
      <c r="M9" s="205">
        <f>K9+6</f>
        <v>44689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44690</v>
      </c>
      <c r="L19" s="203" t="s">
        <v>76</v>
      </c>
      <c r="M19" s="205">
        <f>K19+6</f>
        <v>44696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44697</v>
      </c>
      <c r="L29" s="203" t="s">
        <v>76</v>
      </c>
      <c r="M29" s="205">
        <f>K29+6</f>
        <v>44703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44704</v>
      </c>
      <c r="L39" s="203" t="s">
        <v>76</v>
      </c>
      <c r="M39" s="205">
        <f>K39+6</f>
        <v>44710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DATE(2022,5,1)</f>
        <v>44682</v>
      </c>
      <c r="L49" s="203" t="s">
        <v>76</v>
      </c>
      <c r="M49" s="205">
        <f>DATE(2022,5,31)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44711</v>
      </c>
      <c r="L9" s="203" t="s">
        <v>76</v>
      </c>
      <c r="M9" s="205">
        <f>K9+6</f>
        <v>44717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44718</v>
      </c>
      <c r="L19" s="203" t="s">
        <v>76</v>
      </c>
      <c r="M19" s="205">
        <f>K19+6</f>
        <v>44724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44725</v>
      </c>
      <c r="L29" s="203" t="s">
        <v>76</v>
      </c>
      <c r="M29" s="205">
        <f>K29+6</f>
        <v>44731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44732</v>
      </c>
      <c r="L39" s="203" t="s">
        <v>76</v>
      </c>
      <c r="M39" s="205">
        <f>K39+6</f>
        <v>44738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44739</v>
      </c>
      <c r="L49" s="203" t="s">
        <v>76</v>
      </c>
      <c r="M49" s="205">
        <f>K49+6</f>
        <v>44745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DATE(2022,6,1)</f>
        <v>44713</v>
      </c>
      <c r="L59" s="203" t="s">
        <v>76</v>
      </c>
      <c r="M59" s="205">
        <f>DATE(2022,6,30)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44752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44753</v>
      </c>
      <c r="L19" s="203" t="s">
        <v>76</v>
      </c>
      <c r="M19" s="205">
        <f>K19+6</f>
        <v>44759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44760</v>
      </c>
      <c r="L29" s="203" t="s">
        <v>76</v>
      </c>
      <c r="M29" s="205">
        <f>K29+6</f>
        <v>44766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44767</v>
      </c>
      <c r="L39" s="203" t="s">
        <v>76</v>
      </c>
      <c r="M39" s="205">
        <f>K39+6</f>
        <v>44773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DATE(2022,7,1)</f>
        <v>44743</v>
      </c>
      <c r="L49" s="203" t="s">
        <v>76</v>
      </c>
      <c r="M49" s="205">
        <f>DATE(2022,7,31)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44780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44781</v>
      </c>
      <c r="L19" s="203" t="s">
        <v>76</v>
      </c>
      <c r="M19" s="205">
        <f>K19+6</f>
        <v>44787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44788</v>
      </c>
      <c r="L29" s="203" t="s">
        <v>76</v>
      </c>
      <c r="M29" s="205">
        <f>K29+6</f>
        <v>44794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44795</v>
      </c>
      <c r="L39" s="203" t="s">
        <v>76</v>
      </c>
      <c r="M39" s="205">
        <f>K39+6</f>
        <v>44801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DATE(2022,8,1)</f>
        <v>44774</v>
      </c>
      <c r="L49" s="203" t="s">
        <v>76</v>
      </c>
      <c r="M49" s="205">
        <f>DATE(2022,8,31)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44802</v>
      </c>
      <c r="L9" s="203" t="s">
        <v>76</v>
      </c>
      <c r="M9" s="205">
        <f>K9+6</f>
        <v>44808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44809</v>
      </c>
      <c r="L19" s="203" t="s">
        <v>76</v>
      </c>
      <c r="M19" s="205">
        <f>K19+6</f>
        <v>44815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44816</v>
      </c>
      <c r="L29" s="203" t="s">
        <v>76</v>
      </c>
      <c r="M29" s="205">
        <f>K29+6</f>
        <v>44822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44823</v>
      </c>
      <c r="L39" s="203" t="s">
        <v>76</v>
      </c>
      <c r="M39" s="205">
        <f>K39+6</f>
        <v>44829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44836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DATE(2022,9,1)</f>
        <v>44805</v>
      </c>
      <c r="L59" s="203" t="s">
        <v>76</v>
      </c>
      <c r="M59" s="205">
        <f>DATE(2022,9,30)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44844</v>
      </c>
      <c r="L19" s="203" t="s">
        <v>76</v>
      </c>
      <c r="M19" s="205">
        <f>K19+6</f>
        <v>44850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44851</v>
      </c>
      <c r="L29" s="203" t="s">
        <v>76</v>
      </c>
      <c r="M29" s="205">
        <f>K29+6</f>
        <v>44857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44858</v>
      </c>
      <c r="L39" s="203" t="s">
        <v>76</v>
      </c>
      <c r="M39" s="205">
        <f>K39+6</f>
        <v>44864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DATE(2022,10,1)</f>
        <v>44835</v>
      </c>
      <c r="L49" s="203" t="s">
        <v>76</v>
      </c>
      <c r="M49" s="205">
        <f>DATE(2022,10,31)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44871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44872</v>
      </c>
      <c r="L19" s="203" t="s">
        <v>76</v>
      </c>
      <c r="M19" s="205">
        <f>K19+6</f>
        <v>44878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44879</v>
      </c>
      <c r="L29" s="203" t="s">
        <v>76</v>
      </c>
      <c r="M29" s="205">
        <f>K29+6</f>
        <v>44885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44886</v>
      </c>
      <c r="L39" s="203" t="s">
        <v>76</v>
      </c>
      <c r="M39" s="205">
        <f>K39+6</f>
        <v>44892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DATE(2022,11,1)</f>
        <v>44866</v>
      </c>
      <c r="L49" s="203" t="s">
        <v>76</v>
      </c>
      <c r="M49" s="205">
        <f>DATE(2022,11,30)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44893</v>
      </c>
      <c r="L9" s="203" t="s">
        <v>76</v>
      </c>
      <c r="M9" s="205">
        <f>K9+6</f>
        <v>44899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44900</v>
      </c>
      <c r="L19" s="203" t="s">
        <v>76</v>
      </c>
      <c r="M19" s="205">
        <f>K19+6</f>
        <v>44906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44907</v>
      </c>
      <c r="L29" s="203" t="s">
        <v>76</v>
      </c>
      <c r="M29" s="205">
        <f>K29+6</f>
        <v>44913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44914</v>
      </c>
      <c r="L39" s="203" t="s">
        <v>76</v>
      </c>
      <c r="M39" s="205">
        <f>K39+6</f>
        <v>44920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44921</v>
      </c>
      <c r="L49" s="203" t="s">
        <v>76</v>
      </c>
      <c r="M49" s="205">
        <f>K49+6</f>
        <v>44927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DATE(2022,12,1)</f>
        <v>44896</v>
      </c>
      <c r="L59" s="203" t="s">
        <v>76</v>
      </c>
      <c r="M59" s="205">
        <f>DATE(2022,12,31)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44928</v>
      </c>
      <c r="L9" s="203" t="s">
        <v>76</v>
      </c>
      <c r="M9" s="205">
        <f>K9+6</f>
        <v>44934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44935</v>
      </c>
      <c r="L19" s="203" t="s">
        <v>76</v>
      </c>
      <c r="M19" s="205">
        <f>K19+6</f>
        <v>44941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44942</v>
      </c>
      <c r="L29" s="203" t="s">
        <v>76</v>
      </c>
      <c r="M29" s="205">
        <f>K29+6</f>
        <v>44948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44949</v>
      </c>
      <c r="L39" s="203" t="s">
        <v>76</v>
      </c>
      <c r="M39" s="205">
        <f>K39+6</f>
        <v>44955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DATE(2023,1,1)</f>
        <v>44927</v>
      </c>
      <c r="L49" s="203" t="s">
        <v>76</v>
      </c>
      <c r="M49" s="205">
        <f>DATE(2023,1,31)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44956</v>
      </c>
      <c r="L9" s="203" t="s">
        <v>76</v>
      </c>
      <c r="M9" s="205">
        <f>K9+6</f>
        <v>44962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44963</v>
      </c>
      <c r="L19" s="203" t="s">
        <v>76</v>
      </c>
      <c r="M19" s="205">
        <f>K19+6</f>
        <v>44969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44970</v>
      </c>
      <c r="L29" s="203" t="s">
        <v>76</v>
      </c>
      <c r="M29" s="205">
        <f>K29+6</f>
        <v>44976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44977</v>
      </c>
      <c r="L39" s="203" t="s">
        <v>76</v>
      </c>
      <c r="M39" s="205">
        <f>K39+6</f>
        <v>44983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DATE(2023,2,1)</f>
        <v>44958</v>
      </c>
      <c r="L49" s="203" t="s">
        <v>76</v>
      </c>
      <c r="M49" s="205">
        <f>DATE(2023,2,28)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44984</v>
      </c>
      <c r="L9" s="203" t="s">
        <v>76</v>
      </c>
      <c r="M9" s="205">
        <f>K9+6</f>
        <v>44990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44991</v>
      </c>
      <c r="L19" s="203" t="s">
        <v>76</v>
      </c>
      <c r="M19" s="205">
        <f>K19+6</f>
        <v>44997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44998</v>
      </c>
      <c r="L29" s="203" t="s">
        <v>76</v>
      </c>
      <c r="M29" s="205">
        <f>K29+6</f>
        <v>45004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45005</v>
      </c>
      <c r="L39" s="203" t="s">
        <v>76</v>
      </c>
      <c r="M39" s="205">
        <f>K39+6</f>
        <v>45011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45012</v>
      </c>
      <c r="L49" s="203" t="s">
        <v>76</v>
      </c>
      <c r="M49" s="205">
        <f>K49+6</f>
        <v>45018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45019</v>
      </c>
      <c r="L59" s="203" t="s">
        <v>76</v>
      </c>
      <c r="M59" s="205">
        <f>K59+4</f>
        <v>45023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DATE(2023,3,1)</f>
        <v>44986</v>
      </c>
      <c r="L69" s="203" t="s">
        <v>76</v>
      </c>
      <c r="M69" s="205">
        <f>DATE(2023,3,31)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44661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44661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44661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44661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44661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DATE(2022,4,30)</f>
        <v>44681</v>
      </c>
      <c r="C4" s="229">
        <f>DATE(2022,5,19)</f>
        <v>44700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2301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DATE(2022,5,31)</f>
        <v>44712</v>
      </c>
      <c r="C5" s="229">
        <f>DATE(2022,6,19)</f>
        <v>44731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2302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DATE(2022,6,30)</f>
        <v>44742</v>
      </c>
      <c r="C6" s="229">
        <f>DATE(2022,7,19)</f>
        <v>44761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2303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DATE(2022,7,31)</f>
        <v>44773</v>
      </c>
      <c r="C7" s="229">
        <f>DATE(2022,8,19)</f>
        <v>44792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2304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DATE(2022,8,31)</f>
        <v>44804</v>
      </c>
      <c r="C8" s="229">
        <f>DATE(2022,9,19)</f>
        <v>44823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2305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DATE(2022,9,30)</f>
        <v>44834</v>
      </c>
      <c r="C9" s="229">
        <f>DATE(2022,10,19)</f>
        <v>44853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2306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DATE(2022,10,31)</f>
        <v>44865</v>
      </c>
      <c r="C10" s="229">
        <f>DATE(2022,11,19)</f>
        <v>44884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2307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DATE(2022,11,30)</f>
        <v>44895</v>
      </c>
      <c r="C11" s="229">
        <f>DATE(2022,12,19)</f>
        <v>44914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2308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DATE(2022,12,31)</f>
        <v>44926</v>
      </c>
      <c r="C12" s="229">
        <f>DATE(2023,1,19)</f>
        <v>44945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2309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DATE(2023,1,31)</f>
        <v>44957</v>
      </c>
      <c r="C13" s="229">
        <f>DATE(2023,2,19)</f>
        <v>44976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2310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DATE(2023,2,28)</f>
        <v>44985</v>
      </c>
      <c r="C14" s="229">
        <f>DATE(2023,3,19)</f>
        <v>45004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2311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DATE(2023,3,31)</f>
        <v>45016</v>
      </c>
      <c r="C15" s="229">
        <f>DATE(2023,4,19)</f>
        <v>45035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2312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44657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45021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