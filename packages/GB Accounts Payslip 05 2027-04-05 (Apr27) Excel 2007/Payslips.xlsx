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40649C79-458A-FE4B-8510-69EF3739165D}" xr6:coauthVersionLast="47" xr6:coauthVersionMax="47" xr10:uidLastSave="{00000000-0000-0000-0000-000000000000}"/>
  <bookViews>
    <workbookView xWindow="12340" yWindow="1380" windowWidth="18620" windowHeight="1808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8" i="40"/>
  <c r="M37" i="40"/>
  <c r="M51" i="40"/>
  <c r="M66" i="40"/>
  <c r="M22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<sst xmlns="http://schemas.openxmlformats.org/spreadsheetml/2006/main" count="1383" uniqueCount="138">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</sst>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14" fontId="7" fillId="2" borderId="0" xfId="0" applyNumberFormat="1" applyFont="1" applyFill="1" applyAlignment="1">
      <alignment horizontal="left" wrapText="1"/>
    </xf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0" xfId="0" applyFont="1"/>
    <xf numFmtId="0" fontId="0" fillId="0" borderId="0" xfId="0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7" fillId="0" borderId="38" xfId="0" applyFont="1" applyBorder="1"/>
    <xf numFmtId="0" fontId="19" fillId="3" borderId="0" xfId="0" applyFont="1" applyFill="1" applyAlignment="1">
      <alignment horizontal="center"/>
    </xf>
    <xf numFmtId="0" fontId="21" fillId="0" borderId="0" xfId="0" applyFont="1" applyAlignment="1">
      <alignment horizontal="center" wrapText="1"/>
    </xf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0" fontId="27" fillId="0" borderId="0" xfId="0" applyFont="1"/>
    <xf numFmtId="164" fontId="8" fillId="3" borderId="21" xfId="0" applyNumberFormat="1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8" fillId="3" borderId="23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6" fillId="3" borderId="0" xfId="0" applyFont="1" applyFill="1" applyAlignment="1" applyProtection="1">
      <alignment horizontal="left" vertical="center" indent="1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0" fontId="43" fillId="0" borderId="0" xfId="0" applyFont="1" applyAlignment="1">
      <alignment horizontal="left" vertical="center" indent="1"/>
    </xf>
    <xf numFmtId="0" fontId="41" fillId="0" borderId="0" xfId="0" applyFont="1" applyProtection="1"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53"/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49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9"/>
      <c r="W2" s="206">
        <f>Admin!B2</f>
        <v>46118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48" t="s">
        <v>135</v>
      </c>
      <c r="I3" s="348"/>
      <c r="J3" s="348"/>
      <c r="K3" s="348"/>
      <c r="L3" s="348"/>
      <c r="M3" s="348"/>
      <c r="N3" s="5"/>
      <c r="O3" s="62"/>
      <c r="P3" s="143"/>
      <c r="Q3" s="345" t="s">
        <v>66</v>
      </c>
      <c r="R3" s="346"/>
      <c r="S3" s="347"/>
      <c r="T3" s="80"/>
      <c r="U3" s="349"/>
      <c r="W3" s="206">
        <f>Admin!B3</f>
        <v>46119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9"/>
      <c r="W4" s="206">
        <f>Admin!B4</f>
        <v>46120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36"/>
      <c r="E5" s="337"/>
      <c r="F5" s="338"/>
      <c r="G5" s="5"/>
      <c r="H5" s="342" t="s">
        <v>137</v>
      </c>
      <c r="I5" s="342"/>
      <c r="J5" s="342"/>
      <c r="K5" s="342"/>
      <c r="L5" s="342"/>
      <c r="M5" s="342"/>
      <c r="N5" s="342"/>
      <c r="O5" s="342"/>
      <c r="P5" s="68"/>
      <c r="Q5" s="5"/>
      <c r="R5" s="79"/>
      <c r="S5" s="79"/>
      <c r="T5" s="80"/>
      <c r="U5" s="349"/>
      <c r="V5" s="3" t="s">
        <v>78</v>
      </c>
      <c r="W5" s="206">
        <f>Admin!B5</f>
        <v>46121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36"/>
      <c r="E6" s="337"/>
      <c r="F6" s="338"/>
      <c r="G6" s="5"/>
      <c r="H6" s="342"/>
      <c r="I6" s="342"/>
      <c r="J6" s="342"/>
      <c r="K6" s="342"/>
      <c r="L6" s="342"/>
      <c r="M6" s="342"/>
      <c r="N6" s="342"/>
      <c r="O6" s="342"/>
      <c r="P6" s="68"/>
      <c r="Q6" s="5"/>
      <c r="R6" s="79"/>
      <c r="S6" s="79"/>
      <c r="T6" s="80"/>
      <c r="U6" s="349"/>
      <c r="V6" s="3" t="s">
        <v>79</v>
      </c>
      <c r="W6" s="206">
        <f>Admin!B6</f>
        <v>46122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36"/>
      <c r="E7" s="337"/>
      <c r="F7" s="338"/>
      <c r="G7" s="5"/>
      <c r="H7" s="342"/>
      <c r="I7" s="342"/>
      <c r="J7" s="342"/>
      <c r="K7" s="342"/>
      <c r="L7" s="342"/>
      <c r="M7" s="342"/>
      <c r="N7" s="342"/>
      <c r="O7" s="342"/>
      <c r="P7" s="68"/>
      <c r="Q7" s="5"/>
      <c r="R7" s="79"/>
      <c r="S7" s="79"/>
      <c r="T7" s="80"/>
      <c r="U7" s="349"/>
      <c r="V7" s="3" t="s">
        <v>80</v>
      </c>
      <c r="W7" s="206">
        <f>Admin!B7</f>
        <v>46123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9"/>
      <c r="V8" s="3" t="s">
        <v>78</v>
      </c>
      <c r="W8" s="206">
        <f>Admin!B8</f>
        <v>46124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46118</v>
      </c>
      <c r="N9" s="5"/>
      <c r="O9" s="163">
        <f>Admin!I1</f>
        <v>46482</v>
      </c>
      <c r="P9" s="145"/>
      <c r="Q9" s="140"/>
      <c r="R9" s="141"/>
      <c r="S9" s="141"/>
      <c r="T9" s="80"/>
      <c r="U9" s="349"/>
      <c r="W9" s="206">
        <f>Admin!B9</f>
        <v>46125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9"/>
      <c r="V10" s="3" t="s">
        <v>81</v>
      </c>
      <c r="W10" s="206">
        <f>Admin!B10</f>
        <v>46126</v>
      </c>
      <c r="X10" s="3">
        <f t="shared" si="0"/>
        <v>9</v>
      </c>
    </row>
    <row r="11" spans="1:24" ht="15" customHeight="1" thickBot="1" x14ac:dyDescent="0.2">
      <c r="A11" s="351"/>
      <c r="B11" s="351"/>
      <c r="C11" s="351"/>
      <c r="D11" s="351"/>
      <c r="E11" s="351"/>
      <c r="F11" s="351"/>
      <c r="G11" s="351"/>
      <c r="H11" s="351"/>
      <c r="I11" s="351"/>
      <c r="J11" s="351"/>
      <c r="K11" s="351"/>
      <c r="L11" s="351"/>
      <c r="M11" s="351"/>
      <c r="N11" s="351"/>
      <c r="O11" s="351"/>
      <c r="P11" s="351"/>
      <c r="Q11" s="351"/>
      <c r="R11" s="352"/>
      <c r="S11" s="352"/>
      <c r="T11" s="352"/>
      <c r="U11" s="349"/>
      <c r="W11" s="206">
        <f>Admin!B11</f>
        <v>46127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9"/>
      <c r="V12" s="3" t="s">
        <v>82</v>
      </c>
      <c r="W12" s="206">
        <f>Admin!B12</f>
        <v>46128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41" t="s">
        <v>50</v>
      </c>
      <c r="I13" s="14"/>
      <c r="J13" s="22"/>
      <c r="K13" s="83" t="s">
        <v>20</v>
      </c>
      <c r="L13" s="52"/>
      <c r="M13" s="70"/>
      <c r="N13" s="13"/>
      <c r="O13" s="339"/>
      <c r="P13" s="340"/>
      <c r="Q13" s="356"/>
      <c r="R13" s="53"/>
      <c r="S13" s="343"/>
      <c r="T13" s="15"/>
      <c r="U13" s="349"/>
      <c r="V13" s="3" t="s">
        <v>83</v>
      </c>
      <c r="W13" s="206">
        <f>Admin!B13</f>
        <v>46129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41"/>
      <c r="I14" s="14"/>
      <c r="J14" s="22"/>
      <c r="K14" s="52"/>
      <c r="L14" s="52"/>
      <c r="M14" s="70"/>
      <c r="N14" s="13"/>
      <c r="O14" s="14"/>
      <c r="P14" s="148"/>
      <c r="Q14" s="350"/>
      <c r="R14" s="14"/>
      <c r="S14" s="344"/>
      <c r="T14" s="15"/>
      <c r="U14" s="349"/>
      <c r="W14" s="206">
        <f>Admin!B14</f>
        <v>46130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0"/>
      <c r="E15" s="331"/>
      <c r="F15" s="332"/>
      <c r="G15" s="14"/>
      <c r="H15" s="21" t="s">
        <v>51</v>
      </c>
      <c r="I15" s="14"/>
      <c r="J15" s="51"/>
      <c r="K15" s="14" t="s">
        <v>17</v>
      </c>
      <c r="L15" s="14"/>
      <c r="M15" s="333"/>
      <c r="N15" s="334"/>
      <c r="O15" s="335"/>
      <c r="P15" s="148"/>
      <c r="Q15" s="138"/>
      <c r="R15" s="136"/>
      <c r="S15" s="139"/>
      <c r="T15" s="15"/>
      <c r="U15" s="349"/>
      <c r="W15" s="206">
        <f>Admin!B15</f>
        <v>46131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0"/>
      <c r="E16" s="331"/>
      <c r="F16" s="332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9"/>
      <c r="W16" s="206">
        <f>Admin!B16</f>
        <v>46132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9"/>
      <c r="W17" s="206">
        <f>Admin!B17</f>
        <v>46133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9"/>
      <c r="W18" s="206">
        <f>Admin!B18</f>
        <v>46134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9"/>
      <c r="W19" s="206">
        <f>Admin!B19</f>
        <v>46135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9"/>
      <c r="W20" s="206">
        <f>Admin!B20</f>
        <v>46136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9"/>
      <c r="W21" s="206">
        <f>Admin!B21</f>
        <v>46137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9"/>
      <c r="W22" s="206">
        <f>Admin!B22</f>
        <v>46138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9"/>
      <c r="W23" s="206">
        <f>Admin!B23</f>
        <v>46139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9"/>
      <c r="W24" s="206">
        <f>Admin!B24</f>
        <v>46140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9"/>
      <c r="W25" s="206">
        <f>Admin!B25</f>
        <v>46141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9"/>
      <c r="W26" s="206">
        <f>Admin!B26</f>
        <v>46142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9"/>
      <c r="W27" s="206">
        <f>Admin!B27</f>
        <v>46143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9"/>
      <c r="W28" s="206">
        <f>Admin!B28</f>
        <v>46144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9"/>
      <c r="W29" s="206">
        <f>Admin!B29</f>
        <v>46145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9"/>
      <c r="W30" s="206">
        <f>Admin!B30</f>
        <v>46146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9"/>
      <c r="W31" s="206">
        <f>Admin!B31</f>
        <v>46147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9"/>
      <c r="W32" s="206">
        <f>Admin!B32</f>
        <v>46148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9"/>
      <c r="W33" s="206">
        <f>Admin!B33</f>
        <v>46149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9"/>
      <c r="W34" s="206">
        <f>Admin!B34</f>
        <v>46150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9"/>
      <c r="W35" s="206">
        <f>Admin!B35</f>
        <v>46151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9"/>
      <c r="W36" s="206">
        <f>Admin!B36</f>
        <v>46152</v>
      </c>
      <c r="X36" s="3">
        <f t="shared" si="0"/>
        <v>35</v>
      </c>
    </row>
    <row r="37" spans="1:24" ht="22.5" customHeight="1" thickBot="1" x14ac:dyDescent="0.2">
      <c r="A37" s="355"/>
      <c r="B37" s="355"/>
      <c r="C37" s="355"/>
      <c r="D37" s="355"/>
      <c r="E37" s="355"/>
      <c r="F37" s="355"/>
      <c r="G37" s="355"/>
      <c r="H37" s="355"/>
      <c r="I37" s="355"/>
      <c r="J37" s="355"/>
      <c r="K37" s="355"/>
      <c r="L37" s="355"/>
      <c r="M37" s="355"/>
      <c r="N37" s="355"/>
      <c r="O37" s="355"/>
      <c r="P37" s="355"/>
      <c r="Q37" s="355"/>
      <c r="R37" s="355"/>
      <c r="S37" s="355"/>
      <c r="T37" s="355"/>
      <c r="U37" s="350"/>
      <c r="W37" s="206">
        <f>Admin!B37</f>
        <v>46153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50"/>
      <c r="W38" s="206">
        <f>Admin!B38</f>
        <v>46154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41" t="s">
        <v>50</v>
      </c>
      <c r="I39" s="14"/>
      <c r="J39" s="22"/>
      <c r="K39" s="83" t="s">
        <v>20</v>
      </c>
      <c r="L39" s="52"/>
      <c r="M39" s="70"/>
      <c r="N39" s="13"/>
      <c r="O39" s="339"/>
      <c r="P39" s="340"/>
      <c r="Q39" s="356"/>
      <c r="R39" s="53"/>
      <c r="S39" s="343"/>
      <c r="T39" s="15"/>
      <c r="U39" s="350"/>
      <c r="W39" s="206">
        <f>Admin!B39</f>
        <v>46155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41"/>
      <c r="I40" s="14"/>
      <c r="J40" s="22"/>
      <c r="K40" s="52"/>
      <c r="L40" s="52"/>
      <c r="M40" s="70"/>
      <c r="N40" s="13"/>
      <c r="O40" s="14"/>
      <c r="P40" s="148"/>
      <c r="Q40" s="350"/>
      <c r="R40" s="14"/>
      <c r="S40" s="344"/>
      <c r="T40" s="15"/>
      <c r="U40" s="350"/>
      <c r="W40" s="206">
        <f>Admin!B40</f>
        <v>46156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0"/>
      <c r="E41" s="331"/>
      <c r="F41" s="332"/>
      <c r="G41" s="14"/>
      <c r="H41" s="21" t="s">
        <v>51</v>
      </c>
      <c r="I41" s="14"/>
      <c r="J41" s="51"/>
      <c r="K41" s="14" t="s">
        <v>17</v>
      </c>
      <c r="L41" s="14"/>
      <c r="M41" s="333"/>
      <c r="N41" s="334"/>
      <c r="O41" s="335"/>
      <c r="P41" s="148"/>
      <c r="Q41" s="138"/>
      <c r="R41" s="136"/>
      <c r="S41" s="139"/>
      <c r="T41" s="15"/>
      <c r="U41" s="350"/>
      <c r="W41" s="206">
        <f>Admin!B41</f>
        <v>46157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0"/>
      <c r="E42" s="331"/>
      <c r="F42" s="332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50"/>
      <c r="W42" s="206">
        <f>Admin!B42</f>
        <v>46158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50"/>
      <c r="W43" s="206">
        <f>Admin!B43</f>
        <v>46159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50"/>
      <c r="W44" s="206">
        <f>Admin!B44</f>
        <v>46160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50"/>
      <c r="W45" s="206">
        <f>Admin!B45</f>
        <v>46161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50"/>
      <c r="W46" s="206">
        <f>Admin!B46</f>
        <v>46162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50"/>
      <c r="W47" s="206">
        <f>Admin!B47</f>
        <v>46163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50"/>
      <c r="W48" s="206">
        <f>Admin!B48</f>
        <v>46164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50"/>
      <c r="W49" s="206">
        <f>Admin!B49</f>
        <v>46165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50"/>
      <c r="W50" s="206">
        <f>Admin!B50</f>
        <v>46166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50"/>
      <c r="W51" s="206">
        <f>Admin!B51</f>
        <v>46167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50"/>
      <c r="W52" s="206">
        <f>Admin!B52</f>
        <v>46168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50"/>
      <c r="W53" s="206">
        <f>Admin!B53</f>
        <v>46169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50"/>
      <c r="W54" s="206">
        <f>Admin!B54</f>
        <v>46170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50"/>
      <c r="W55" s="206">
        <f>Admin!B55</f>
        <v>46171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50"/>
      <c r="W56" s="206">
        <f>Admin!B56</f>
        <v>46172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50"/>
      <c r="W57" s="206">
        <f>Admin!B57</f>
        <v>46173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50"/>
      <c r="W58" s="206">
        <f>Admin!B58</f>
        <v>46174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50"/>
      <c r="W59" s="206">
        <f>Admin!B59</f>
        <v>46175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50"/>
      <c r="W60" s="206">
        <f>Admin!B60</f>
        <v>46176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41"/>
      <c r="L61" s="341"/>
      <c r="M61" s="357"/>
      <c r="N61" s="357"/>
      <c r="O61" s="357"/>
      <c r="P61" s="357"/>
      <c r="Q61" s="357"/>
      <c r="R61" s="357"/>
      <c r="S61" s="357"/>
      <c r="T61" s="15"/>
      <c r="U61" s="350"/>
      <c r="W61" s="206">
        <f>Admin!B61</f>
        <v>46177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50"/>
      <c r="W62" s="206">
        <f>Admin!B62</f>
        <v>46178</v>
      </c>
    </row>
    <row r="63" spans="1:24" ht="22.5" customHeight="1" thickBot="1" x14ac:dyDescent="0.2">
      <c r="A63" s="355"/>
      <c r="B63" s="355"/>
      <c r="C63" s="355"/>
      <c r="D63" s="355"/>
      <c r="E63" s="355"/>
      <c r="F63" s="355"/>
      <c r="G63" s="355"/>
      <c r="H63" s="355"/>
      <c r="I63" s="355"/>
      <c r="J63" s="355"/>
      <c r="K63" s="355"/>
      <c r="L63" s="355"/>
      <c r="M63" s="355"/>
      <c r="N63" s="355"/>
      <c r="O63" s="355"/>
      <c r="P63" s="355"/>
      <c r="Q63" s="355"/>
      <c r="R63" s="355"/>
      <c r="S63" s="355"/>
      <c r="T63" s="355"/>
      <c r="U63" s="350"/>
      <c r="W63" s="206">
        <f>Admin!B63</f>
        <v>46179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50"/>
      <c r="W64" s="206">
        <f>Admin!B64</f>
        <v>46180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41" t="s">
        <v>50</v>
      </c>
      <c r="I65" s="14"/>
      <c r="J65" s="22"/>
      <c r="K65" s="83" t="s">
        <v>20</v>
      </c>
      <c r="L65" s="52"/>
      <c r="M65" s="70"/>
      <c r="N65" s="13"/>
      <c r="O65" s="339"/>
      <c r="P65" s="340"/>
      <c r="Q65" s="356"/>
      <c r="R65" s="53"/>
      <c r="S65" s="343"/>
      <c r="T65" s="15"/>
      <c r="U65" s="350"/>
      <c r="W65" s="206">
        <f>Admin!B65</f>
        <v>46181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41"/>
      <c r="I66" s="14"/>
      <c r="J66" s="22"/>
      <c r="K66" s="52"/>
      <c r="L66" s="52"/>
      <c r="M66" s="70"/>
      <c r="N66" s="13"/>
      <c r="O66" s="14"/>
      <c r="P66" s="148"/>
      <c r="Q66" s="350"/>
      <c r="R66" s="14"/>
      <c r="S66" s="344"/>
      <c r="T66" s="15"/>
      <c r="U66" s="350"/>
      <c r="W66" s="206">
        <f>Admin!B66</f>
        <v>46182</v>
      </c>
    </row>
    <row r="67" spans="1:23" ht="15" thickTop="1" thickBot="1" x14ac:dyDescent="0.2">
      <c r="A67" s="12"/>
      <c r="B67" s="14" t="s">
        <v>11</v>
      </c>
      <c r="C67" s="14"/>
      <c r="D67" s="330"/>
      <c r="E67" s="331"/>
      <c r="F67" s="332"/>
      <c r="G67" s="14"/>
      <c r="H67" s="21" t="s">
        <v>51</v>
      </c>
      <c r="I67" s="14"/>
      <c r="J67" s="51"/>
      <c r="K67" s="14" t="s">
        <v>17</v>
      </c>
      <c r="L67" s="14"/>
      <c r="M67" s="333"/>
      <c r="N67" s="334"/>
      <c r="O67" s="335"/>
      <c r="P67" s="148"/>
      <c r="Q67" s="138"/>
      <c r="R67" s="136"/>
      <c r="S67" s="139"/>
      <c r="T67" s="15"/>
      <c r="U67" s="350"/>
      <c r="W67" s="206">
        <f>Admin!B67</f>
        <v>46183</v>
      </c>
    </row>
    <row r="68" spans="1:23" ht="14" thickTop="1" thickBot="1" x14ac:dyDescent="0.2">
      <c r="A68" s="12"/>
      <c r="B68" s="14" t="s">
        <v>12</v>
      </c>
      <c r="C68" s="14"/>
      <c r="D68" s="330"/>
      <c r="E68" s="331"/>
      <c r="F68" s="332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50"/>
      <c r="W68" s="206">
        <f>Admin!B68</f>
        <v>46184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50"/>
      <c r="W69" s="206">
        <f>Admin!B69</f>
        <v>46185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50"/>
      <c r="W70" s="206">
        <f>Admin!B70</f>
        <v>46186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50"/>
      <c r="W71" s="206">
        <f>Admin!B71</f>
        <v>46187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50"/>
      <c r="W72" s="206">
        <f>Admin!B72</f>
        <v>46188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50"/>
      <c r="W73" s="206">
        <f>Admin!B73</f>
        <v>46189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50"/>
      <c r="W74" s="206">
        <f>Admin!B74</f>
        <v>46190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50"/>
      <c r="W75" s="206">
        <f>Admin!B75</f>
        <v>46191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50"/>
      <c r="W76" s="206">
        <f>Admin!B76</f>
        <v>46192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50"/>
      <c r="W77" s="206">
        <f>Admin!B77</f>
        <v>46193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50"/>
      <c r="W78" s="206">
        <f>Admin!B78</f>
        <v>46194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50"/>
      <c r="W79" s="206">
        <f>Admin!B79</f>
        <v>46195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50"/>
      <c r="W80" s="206">
        <f>Admin!B80</f>
        <v>46196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50"/>
      <c r="W81" s="206">
        <f>Admin!B81</f>
        <v>46197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50"/>
      <c r="W82" s="206">
        <f>Admin!B82</f>
        <v>46198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50"/>
      <c r="W83" s="206">
        <f>Admin!B83</f>
        <v>46199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50"/>
      <c r="W84" s="206">
        <f>Admin!B84</f>
        <v>46200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50"/>
      <c r="W85" s="206">
        <f>Admin!B85</f>
        <v>46201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50"/>
      <c r="W86" s="206">
        <f>Admin!B86</f>
        <v>46202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50"/>
      <c r="W87" s="206">
        <f>Admin!B87</f>
        <v>46203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50"/>
      <c r="W88" s="206">
        <f>Admin!B88</f>
        <v>46204</v>
      </c>
    </row>
    <row r="89" spans="1:23" ht="22.5" customHeight="1" thickBot="1" x14ac:dyDescent="0.2">
      <c r="A89" s="355"/>
      <c r="B89" s="355"/>
      <c r="C89" s="355"/>
      <c r="D89" s="355"/>
      <c r="E89" s="355"/>
      <c r="F89" s="355"/>
      <c r="G89" s="355"/>
      <c r="H89" s="355"/>
      <c r="I89" s="355"/>
      <c r="J89" s="355"/>
      <c r="K89" s="355"/>
      <c r="L89" s="355"/>
      <c r="M89" s="355"/>
      <c r="N89" s="355"/>
      <c r="O89" s="355"/>
      <c r="P89" s="355"/>
      <c r="Q89" s="355"/>
      <c r="R89" s="355"/>
      <c r="S89" s="355"/>
      <c r="T89" s="355"/>
      <c r="U89" s="350"/>
      <c r="W89" s="206">
        <f>Admin!B89</f>
        <v>46205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50"/>
      <c r="W90" s="206">
        <f>Admin!B90</f>
        <v>46206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41" t="s">
        <v>50</v>
      </c>
      <c r="I91" s="14"/>
      <c r="J91" s="22"/>
      <c r="K91" s="83" t="s">
        <v>20</v>
      </c>
      <c r="L91" s="52"/>
      <c r="M91" s="70"/>
      <c r="N91" s="13"/>
      <c r="O91" s="339"/>
      <c r="P91" s="340"/>
      <c r="Q91" s="356"/>
      <c r="R91" s="53"/>
      <c r="S91" s="343"/>
      <c r="T91" s="15"/>
      <c r="U91" s="350"/>
      <c r="W91" s="206">
        <f>Admin!B91</f>
        <v>46207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41"/>
      <c r="I92" s="14"/>
      <c r="J92" s="22"/>
      <c r="K92" s="52"/>
      <c r="L92" s="52"/>
      <c r="M92" s="70"/>
      <c r="N92" s="13"/>
      <c r="O92" s="14"/>
      <c r="P92" s="148"/>
      <c r="Q92" s="350"/>
      <c r="R92" s="14"/>
      <c r="S92" s="344"/>
      <c r="T92" s="15"/>
      <c r="U92" s="350"/>
      <c r="W92" s="206">
        <f>Admin!B92</f>
        <v>46208</v>
      </c>
    </row>
    <row r="93" spans="1:23" ht="15" thickTop="1" thickBot="1" x14ac:dyDescent="0.2">
      <c r="A93" s="12"/>
      <c r="B93" s="14" t="s">
        <v>11</v>
      </c>
      <c r="C93" s="14"/>
      <c r="D93" s="330"/>
      <c r="E93" s="331"/>
      <c r="F93" s="332"/>
      <c r="G93" s="14"/>
      <c r="H93" s="21" t="s">
        <v>51</v>
      </c>
      <c r="I93" s="14"/>
      <c r="J93" s="51"/>
      <c r="K93" s="14" t="s">
        <v>17</v>
      </c>
      <c r="L93" s="14"/>
      <c r="M93" s="333"/>
      <c r="N93" s="334"/>
      <c r="O93" s="335"/>
      <c r="P93" s="148"/>
      <c r="Q93" s="138"/>
      <c r="R93" s="136"/>
      <c r="S93" s="139"/>
      <c r="T93" s="15"/>
      <c r="U93" s="350"/>
      <c r="W93" s="206">
        <f>Admin!B93</f>
        <v>46209</v>
      </c>
    </row>
    <row r="94" spans="1:23" ht="14" thickTop="1" thickBot="1" x14ac:dyDescent="0.2">
      <c r="A94" s="12"/>
      <c r="B94" s="14" t="s">
        <v>12</v>
      </c>
      <c r="C94" s="14"/>
      <c r="D94" s="330"/>
      <c r="E94" s="331"/>
      <c r="F94" s="332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50"/>
      <c r="W94" s="206">
        <f>Admin!B94</f>
        <v>46210</v>
      </c>
    </row>
    <row r="95" spans="1:23" ht="14" thickTop="1" thickBot="1" x14ac:dyDescent="0.2">
      <c r="A95" s="12"/>
      <c r="B95" s="14" t="s">
        <v>13</v>
      </c>
      <c r="C95" s="14"/>
      <c r="D95" s="330"/>
      <c r="E95" s="331"/>
      <c r="F95" s="332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50"/>
      <c r="W95" s="206">
        <f>Admin!B95</f>
        <v>46211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50"/>
      <c r="W96" s="206">
        <f>Admin!B96</f>
        <v>46212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50"/>
      <c r="W97" s="206">
        <f>Admin!B97</f>
        <v>46213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50"/>
      <c r="W98" s="206">
        <f>Admin!B98</f>
        <v>46214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50"/>
      <c r="W99" s="206">
        <f>Admin!B99</f>
        <v>46215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50"/>
      <c r="W100" s="206">
        <f>Admin!B100</f>
        <v>46216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50"/>
      <c r="W101" s="206">
        <f>Admin!B101</f>
        <v>46217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50"/>
      <c r="W102" s="206">
        <f>Admin!B102</f>
        <v>46218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50"/>
      <c r="W103" s="206">
        <f>Admin!B103</f>
        <v>46219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50"/>
      <c r="W104" s="206">
        <f>Admin!B104</f>
        <v>46220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50"/>
      <c r="W105" s="206">
        <f>Admin!B105</f>
        <v>46221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50"/>
      <c r="W106" s="206">
        <f>Admin!B106</f>
        <v>46222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50"/>
      <c r="W107" s="206">
        <f>Admin!B107</f>
        <v>46223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50"/>
      <c r="W108" s="206">
        <f>Admin!B108</f>
        <v>46224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50"/>
      <c r="W109" s="206">
        <f>Admin!B109</f>
        <v>46225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50"/>
      <c r="W110" s="206">
        <f>Admin!B110</f>
        <v>46226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50"/>
      <c r="W111" s="206">
        <f>Admin!B111</f>
        <v>46227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50"/>
      <c r="W112" s="206">
        <f>Admin!B112</f>
        <v>46228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50"/>
      <c r="W113" s="206">
        <f>Admin!B113</f>
        <v>46229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50"/>
      <c r="W114" s="206">
        <f>Admin!B114</f>
        <v>46230</v>
      </c>
    </row>
    <row r="115" spans="1:23" ht="22.5" customHeight="1" thickBot="1" x14ac:dyDescent="0.2">
      <c r="A115" s="355"/>
      <c r="B115" s="355"/>
      <c r="C115" s="355"/>
      <c r="D115" s="355"/>
      <c r="E115" s="355"/>
      <c r="F115" s="355"/>
      <c r="G115" s="355"/>
      <c r="H115" s="355"/>
      <c r="I115" s="355"/>
      <c r="J115" s="355"/>
      <c r="K115" s="355"/>
      <c r="L115" s="355"/>
      <c r="M115" s="355"/>
      <c r="N115" s="355"/>
      <c r="O115" s="355"/>
      <c r="P115" s="355"/>
      <c r="Q115" s="355"/>
      <c r="R115" s="355"/>
      <c r="S115" s="355"/>
      <c r="T115" s="355"/>
      <c r="U115" s="350"/>
      <c r="W115" s="206">
        <f>Admin!B115</f>
        <v>46231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50"/>
      <c r="W116" s="206">
        <f>Admin!B116</f>
        <v>46232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41" t="s">
        <v>50</v>
      </c>
      <c r="I117" s="14"/>
      <c r="J117" s="22"/>
      <c r="K117" s="83" t="s">
        <v>20</v>
      </c>
      <c r="L117" s="52"/>
      <c r="M117" s="70"/>
      <c r="N117" s="13"/>
      <c r="O117" s="339"/>
      <c r="P117" s="340"/>
      <c r="Q117" s="356"/>
      <c r="R117" s="53"/>
      <c r="S117" s="343"/>
      <c r="T117" s="15"/>
      <c r="U117" s="350"/>
      <c r="W117" s="206">
        <f>Admin!B117</f>
        <v>46233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41"/>
      <c r="I118" s="14"/>
      <c r="J118" s="22"/>
      <c r="K118" s="52"/>
      <c r="L118" s="52"/>
      <c r="M118" s="70"/>
      <c r="N118" s="13"/>
      <c r="O118" s="14"/>
      <c r="P118" s="148"/>
      <c r="Q118" s="350"/>
      <c r="R118" s="14"/>
      <c r="S118" s="344"/>
      <c r="T118" s="15"/>
      <c r="U118" s="350"/>
      <c r="W118" s="206">
        <f>Admin!B118</f>
        <v>46234</v>
      </c>
    </row>
    <row r="119" spans="1:23" ht="15" thickTop="1" thickBot="1" x14ac:dyDescent="0.2">
      <c r="A119" s="12"/>
      <c r="B119" s="14" t="s">
        <v>11</v>
      </c>
      <c r="C119" s="14"/>
      <c r="D119" s="330"/>
      <c r="E119" s="331"/>
      <c r="F119" s="332"/>
      <c r="G119" s="14"/>
      <c r="H119" s="21" t="s">
        <v>51</v>
      </c>
      <c r="I119" s="14"/>
      <c r="J119" s="51"/>
      <c r="K119" s="14" t="s">
        <v>17</v>
      </c>
      <c r="L119" s="14"/>
      <c r="M119" s="333"/>
      <c r="N119" s="334"/>
      <c r="O119" s="335"/>
      <c r="P119" s="148"/>
      <c r="Q119" s="29"/>
      <c r="R119" s="136"/>
      <c r="S119" s="139"/>
      <c r="T119" s="15"/>
      <c r="U119" s="350"/>
      <c r="W119" s="206">
        <f>Admin!B119</f>
        <v>46235</v>
      </c>
    </row>
    <row r="120" spans="1:23" ht="14" thickTop="1" thickBot="1" x14ac:dyDescent="0.2">
      <c r="A120" s="12"/>
      <c r="B120" s="14" t="s">
        <v>12</v>
      </c>
      <c r="C120" s="14"/>
      <c r="D120" s="330"/>
      <c r="E120" s="331"/>
      <c r="F120" s="332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50"/>
      <c r="W120" s="206">
        <f>Admin!B120</f>
        <v>46236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50"/>
      <c r="W121" s="206">
        <f>Admin!B121</f>
        <v>46237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50"/>
      <c r="W122" s="206">
        <f>Admin!B122</f>
        <v>46238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50"/>
      <c r="W123" s="206">
        <f>Admin!B123</f>
        <v>46239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50"/>
      <c r="W124" s="206">
        <f>Admin!B124</f>
        <v>46240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50"/>
      <c r="W125" s="206">
        <f>Admin!B125</f>
        <v>46241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50"/>
      <c r="W126" s="206">
        <f>Admin!B126</f>
        <v>46242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50"/>
      <c r="W127" s="206">
        <f>Admin!B127</f>
        <v>46243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50"/>
      <c r="W128" s="206">
        <f>Admin!B128</f>
        <v>46244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50"/>
      <c r="W129" s="206">
        <f>Admin!B129</f>
        <v>46245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50"/>
      <c r="W130" s="206">
        <f>Admin!B130</f>
        <v>46246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50"/>
      <c r="W131" s="206">
        <f>Admin!B131</f>
        <v>46247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50"/>
      <c r="W132" s="206">
        <f>Admin!B132</f>
        <v>46248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50"/>
      <c r="W133" s="206">
        <f>Admin!B133</f>
        <v>46249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50"/>
      <c r="W134" s="206">
        <f>Admin!B134</f>
        <v>46250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50"/>
      <c r="W135" s="206">
        <f>Admin!B135</f>
        <v>46251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50"/>
      <c r="W136" s="206">
        <f>Admin!B136</f>
        <v>46252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50"/>
      <c r="W137" s="206">
        <f>Admin!B137</f>
        <v>46253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50"/>
      <c r="W138" s="206">
        <f>Admin!B138</f>
        <v>46254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50"/>
      <c r="W139" s="206">
        <f>Admin!B139</f>
        <v>46255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50"/>
      <c r="W140" s="206">
        <f>Admin!B140</f>
        <v>46256</v>
      </c>
    </row>
    <row r="141" spans="1:23" ht="22.5" customHeight="1" thickBot="1" x14ac:dyDescent="0.2">
      <c r="A141" s="355"/>
      <c r="B141" s="355"/>
      <c r="C141" s="355"/>
      <c r="D141" s="355"/>
      <c r="E141" s="355"/>
      <c r="F141" s="355"/>
      <c r="G141" s="355"/>
      <c r="H141" s="355"/>
      <c r="I141" s="355"/>
      <c r="J141" s="355"/>
      <c r="K141" s="355"/>
      <c r="L141" s="355"/>
      <c r="M141" s="355"/>
      <c r="N141" s="355"/>
      <c r="O141" s="355"/>
      <c r="P141" s="355"/>
      <c r="Q141" s="355"/>
      <c r="R141" s="355"/>
      <c r="S141" s="355"/>
      <c r="T141" s="355"/>
      <c r="U141" s="350"/>
      <c r="W141" s="206">
        <f>Admin!B141</f>
        <v>46257</v>
      </c>
    </row>
    <row r="142" spans="1:23" x14ac:dyDescent="0.15">
      <c r="W142" s="206">
        <f>Admin!B142</f>
        <v>46258</v>
      </c>
    </row>
    <row r="143" spans="1:23" x14ac:dyDescent="0.15">
      <c r="W143" s="206">
        <f>Admin!B143</f>
        <v>46259</v>
      </c>
    </row>
    <row r="144" spans="1:23" x14ac:dyDescent="0.15">
      <c r="W144" s="206">
        <f>Admin!B144</f>
        <v>46260</v>
      </c>
    </row>
    <row r="145" spans="23:23" x14ac:dyDescent="0.15">
      <c r="W145" s="206">
        <f>Admin!B145</f>
        <v>46261</v>
      </c>
    </row>
    <row r="146" spans="23:23" x14ac:dyDescent="0.15">
      <c r="W146" s="206">
        <f>Admin!B146</f>
        <v>46262</v>
      </c>
    </row>
    <row r="147" spans="23:23" x14ac:dyDescent="0.15">
      <c r="W147" s="206">
        <f>Admin!B147</f>
        <v>46263</v>
      </c>
    </row>
    <row r="148" spans="23:23" x14ac:dyDescent="0.15">
      <c r="W148" s="206">
        <f>Admin!B148</f>
        <v>46264</v>
      </c>
    </row>
    <row r="149" spans="23:23" x14ac:dyDescent="0.15">
      <c r="W149" s="206">
        <f>Admin!B149</f>
        <v>46265</v>
      </c>
    </row>
    <row r="150" spans="23:23" x14ac:dyDescent="0.15">
      <c r="W150" s="206">
        <f>Admin!B150</f>
        <v>46266</v>
      </c>
    </row>
    <row r="151" spans="23:23" x14ac:dyDescent="0.15">
      <c r="W151" s="206">
        <f>Admin!B151</f>
        <v>46267</v>
      </c>
    </row>
    <row r="152" spans="23:23" x14ac:dyDescent="0.15">
      <c r="W152" s="206">
        <f>Admin!B152</f>
        <v>46268</v>
      </c>
    </row>
    <row r="153" spans="23:23" x14ac:dyDescent="0.15">
      <c r="W153" s="206">
        <f>Admin!B153</f>
        <v>46269</v>
      </c>
    </row>
    <row r="154" spans="23:23" x14ac:dyDescent="0.15">
      <c r="W154" s="206">
        <f>Admin!B154</f>
        <v>46270</v>
      </c>
    </row>
    <row r="155" spans="23:23" x14ac:dyDescent="0.15">
      <c r="W155" s="206">
        <f>Admin!B155</f>
        <v>46271</v>
      </c>
    </row>
    <row r="156" spans="23:23" x14ac:dyDescent="0.15">
      <c r="W156" s="206">
        <f>Admin!B156</f>
        <v>46272</v>
      </c>
    </row>
    <row r="157" spans="23:23" x14ac:dyDescent="0.15">
      <c r="W157" s="206">
        <f>Admin!B157</f>
        <v>46273</v>
      </c>
    </row>
    <row r="158" spans="23:23" x14ac:dyDescent="0.15">
      <c r="W158" s="206">
        <f>Admin!B158</f>
        <v>46274</v>
      </c>
    </row>
    <row r="159" spans="23:23" x14ac:dyDescent="0.15">
      <c r="W159" s="206">
        <f>Admin!B159</f>
        <v>46275</v>
      </c>
    </row>
    <row r="160" spans="23:23" x14ac:dyDescent="0.15">
      <c r="W160" s="206">
        <f>Admin!B160</f>
        <v>46276</v>
      </c>
    </row>
    <row r="161" spans="23:23" x14ac:dyDescent="0.15">
      <c r="W161" s="206">
        <f>Admin!B161</f>
        <v>46277</v>
      </c>
    </row>
    <row r="162" spans="23:23" x14ac:dyDescent="0.15">
      <c r="W162" s="206">
        <f>Admin!B162</f>
        <v>46278</v>
      </c>
    </row>
    <row r="163" spans="23:23" x14ac:dyDescent="0.15">
      <c r="W163" s="206">
        <f>Admin!B163</f>
        <v>46279</v>
      </c>
    </row>
    <row r="164" spans="23:23" x14ac:dyDescent="0.15">
      <c r="W164" s="206">
        <f>Admin!B164</f>
        <v>46280</v>
      </c>
    </row>
    <row r="165" spans="23:23" x14ac:dyDescent="0.15">
      <c r="W165" s="206">
        <f>Admin!B165</f>
        <v>46281</v>
      </c>
    </row>
    <row r="166" spans="23:23" x14ac:dyDescent="0.15">
      <c r="W166" s="206">
        <f>Admin!B166</f>
        <v>46282</v>
      </c>
    </row>
    <row r="167" spans="23:23" x14ac:dyDescent="0.15">
      <c r="W167" s="206">
        <f>Admin!B167</f>
        <v>46283</v>
      </c>
    </row>
    <row r="168" spans="23:23" x14ac:dyDescent="0.15">
      <c r="W168" s="206">
        <f>Admin!B168</f>
        <v>46284</v>
      </c>
    </row>
    <row r="169" spans="23:23" x14ac:dyDescent="0.15">
      <c r="W169" s="206">
        <f>Admin!B169</f>
        <v>46285</v>
      </c>
    </row>
    <row r="170" spans="23:23" x14ac:dyDescent="0.15">
      <c r="W170" s="206">
        <f>Admin!B170</f>
        <v>46286</v>
      </c>
    </row>
    <row r="171" spans="23:23" x14ac:dyDescent="0.15">
      <c r="W171" s="206">
        <f>Admin!B171</f>
        <v>46287</v>
      </c>
    </row>
    <row r="172" spans="23:23" x14ac:dyDescent="0.15">
      <c r="W172" s="206">
        <f>Admin!B172</f>
        <v>46288</v>
      </c>
    </row>
    <row r="173" spans="23:23" x14ac:dyDescent="0.15">
      <c r="W173" s="206">
        <f>Admin!B173</f>
        <v>46289</v>
      </c>
    </row>
    <row r="174" spans="23:23" x14ac:dyDescent="0.15">
      <c r="W174" s="206">
        <f>Admin!B174</f>
        <v>46290</v>
      </c>
    </row>
    <row r="175" spans="23:23" x14ac:dyDescent="0.15">
      <c r="W175" s="206">
        <f>Admin!B175</f>
        <v>46291</v>
      </c>
    </row>
    <row r="176" spans="23:23" x14ac:dyDescent="0.15">
      <c r="W176" s="206">
        <f>Admin!B176</f>
        <v>46292</v>
      </c>
    </row>
    <row r="177" spans="23:23" x14ac:dyDescent="0.15">
      <c r="W177" s="206">
        <f>Admin!B177</f>
        <v>46293</v>
      </c>
    </row>
    <row r="178" spans="23:23" x14ac:dyDescent="0.15">
      <c r="W178" s="206">
        <f>Admin!B178</f>
        <v>46294</v>
      </c>
    </row>
    <row r="179" spans="23:23" x14ac:dyDescent="0.15">
      <c r="W179" s="206">
        <f>Admin!B179</f>
        <v>46295</v>
      </c>
    </row>
    <row r="180" spans="23:23" x14ac:dyDescent="0.15">
      <c r="W180" s="206">
        <f>Admin!B180</f>
        <v>46296</v>
      </c>
    </row>
    <row r="181" spans="23:23" x14ac:dyDescent="0.15">
      <c r="W181" s="206">
        <f>Admin!B181</f>
        <v>46297</v>
      </c>
    </row>
    <row r="182" spans="23:23" x14ac:dyDescent="0.15">
      <c r="W182" s="206">
        <f>Admin!B182</f>
        <v>46298</v>
      </c>
    </row>
    <row r="183" spans="23:23" x14ac:dyDescent="0.15">
      <c r="W183" s="206">
        <f>Admin!B183</f>
        <v>46299</v>
      </c>
    </row>
    <row r="184" spans="23:23" x14ac:dyDescent="0.15">
      <c r="W184" s="206">
        <f>Admin!B184</f>
        <v>46300</v>
      </c>
    </row>
    <row r="185" spans="23:23" x14ac:dyDescent="0.15">
      <c r="W185" s="206">
        <f>Admin!B185</f>
        <v>46301</v>
      </c>
    </row>
    <row r="186" spans="23:23" x14ac:dyDescent="0.15">
      <c r="W186" s="206">
        <f>Admin!B186</f>
        <v>46302</v>
      </c>
    </row>
    <row r="187" spans="23:23" x14ac:dyDescent="0.15">
      <c r="W187" s="206">
        <f>Admin!B187</f>
        <v>46303</v>
      </c>
    </row>
    <row r="188" spans="23:23" x14ac:dyDescent="0.15">
      <c r="W188" s="206">
        <f>Admin!B188</f>
        <v>46304</v>
      </c>
    </row>
    <row r="189" spans="23:23" x14ac:dyDescent="0.15">
      <c r="W189" s="206">
        <f>Admin!B189</f>
        <v>46305</v>
      </c>
    </row>
    <row r="190" spans="23:23" x14ac:dyDescent="0.15">
      <c r="W190" s="206">
        <f>Admin!B190</f>
        <v>46306</v>
      </c>
    </row>
    <row r="191" spans="23:23" x14ac:dyDescent="0.15">
      <c r="W191" s="206">
        <f>Admin!B191</f>
        <v>46307</v>
      </c>
    </row>
    <row r="192" spans="23:23" x14ac:dyDescent="0.15">
      <c r="W192" s="206">
        <f>Admin!B192</f>
        <v>46308</v>
      </c>
    </row>
    <row r="193" spans="23:23" x14ac:dyDescent="0.15">
      <c r="W193" s="206">
        <f>Admin!B193</f>
        <v>46309</v>
      </c>
    </row>
    <row r="194" spans="23:23" x14ac:dyDescent="0.15">
      <c r="W194" s="206">
        <f>Admin!B194</f>
        <v>46310</v>
      </c>
    </row>
    <row r="195" spans="23:23" x14ac:dyDescent="0.15">
      <c r="W195" s="206">
        <f>Admin!B195</f>
        <v>46311</v>
      </c>
    </row>
    <row r="196" spans="23:23" x14ac:dyDescent="0.15">
      <c r="W196" s="206">
        <f>Admin!B196</f>
        <v>46312</v>
      </c>
    </row>
    <row r="197" spans="23:23" x14ac:dyDescent="0.15">
      <c r="W197" s="206">
        <f>Admin!B197</f>
        <v>46313</v>
      </c>
    </row>
    <row r="198" spans="23:23" x14ac:dyDescent="0.15">
      <c r="W198" s="206">
        <f>Admin!B198</f>
        <v>46314</v>
      </c>
    </row>
    <row r="199" spans="23:23" x14ac:dyDescent="0.15">
      <c r="W199" s="206">
        <f>Admin!B199</f>
        <v>46315</v>
      </c>
    </row>
    <row r="200" spans="23:23" x14ac:dyDescent="0.15">
      <c r="W200" s="206">
        <f>Admin!B200</f>
        <v>46316</v>
      </c>
    </row>
    <row r="201" spans="23:23" x14ac:dyDescent="0.15">
      <c r="W201" s="206">
        <f>Admin!B201</f>
        <v>46317</v>
      </c>
    </row>
    <row r="202" spans="23:23" x14ac:dyDescent="0.15">
      <c r="W202" s="206">
        <f>Admin!B202</f>
        <v>46318</v>
      </c>
    </row>
    <row r="203" spans="23:23" x14ac:dyDescent="0.15">
      <c r="W203" s="206">
        <f>Admin!B203</f>
        <v>46319</v>
      </c>
    </row>
    <row r="204" spans="23:23" x14ac:dyDescent="0.15">
      <c r="W204" s="206">
        <f>Admin!B204</f>
        <v>46320</v>
      </c>
    </row>
    <row r="205" spans="23:23" x14ac:dyDescent="0.15">
      <c r="W205" s="206">
        <f>Admin!B205</f>
        <v>46321</v>
      </c>
    </row>
    <row r="206" spans="23:23" x14ac:dyDescent="0.15">
      <c r="W206" s="206">
        <f>Admin!B206</f>
        <v>46322</v>
      </c>
    </row>
    <row r="207" spans="23:23" x14ac:dyDescent="0.15">
      <c r="W207" s="206">
        <f>Admin!B207</f>
        <v>46323</v>
      </c>
    </row>
    <row r="208" spans="23:23" x14ac:dyDescent="0.15">
      <c r="W208" s="206">
        <f>Admin!B208</f>
        <v>46324</v>
      </c>
    </row>
    <row r="209" spans="23:23" x14ac:dyDescent="0.15">
      <c r="W209" s="206">
        <f>Admin!B209</f>
        <v>46325</v>
      </c>
    </row>
    <row r="210" spans="23:23" x14ac:dyDescent="0.15">
      <c r="W210" s="206">
        <f>Admin!B210</f>
        <v>46326</v>
      </c>
    </row>
    <row r="211" spans="23:23" x14ac:dyDescent="0.15">
      <c r="W211" s="206">
        <f>Admin!B211</f>
        <v>46327</v>
      </c>
    </row>
    <row r="212" spans="23:23" x14ac:dyDescent="0.15">
      <c r="W212" s="206">
        <f>Admin!B212</f>
        <v>46328</v>
      </c>
    </row>
    <row r="213" spans="23:23" x14ac:dyDescent="0.15">
      <c r="W213" s="206">
        <f>Admin!B213</f>
        <v>46329</v>
      </c>
    </row>
    <row r="214" spans="23:23" x14ac:dyDescent="0.15">
      <c r="W214" s="206">
        <f>Admin!B214</f>
        <v>46330</v>
      </c>
    </row>
    <row r="215" spans="23:23" x14ac:dyDescent="0.15">
      <c r="W215" s="206">
        <f>Admin!B215</f>
        <v>46331</v>
      </c>
    </row>
    <row r="216" spans="23:23" x14ac:dyDescent="0.15">
      <c r="W216" s="206">
        <f>Admin!B216</f>
        <v>46332</v>
      </c>
    </row>
    <row r="217" spans="23:23" x14ac:dyDescent="0.15">
      <c r="W217" s="206">
        <f>Admin!B217</f>
        <v>46333</v>
      </c>
    </row>
    <row r="218" spans="23:23" x14ac:dyDescent="0.15">
      <c r="W218" s="206">
        <f>Admin!B218</f>
        <v>46334</v>
      </c>
    </row>
    <row r="219" spans="23:23" x14ac:dyDescent="0.15">
      <c r="W219" s="206">
        <f>Admin!B219</f>
        <v>46335</v>
      </c>
    </row>
    <row r="220" spans="23:23" x14ac:dyDescent="0.15">
      <c r="W220" s="206">
        <f>Admin!B220</f>
        <v>46336</v>
      </c>
    </row>
    <row r="221" spans="23:23" x14ac:dyDescent="0.15">
      <c r="W221" s="206">
        <f>Admin!B221</f>
        <v>46337</v>
      </c>
    </row>
    <row r="222" spans="23:23" x14ac:dyDescent="0.15">
      <c r="W222" s="206">
        <f>Admin!B222</f>
        <v>46338</v>
      </c>
    </row>
    <row r="223" spans="23:23" x14ac:dyDescent="0.15">
      <c r="W223" s="206">
        <f>Admin!B223</f>
        <v>46339</v>
      </c>
    </row>
    <row r="224" spans="23:23" x14ac:dyDescent="0.15">
      <c r="W224" s="206">
        <f>Admin!B224</f>
        <v>46340</v>
      </c>
    </row>
    <row r="225" spans="23:23" x14ac:dyDescent="0.15">
      <c r="W225" s="206">
        <f>Admin!B225</f>
        <v>46341</v>
      </c>
    </row>
    <row r="226" spans="23:23" x14ac:dyDescent="0.15">
      <c r="W226" s="206">
        <f>Admin!B226</f>
        <v>46342</v>
      </c>
    </row>
    <row r="227" spans="23:23" x14ac:dyDescent="0.15">
      <c r="W227" s="206">
        <f>Admin!B227</f>
        <v>46343</v>
      </c>
    </row>
    <row r="228" spans="23:23" x14ac:dyDescent="0.15">
      <c r="W228" s="206">
        <f>Admin!B228</f>
        <v>46344</v>
      </c>
    </row>
    <row r="229" spans="23:23" x14ac:dyDescent="0.15">
      <c r="W229" s="206">
        <f>Admin!B229</f>
        <v>46345</v>
      </c>
    </row>
    <row r="230" spans="23:23" x14ac:dyDescent="0.15">
      <c r="W230" s="206">
        <f>Admin!B230</f>
        <v>46346</v>
      </c>
    </row>
    <row r="231" spans="23:23" x14ac:dyDescent="0.15">
      <c r="W231" s="206">
        <f>Admin!B231</f>
        <v>46347</v>
      </c>
    </row>
    <row r="232" spans="23:23" x14ac:dyDescent="0.15">
      <c r="W232" s="206">
        <f>Admin!B232</f>
        <v>46348</v>
      </c>
    </row>
    <row r="233" spans="23:23" x14ac:dyDescent="0.15">
      <c r="W233" s="206">
        <f>Admin!B233</f>
        <v>46349</v>
      </c>
    </row>
    <row r="234" spans="23:23" x14ac:dyDescent="0.15">
      <c r="W234" s="206">
        <f>Admin!B234</f>
        <v>46350</v>
      </c>
    </row>
    <row r="235" spans="23:23" x14ac:dyDescent="0.15">
      <c r="W235" s="206">
        <f>Admin!B235</f>
        <v>46351</v>
      </c>
    </row>
    <row r="236" spans="23:23" x14ac:dyDescent="0.15">
      <c r="W236" s="206">
        <f>Admin!B236</f>
        <v>46352</v>
      </c>
    </row>
    <row r="237" spans="23:23" x14ac:dyDescent="0.15">
      <c r="W237" s="206">
        <f>Admin!B237</f>
        <v>46353</v>
      </c>
    </row>
    <row r="238" spans="23:23" x14ac:dyDescent="0.15">
      <c r="W238" s="206">
        <f>Admin!B238</f>
        <v>46354</v>
      </c>
    </row>
    <row r="239" spans="23:23" x14ac:dyDescent="0.15">
      <c r="W239" s="206">
        <f>Admin!B239</f>
        <v>46355</v>
      </c>
    </row>
    <row r="240" spans="23:23" x14ac:dyDescent="0.15">
      <c r="W240" s="206">
        <f>Admin!B240</f>
        <v>46356</v>
      </c>
    </row>
    <row r="241" spans="23:23" x14ac:dyDescent="0.15">
      <c r="W241" s="206">
        <f>Admin!B241</f>
        <v>46357</v>
      </c>
    </row>
    <row r="242" spans="23:23" x14ac:dyDescent="0.15">
      <c r="W242" s="206">
        <f>Admin!B242</f>
        <v>46358</v>
      </c>
    </row>
    <row r="243" spans="23:23" x14ac:dyDescent="0.15">
      <c r="W243" s="206">
        <f>Admin!B243</f>
        <v>46359</v>
      </c>
    </row>
    <row r="244" spans="23:23" x14ac:dyDescent="0.15">
      <c r="W244" s="206">
        <f>Admin!B244</f>
        <v>46360</v>
      </c>
    </row>
    <row r="245" spans="23:23" x14ac:dyDescent="0.15">
      <c r="W245" s="206">
        <f>Admin!B245</f>
        <v>46361</v>
      </c>
    </row>
    <row r="246" spans="23:23" x14ac:dyDescent="0.15">
      <c r="W246" s="206">
        <f>Admin!B246</f>
        <v>46362</v>
      </c>
    </row>
    <row r="247" spans="23:23" x14ac:dyDescent="0.15">
      <c r="W247" s="206">
        <f>Admin!B247</f>
        <v>46363</v>
      </c>
    </row>
    <row r="248" spans="23:23" x14ac:dyDescent="0.15">
      <c r="W248" s="206">
        <f>Admin!B248</f>
        <v>46364</v>
      </c>
    </row>
    <row r="249" spans="23:23" x14ac:dyDescent="0.15">
      <c r="W249" s="206">
        <f>Admin!B249</f>
        <v>46365</v>
      </c>
    </row>
    <row r="250" spans="23:23" x14ac:dyDescent="0.15">
      <c r="W250" s="206">
        <f>Admin!B250</f>
        <v>46366</v>
      </c>
    </row>
    <row r="251" spans="23:23" x14ac:dyDescent="0.15">
      <c r="W251" s="206">
        <f>Admin!B251</f>
        <v>46367</v>
      </c>
    </row>
    <row r="252" spans="23:23" x14ac:dyDescent="0.15">
      <c r="W252" s="206">
        <f>Admin!B252</f>
        <v>46368</v>
      </c>
    </row>
    <row r="253" spans="23:23" x14ac:dyDescent="0.15">
      <c r="W253" s="206">
        <f>Admin!B253</f>
        <v>46369</v>
      </c>
    </row>
    <row r="254" spans="23:23" x14ac:dyDescent="0.15">
      <c r="W254" s="206">
        <f>Admin!B254</f>
        <v>46370</v>
      </c>
    </row>
    <row r="255" spans="23:23" x14ac:dyDescent="0.15">
      <c r="W255" s="206">
        <f>Admin!B255</f>
        <v>46371</v>
      </c>
    </row>
    <row r="256" spans="23:23" x14ac:dyDescent="0.15">
      <c r="W256" s="206">
        <f>Admin!B256</f>
        <v>46372</v>
      </c>
    </row>
    <row r="257" spans="23:23" x14ac:dyDescent="0.15">
      <c r="W257" s="206">
        <f>Admin!B257</f>
        <v>46373</v>
      </c>
    </row>
    <row r="258" spans="23:23" x14ac:dyDescent="0.15">
      <c r="W258" s="206">
        <f>Admin!B258</f>
        <v>46374</v>
      </c>
    </row>
    <row r="259" spans="23:23" x14ac:dyDescent="0.15">
      <c r="W259" s="206">
        <f>Admin!B259</f>
        <v>46375</v>
      </c>
    </row>
    <row r="260" spans="23:23" x14ac:dyDescent="0.15">
      <c r="W260" s="206">
        <f>Admin!B260</f>
        <v>46376</v>
      </c>
    </row>
    <row r="261" spans="23:23" x14ac:dyDescent="0.15">
      <c r="W261" s="206">
        <f>Admin!B261</f>
        <v>46377</v>
      </c>
    </row>
    <row r="262" spans="23:23" x14ac:dyDescent="0.15">
      <c r="W262" s="206">
        <f>Admin!B262</f>
        <v>46378</v>
      </c>
    </row>
    <row r="263" spans="23:23" x14ac:dyDescent="0.15">
      <c r="W263" s="206">
        <f>Admin!B263</f>
        <v>46379</v>
      </c>
    </row>
    <row r="264" spans="23:23" x14ac:dyDescent="0.15">
      <c r="W264" s="206">
        <f>Admin!B264</f>
        <v>46380</v>
      </c>
    </row>
    <row r="265" spans="23:23" x14ac:dyDescent="0.15">
      <c r="W265" s="206">
        <f>Admin!B265</f>
        <v>46381</v>
      </c>
    </row>
    <row r="266" spans="23:23" x14ac:dyDescent="0.15">
      <c r="W266" s="206">
        <f>Admin!B266</f>
        <v>46382</v>
      </c>
    </row>
    <row r="267" spans="23:23" x14ac:dyDescent="0.15">
      <c r="W267" s="206">
        <f>Admin!B267</f>
        <v>46383</v>
      </c>
    </row>
    <row r="268" spans="23:23" x14ac:dyDescent="0.15">
      <c r="W268" s="206">
        <f>Admin!B268</f>
        <v>46384</v>
      </c>
    </row>
    <row r="269" spans="23:23" x14ac:dyDescent="0.15">
      <c r="W269" s="206">
        <f>Admin!B269</f>
        <v>46385</v>
      </c>
    </row>
    <row r="270" spans="23:23" x14ac:dyDescent="0.15">
      <c r="W270" s="206">
        <f>Admin!B270</f>
        <v>46386</v>
      </c>
    </row>
    <row r="271" spans="23:23" x14ac:dyDescent="0.15">
      <c r="W271" s="206">
        <f>Admin!B271</f>
        <v>46387</v>
      </c>
    </row>
    <row r="272" spans="23:23" x14ac:dyDescent="0.15">
      <c r="W272" s="206">
        <f>Admin!B272</f>
        <v>46388</v>
      </c>
    </row>
    <row r="273" spans="23:23" x14ac:dyDescent="0.15">
      <c r="W273" s="206">
        <f>Admin!B273</f>
        <v>46389</v>
      </c>
    </row>
    <row r="274" spans="23:23" x14ac:dyDescent="0.15">
      <c r="W274" s="206">
        <f>Admin!B274</f>
        <v>46390</v>
      </c>
    </row>
    <row r="275" spans="23:23" x14ac:dyDescent="0.15">
      <c r="W275" s="206">
        <f>Admin!B275</f>
        <v>46391</v>
      </c>
    </row>
    <row r="276" spans="23:23" x14ac:dyDescent="0.15">
      <c r="W276" s="206">
        <f>Admin!B276</f>
        <v>46392</v>
      </c>
    </row>
    <row r="277" spans="23:23" x14ac:dyDescent="0.15">
      <c r="W277" s="206">
        <f>Admin!B277</f>
        <v>46393</v>
      </c>
    </row>
    <row r="278" spans="23:23" x14ac:dyDescent="0.15">
      <c r="W278" s="206">
        <f>Admin!B278</f>
        <v>46394</v>
      </c>
    </row>
    <row r="279" spans="23:23" x14ac:dyDescent="0.15">
      <c r="W279" s="206">
        <f>Admin!B279</f>
        <v>46395</v>
      </c>
    </row>
    <row r="280" spans="23:23" x14ac:dyDescent="0.15">
      <c r="W280" s="206">
        <f>Admin!B280</f>
        <v>46396</v>
      </c>
    </row>
    <row r="281" spans="23:23" x14ac:dyDescent="0.15">
      <c r="W281" s="206">
        <f>Admin!B281</f>
        <v>46397</v>
      </c>
    </row>
    <row r="282" spans="23:23" x14ac:dyDescent="0.15">
      <c r="W282" s="206">
        <f>Admin!B282</f>
        <v>46398</v>
      </c>
    </row>
    <row r="283" spans="23:23" x14ac:dyDescent="0.15">
      <c r="W283" s="206">
        <f>Admin!B283</f>
        <v>46399</v>
      </c>
    </row>
    <row r="284" spans="23:23" x14ac:dyDescent="0.15">
      <c r="W284" s="206">
        <f>Admin!B284</f>
        <v>46400</v>
      </c>
    </row>
    <row r="285" spans="23:23" x14ac:dyDescent="0.15">
      <c r="W285" s="206">
        <f>Admin!B285</f>
        <v>46401</v>
      </c>
    </row>
    <row r="286" spans="23:23" x14ac:dyDescent="0.15">
      <c r="W286" s="206">
        <f>Admin!B286</f>
        <v>46402</v>
      </c>
    </row>
    <row r="287" spans="23:23" x14ac:dyDescent="0.15">
      <c r="W287" s="206">
        <f>Admin!B287</f>
        <v>46403</v>
      </c>
    </row>
    <row r="288" spans="23:23" x14ac:dyDescent="0.15">
      <c r="W288" s="206">
        <f>Admin!B288</f>
        <v>46404</v>
      </c>
    </row>
    <row r="289" spans="23:23" x14ac:dyDescent="0.15">
      <c r="W289" s="206">
        <f>Admin!B289</f>
        <v>46405</v>
      </c>
    </row>
    <row r="290" spans="23:23" x14ac:dyDescent="0.15">
      <c r="W290" s="206">
        <f>Admin!B290</f>
        <v>46406</v>
      </c>
    </row>
    <row r="291" spans="23:23" x14ac:dyDescent="0.15">
      <c r="W291" s="206">
        <f>Admin!B291</f>
        <v>46407</v>
      </c>
    </row>
    <row r="292" spans="23:23" x14ac:dyDescent="0.15">
      <c r="W292" s="206">
        <f>Admin!B292</f>
        <v>46408</v>
      </c>
    </row>
    <row r="293" spans="23:23" x14ac:dyDescent="0.15">
      <c r="W293" s="206">
        <f>Admin!B293</f>
        <v>46409</v>
      </c>
    </row>
    <row r="294" spans="23:23" x14ac:dyDescent="0.15">
      <c r="W294" s="206">
        <f>Admin!B294</f>
        <v>46410</v>
      </c>
    </row>
    <row r="295" spans="23:23" x14ac:dyDescent="0.15">
      <c r="W295" s="206">
        <f>Admin!B295</f>
        <v>46411</v>
      </c>
    </row>
    <row r="296" spans="23:23" x14ac:dyDescent="0.15">
      <c r="W296" s="206">
        <f>Admin!B296</f>
        <v>46412</v>
      </c>
    </row>
    <row r="297" spans="23:23" x14ac:dyDescent="0.15">
      <c r="W297" s="206">
        <f>Admin!B297</f>
        <v>46413</v>
      </c>
    </row>
    <row r="298" spans="23:23" x14ac:dyDescent="0.15">
      <c r="W298" s="206">
        <f>Admin!B298</f>
        <v>46414</v>
      </c>
    </row>
    <row r="299" spans="23:23" x14ac:dyDescent="0.15">
      <c r="W299" s="206">
        <f>Admin!B299</f>
        <v>46415</v>
      </c>
    </row>
    <row r="300" spans="23:23" x14ac:dyDescent="0.15">
      <c r="W300" s="206">
        <f>Admin!B300</f>
        <v>46416</v>
      </c>
    </row>
    <row r="301" spans="23:23" x14ac:dyDescent="0.15">
      <c r="W301" s="206">
        <f>Admin!B301</f>
        <v>46417</v>
      </c>
    </row>
    <row r="302" spans="23:23" x14ac:dyDescent="0.15">
      <c r="W302" s="206">
        <f>Admin!B302</f>
        <v>46418</v>
      </c>
    </row>
    <row r="303" spans="23:23" x14ac:dyDescent="0.15">
      <c r="W303" s="206">
        <f>Admin!B303</f>
        <v>46419</v>
      </c>
    </row>
    <row r="304" spans="23:23" x14ac:dyDescent="0.15">
      <c r="W304" s="206">
        <f>Admin!B304</f>
        <v>46420</v>
      </c>
    </row>
    <row r="305" spans="23:23" x14ac:dyDescent="0.15">
      <c r="W305" s="206">
        <f>Admin!B305</f>
        <v>46421</v>
      </c>
    </row>
    <row r="306" spans="23:23" x14ac:dyDescent="0.15">
      <c r="W306" s="206">
        <f>Admin!B306</f>
        <v>46422</v>
      </c>
    </row>
    <row r="307" spans="23:23" x14ac:dyDescent="0.15">
      <c r="W307" s="206">
        <f>Admin!B307</f>
        <v>46423</v>
      </c>
    </row>
    <row r="308" spans="23:23" x14ac:dyDescent="0.15">
      <c r="W308" s="206">
        <f>Admin!B308</f>
        <v>46424</v>
      </c>
    </row>
    <row r="309" spans="23:23" x14ac:dyDescent="0.15">
      <c r="W309" s="206">
        <f>Admin!B309</f>
        <v>46425</v>
      </c>
    </row>
    <row r="310" spans="23:23" x14ac:dyDescent="0.15">
      <c r="W310" s="206">
        <f>Admin!B310</f>
        <v>46426</v>
      </c>
    </row>
    <row r="311" spans="23:23" x14ac:dyDescent="0.15">
      <c r="W311" s="206">
        <f>Admin!B311</f>
        <v>46427</v>
      </c>
    </row>
    <row r="312" spans="23:23" x14ac:dyDescent="0.15">
      <c r="W312" s="206">
        <f>Admin!B312</f>
        <v>46428</v>
      </c>
    </row>
    <row r="313" spans="23:23" x14ac:dyDescent="0.15">
      <c r="W313" s="206">
        <f>Admin!B313</f>
        <v>46429</v>
      </c>
    </row>
    <row r="314" spans="23:23" x14ac:dyDescent="0.15">
      <c r="W314" s="206">
        <f>Admin!B314</f>
        <v>46430</v>
      </c>
    </row>
    <row r="315" spans="23:23" x14ac:dyDescent="0.15">
      <c r="W315" s="206">
        <f>Admin!B315</f>
        <v>46431</v>
      </c>
    </row>
    <row r="316" spans="23:23" x14ac:dyDescent="0.15">
      <c r="W316" s="206">
        <f>Admin!B316</f>
        <v>46432</v>
      </c>
    </row>
    <row r="317" spans="23:23" x14ac:dyDescent="0.15">
      <c r="W317" s="206">
        <f>Admin!B317</f>
        <v>46433</v>
      </c>
    </row>
    <row r="318" spans="23:23" x14ac:dyDescent="0.15">
      <c r="W318" s="206">
        <f>Admin!B318</f>
        <v>46434</v>
      </c>
    </row>
    <row r="319" spans="23:23" x14ac:dyDescent="0.15">
      <c r="W319" s="206">
        <f>Admin!B319</f>
        <v>46435</v>
      </c>
    </row>
    <row r="320" spans="23:23" x14ac:dyDescent="0.15">
      <c r="W320" s="206">
        <f>Admin!B320</f>
        <v>46436</v>
      </c>
    </row>
    <row r="321" spans="23:23" x14ac:dyDescent="0.15">
      <c r="W321" s="206">
        <f>Admin!B321</f>
        <v>46437</v>
      </c>
    </row>
    <row r="322" spans="23:23" x14ac:dyDescent="0.15">
      <c r="W322" s="206">
        <f>Admin!B322</f>
        <v>46438</v>
      </c>
    </row>
    <row r="323" spans="23:23" x14ac:dyDescent="0.15">
      <c r="W323" s="206">
        <f>Admin!B323</f>
        <v>46439</v>
      </c>
    </row>
    <row r="324" spans="23:23" x14ac:dyDescent="0.15">
      <c r="W324" s="206">
        <f>Admin!B324</f>
        <v>46440</v>
      </c>
    </row>
    <row r="325" spans="23:23" x14ac:dyDescent="0.15">
      <c r="W325" s="206">
        <f>Admin!B325</f>
        <v>46441</v>
      </c>
    </row>
    <row r="326" spans="23:23" x14ac:dyDescent="0.15">
      <c r="W326" s="206">
        <f>Admin!B326</f>
        <v>46442</v>
      </c>
    </row>
    <row r="327" spans="23:23" x14ac:dyDescent="0.15">
      <c r="W327" s="206">
        <f>Admin!B327</f>
        <v>46443</v>
      </c>
    </row>
    <row r="328" spans="23:23" x14ac:dyDescent="0.15">
      <c r="W328" s="206">
        <f>Admin!B328</f>
        <v>46444</v>
      </c>
    </row>
    <row r="329" spans="23:23" x14ac:dyDescent="0.15">
      <c r="W329" s="206">
        <f>Admin!B329</f>
        <v>46445</v>
      </c>
    </row>
    <row r="330" spans="23:23" x14ac:dyDescent="0.15">
      <c r="W330" s="206">
        <f>Admin!B330</f>
        <v>46446</v>
      </c>
    </row>
    <row r="331" spans="23:23" x14ac:dyDescent="0.15">
      <c r="W331" s="206">
        <f>Admin!B331</f>
        <v>46447</v>
      </c>
    </row>
    <row r="332" spans="23:23" x14ac:dyDescent="0.15">
      <c r="W332" s="206">
        <f>Admin!B332</f>
        <v>46448</v>
      </c>
    </row>
    <row r="333" spans="23:23" x14ac:dyDescent="0.15">
      <c r="W333" s="206">
        <f>Admin!B333</f>
        <v>46449</v>
      </c>
    </row>
    <row r="334" spans="23:23" x14ac:dyDescent="0.15">
      <c r="W334" s="206">
        <f>Admin!B334</f>
        <v>46450</v>
      </c>
    </row>
    <row r="335" spans="23:23" x14ac:dyDescent="0.15">
      <c r="W335" s="206">
        <f>Admin!B335</f>
        <v>46451</v>
      </c>
    </row>
    <row r="336" spans="23:23" x14ac:dyDescent="0.15">
      <c r="W336" s="206">
        <f>Admin!B336</f>
        <v>46452</v>
      </c>
    </row>
    <row r="337" spans="23:23" x14ac:dyDescent="0.15">
      <c r="W337" s="206">
        <f>Admin!B337</f>
        <v>46453</v>
      </c>
    </row>
    <row r="338" spans="23:23" x14ac:dyDescent="0.15">
      <c r="W338" s="206">
        <f>Admin!B338</f>
        <v>46454</v>
      </c>
    </row>
    <row r="339" spans="23:23" x14ac:dyDescent="0.15">
      <c r="W339" s="206">
        <f>Admin!B339</f>
        <v>46455</v>
      </c>
    </row>
    <row r="340" spans="23:23" x14ac:dyDescent="0.15">
      <c r="W340" s="206">
        <f>Admin!B340</f>
        <v>46456</v>
      </c>
    </row>
    <row r="341" spans="23:23" x14ac:dyDescent="0.15">
      <c r="W341" s="206">
        <f>Admin!B341</f>
        <v>46457</v>
      </c>
    </row>
    <row r="342" spans="23:23" x14ac:dyDescent="0.15">
      <c r="W342" s="206">
        <f>Admin!B342</f>
        <v>46458</v>
      </c>
    </row>
    <row r="343" spans="23:23" x14ac:dyDescent="0.15">
      <c r="W343" s="206">
        <f>Admin!B343</f>
        <v>46459</v>
      </c>
    </row>
    <row r="344" spans="23:23" x14ac:dyDescent="0.15">
      <c r="W344" s="206">
        <f>Admin!B344</f>
        <v>46460</v>
      </c>
    </row>
    <row r="345" spans="23:23" x14ac:dyDescent="0.15">
      <c r="W345" s="206">
        <f>Admin!B345</f>
        <v>46461</v>
      </c>
    </row>
    <row r="346" spans="23:23" x14ac:dyDescent="0.15">
      <c r="W346" s="206">
        <f>Admin!B346</f>
        <v>46462</v>
      </c>
    </row>
    <row r="347" spans="23:23" x14ac:dyDescent="0.15">
      <c r="W347" s="206">
        <f>Admin!B347</f>
        <v>46463</v>
      </c>
    </row>
    <row r="348" spans="23:23" x14ac:dyDescent="0.15">
      <c r="W348" s="206">
        <f>Admin!B348</f>
        <v>46464</v>
      </c>
    </row>
    <row r="349" spans="23:23" x14ac:dyDescent="0.15">
      <c r="W349" s="206">
        <f>Admin!B349</f>
        <v>46465</v>
      </c>
    </row>
    <row r="350" spans="23:23" x14ac:dyDescent="0.15">
      <c r="W350" s="206">
        <f>Admin!B350</f>
        <v>46466</v>
      </c>
    </row>
    <row r="351" spans="23:23" x14ac:dyDescent="0.15">
      <c r="W351" s="206">
        <f>Admin!B351</f>
        <v>46467</v>
      </c>
    </row>
    <row r="352" spans="23:23" x14ac:dyDescent="0.15">
      <c r="W352" s="206">
        <f>Admin!B352</f>
        <v>46468</v>
      </c>
    </row>
    <row r="353" spans="23:23" x14ac:dyDescent="0.15">
      <c r="W353" s="206">
        <f>Admin!B353</f>
        <v>46469</v>
      </c>
    </row>
    <row r="354" spans="23:23" x14ac:dyDescent="0.15">
      <c r="W354" s="206">
        <f>Admin!B354</f>
        <v>46470</v>
      </c>
    </row>
    <row r="355" spans="23:23" x14ac:dyDescent="0.15">
      <c r="W355" s="206">
        <f>Admin!B355</f>
        <v>46471</v>
      </c>
    </row>
    <row r="356" spans="23:23" x14ac:dyDescent="0.15">
      <c r="W356" s="206">
        <f>Admin!B356</f>
        <v>46472</v>
      </c>
    </row>
    <row r="357" spans="23:23" x14ac:dyDescent="0.15">
      <c r="W357" s="206">
        <f>Admin!B357</f>
        <v>46473</v>
      </c>
    </row>
    <row r="358" spans="23:23" x14ac:dyDescent="0.15">
      <c r="W358" s="206">
        <f>Admin!B358</f>
        <v>46474</v>
      </c>
    </row>
    <row r="359" spans="23:23" x14ac:dyDescent="0.15">
      <c r="W359" s="206">
        <f>Admin!B359</f>
        <v>46475</v>
      </c>
    </row>
    <row r="360" spans="23:23" x14ac:dyDescent="0.15">
      <c r="W360" s="206">
        <f>Admin!B360</f>
        <v>46476</v>
      </c>
    </row>
    <row r="361" spans="23:23" x14ac:dyDescent="0.15">
      <c r="W361" s="206">
        <f>Admin!B361</f>
        <v>46477</v>
      </c>
    </row>
    <row r="362" spans="23:23" x14ac:dyDescent="0.15">
      <c r="W362" s="206">
        <f>Admin!B362</f>
        <v>46478</v>
      </c>
    </row>
    <row r="363" spans="23:23" x14ac:dyDescent="0.15">
      <c r="W363" s="206">
        <f>Admin!B363</f>
        <v>46479</v>
      </c>
    </row>
    <row r="364" spans="23:23" x14ac:dyDescent="0.15">
      <c r="W364" s="206">
        <f>Admin!B364</f>
        <v>46480</v>
      </c>
    </row>
    <row r="365" spans="23:23" x14ac:dyDescent="0.15">
      <c r="W365" s="206">
        <f>Admin!B365</f>
        <v>46481</v>
      </c>
    </row>
    <row r="366" spans="23:23" x14ac:dyDescent="0.15">
      <c r="W366" s="206">
        <f>Admin!B366</f>
        <v>46482</v>
      </c>
    </row>
  </sheetData>
  <mergeCells count="51">
    <mergeCell ref="S91:S92"/>
    <mergeCell ref="D93:F93"/>
    <mergeCell ref="D67:F67"/>
    <mergeCell ref="D68:F68"/>
    <mergeCell ref="M67:O67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S39:S40"/>
    <mergeCell ref="H39:H40"/>
    <mergeCell ref="S13:S14"/>
    <mergeCell ref="Q3:S3"/>
    <mergeCell ref="H3:M3"/>
    <mergeCell ref="D15:F15"/>
    <mergeCell ref="D16:F16"/>
    <mergeCell ref="M15:O15"/>
    <mergeCell ref="D5:F5"/>
    <mergeCell ref="D6:F6"/>
    <mergeCell ref="O13:P13"/>
    <mergeCell ref="D7:F7"/>
    <mergeCell ref="H13:H14"/>
    <mergeCell ref="H5:O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03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03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">
        <v>105</v>
      </c>
      <c r="I3" s="372" t="s">
        <v>43</v>
      </c>
      <c r="J3" s="372" t="s">
        <v>44</v>
      </c>
      <c r="K3" s="405" t="s">
        <v>48</v>
      </c>
      <c r="L3" s="405" t="s">
        <v>31</v>
      </c>
      <c r="M3" s="424" t="s">
        <v>46</v>
      </c>
      <c r="N3" s="372" t="s">
        <v>1</v>
      </c>
      <c r="O3" s="391" t="s">
        <v>26</v>
      </c>
      <c r="P3" s="372" t="s">
        <v>106</v>
      </c>
      <c r="Q3" s="391" t="s">
        <v>2</v>
      </c>
      <c r="R3" s="424" t="s">
        <v>47</v>
      </c>
      <c r="S3" s="42"/>
      <c r="T3" s="391" t="s">
        <v>27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408"/>
      <c r="J4" s="408"/>
      <c r="K4" s="406"/>
      <c r="L4" s="406"/>
      <c r="M4" s="425"/>
      <c r="N4" s="373"/>
      <c r="O4" s="387"/>
      <c r="P4" s="373"/>
      <c r="Q4" s="387"/>
      <c r="R4" s="425"/>
      <c r="S4" s="42"/>
      <c r="T4" s="387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408"/>
      <c r="J5" s="408"/>
      <c r="K5" s="406"/>
      <c r="L5" s="406"/>
      <c r="M5" s="425"/>
      <c r="N5" s="373"/>
      <c r="O5" s="387"/>
      <c r="P5" s="373"/>
      <c r="Q5" s="387"/>
      <c r="R5" s="425"/>
      <c r="S5" s="42"/>
      <c r="T5" s="387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409"/>
      <c r="J6" s="409"/>
      <c r="K6" s="407"/>
      <c r="L6" s="407"/>
      <c r="M6" s="425"/>
      <c r="N6" s="374"/>
      <c r="O6" s="387"/>
      <c r="P6" s="374"/>
      <c r="Q6" s="387"/>
      <c r="R6" s="425"/>
      <c r="S6" s="41"/>
      <c r="T6" s="387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426"/>
      <c r="S8" s="427"/>
      <c r="T8" s="42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</v>
      </c>
      <c r="F9" s="35"/>
      <c r="G9" s="35"/>
      <c r="H9" s="378" t="s">
        <v>57</v>
      </c>
      <c r="I9" s="376"/>
      <c r="J9" s="377"/>
      <c r="K9" s="201">
        <f>Admin!B2</f>
        <v>46118</v>
      </c>
      <c r="L9" s="200" t="s">
        <v>76</v>
      </c>
      <c r="M9" s="202">
        <f>K9+(7-WEEKDAY(K9, 2))</f>
        <v>46124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01" t="s">
        <v>7</v>
      </c>
      <c r="G16" s="402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</v>
      </c>
      <c r="F19" s="35"/>
      <c r="G19" s="35"/>
      <c r="H19" s="378" t="s">
        <v>28</v>
      </c>
      <c r="I19" s="376"/>
      <c r="J19" s="377"/>
      <c r="K19" s="201">
        <f>M9+1</f>
        <v>46125</v>
      </c>
      <c r="L19" s="200" t="s">
        <v>76</v>
      </c>
      <c r="M19" s="202">
        <f>K19+6</f>
        <v>46131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</v>
      </c>
      <c r="F29" s="35"/>
      <c r="G29" s="35"/>
      <c r="H29" s="378" t="s">
        <v>28</v>
      </c>
      <c r="I29" s="376"/>
      <c r="J29" s="377"/>
      <c r="K29" s="201">
        <f>M19+1</f>
        <v>46132</v>
      </c>
      <c r="L29" s="200" t="s">
        <v>76</v>
      </c>
      <c r="M29" s="202">
        <f>K29+6</f>
        <v>46138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4</v>
      </c>
      <c r="F39" s="35"/>
      <c r="G39" s="35"/>
      <c r="H39" s="378" t="s">
        <v>28</v>
      </c>
      <c r="I39" s="376"/>
      <c r="J39" s="377"/>
      <c r="K39" s="201">
        <f>M29+1</f>
        <v>46139</v>
      </c>
      <c r="L39" s="200" t="s">
        <v>76</v>
      </c>
      <c r="M39" s="202">
        <f>K39+6</f>
        <v>46145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</v>
      </c>
      <c r="F49" s="35"/>
      <c r="G49" s="35"/>
      <c r="H49" s="378" t="s">
        <v>28</v>
      </c>
      <c r="I49" s="376"/>
      <c r="J49" s="377"/>
      <c r="K49" s="204">
        <f>DATE(2026,4,6)</f>
        <v>46118</v>
      </c>
      <c r="L49" s="203" t="s">
        <v>76</v>
      </c>
      <c r="M49" s="205">
        <f>DATE(2026,4,30)</f>
        <v>46142</v>
      </c>
      <c r="N49" s="20"/>
      <c r="O49" s="388" t="s">
        <v>49</v>
      </c>
      <c r="P49" s="389"/>
      <c r="Q49" s="389"/>
      <c r="R49" s="390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5</v>
      </c>
      <c r="F9" s="35"/>
      <c r="G9" s="35"/>
      <c r="H9" s="378" t="s">
        <v>28</v>
      </c>
      <c r="I9" s="376"/>
      <c r="J9" s="377"/>
      <c r="K9" s="204">
        <f>Apr!M39+1</f>
        <v>46146</v>
      </c>
      <c r="L9" s="203" t="s">
        <v>76</v>
      </c>
      <c r="M9" s="205">
        <f>K9+6</f>
        <v>46152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6</v>
      </c>
      <c r="F19" s="35"/>
      <c r="G19" s="35"/>
      <c r="H19" s="378" t="s">
        <v>28</v>
      </c>
      <c r="I19" s="376"/>
      <c r="J19" s="377"/>
      <c r="K19" s="204">
        <f>M9+1</f>
        <v>46153</v>
      </c>
      <c r="L19" s="203" t="s">
        <v>76</v>
      </c>
      <c r="M19" s="205">
        <f>K19+6</f>
        <v>46159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7</v>
      </c>
      <c r="F29" s="35"/>
      <c r="G29" s="35"/>
      <c r="H29" s="378" t="s">
        <v>28</v>
      </c>
      <c r="I29" s="376"/>
      <c r="J29" s="377"/>
      <c r="K29" s="204">
        <f>M19+1</f>
        <v>46160</v>
      </c>
      <c r="L29" s="203" t="s">
        <v>76</v>
      </c>
      <c r="M29" s="205">
        <f>K29+6</f>
        <v>46166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8</v>
      </c>
      <c r="F39" s="35"/>
      <c r="G39" s="35"/>
      <c r="H39" s="378" t="s">
        <v>28</v>
      </c>
      <c r="I39" s="376"/>
      <c r="J39" s="377"/>
      <c r="K39" s="204">
        <f>M29+1</f>
        <v>46167</v>
      </c>
      <c r="L39" s="203" t="s">
        <v>76</v>
      </c>
      <c r="M39" s="205">
        <f>K39+6</f>
        <v>46173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2</v>
      </c>
      <c r="F49" s="35"/>
      <c r="G49" s="35"/>
      <c r="H49" s="378" t="s">
        <v>28</v>
      </c>
      <c r="I49" s="376"/>
      <c r="J49" s="377"/>
      <c r="K49" s="204">
        <f>DATE(2026,5,1)</f>
        <v>46143</v>
      </c>
      <c r="L49" s="203" t="s">
        <v>76</v>
      </c>
      <c r="M49" s="205">
        <f>DATE(2026,5,31)</f>
        <v>46173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1" t="s">
        <v>4</v>
      </c>
      <c r="J1" s="442"/>
      <c r="K1" s="442"/>
      <c r="L1" s="443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9</v>
      </c>
      <c r="F9" s="35"/>
      <c r="G9" s="35"/>
      <c r="H9" s="378" t="s">
        <v>28</v>
      </c>
      <c r="I9" s="376"/>
      <c r="J9" s="377"/>
      <c r="K9" s="204">
        <f>May!M39+1</f>
        <v>46174</v>
      </c>
      <c r="L9" s="203" t="s">
        <v>76</v>
      </c>
      <c r="M9" s="205">
        <f>K9+6</f>
        <v>46180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10</v>
      </c>
      <c r="F19" s="35"/>
      <c r="G19" s="35"/>
      <c r="H19" s="378" t="s">
        <v>28</v>
      </c>
      <c r="I19" s="376"/>
      <c r="J19" s="377"/>
      <c r="K19" s="204">
        <f>M9+1</f>
        <v>46181</v>
      </c>
      <c r="L19" s="203" t="s">
        <v>76</v>
      </c>
      <c r="M19" s="205">
        <f>K19+6</f>
        <v>46187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11</v>
      </c>
      <c r="F29" s="35"/>
      <c r="G29" s="35"/>
      <c r="H29" s="378" t="s">
        <v>28</v>
      </c>
      <c r="I29" s="376"/>
      <c r="J29" s="377"/>
      <c r="K29" s="204">
        <f>M19+1</f>
        <v>46188</v>
      </c>
      <c r="L29" s="203" t="s">
        <v>76</v>
      </c>
      <c r="M29" s="205">
        <f>K29+6</f>
        <v>46194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12</v>
      </c>
      <c r="F39" s="35"/>
      <c r="G39" s="35"/>
      <c r="H39" s="378" t="s">
        <v>28</v>
      </c>
      <c r="I39" s="432"/>
      <c r="J39" s="433"/>
      <c r="K39" s="204">
        <f>M29+1</f>
        <v>46195</v>
      </c>
      <c r="L39" s="203" t="s">
        <v>76</v>
      </c>
      <c r="M39" s="205">
        <f>K39+6</f>
        <v>46201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78" t="s">
        <v>9</v>
      </c>
      <c r="C49" s="432"/>
      <c r="D49" s="433"/>
      <c r="E49" s="156">
        <v>13</v>
      </c>
      <c r="F49" s="35"/>
      <c r="G49" s="35"/>
      <c r="H49" s="378" t="s">
        <v>28</v>
      </c>
      <c r="I49" s="432"/>
      <c r="J49" s="433"/>
      <c r="K49" s="204">
        <f>M39+1</f>
        <v>46202</v>
      </c>
      <c r="L49" s="203" t="s">
        <v>76</v>
      </c>
      <c r="M49" s="205">
        <f>K49+6</f>
        <v>46208</v>
      </c>
      <c r="N49" s="20"/>
      <c r="O49" s="388" t="s">
        <v>63</v>
      </c>
      <c r="P49" s="434"/>
      <c r="Q49" s="434"/>
      <c r="R49" s="435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3</v>
      </c>
      <c r="F59" s="35"/>
      <c r="G59" s="35"/>
      <c r="H59" s="378" t="s">
        <v>28</v>
      </c>
      <c r="I59" s="376"/>
      <c r="J59" s="377"/>
      <c r="K59" s="204">
        <f>DATE(2026,6,1)</f>
        <v>46174</v>
      </c>
      <c r="L59" s="203" t="s">
        <v>76</v>
      </c>
      <c r="M59" s="205">
        <f>DATE(2026,6,30)</f>
        <v>46203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  <mergeCell ref="A1:A6"/>
    <mergeCell ref="B3:B6"/>
    <mergeCell ref="C3:C6"/>
    <mergeCell ref="D3:D6"/>
    <mergeCell ref="E3:E6"/>
    <mergeCell ref="B1:F2"/>
    <mergeCell ref="F3:F6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AD1:AG2"/>
    <mergeCell ref="AD3:AD6"/>
    <mergeCell ref="AE3:AE6"/>
    <mergeCell ref="AF3:AF6"/>
    <mergeCell ref="AG3:AG6"/>
    <mergeCell ref="B7:T7"/>
    <mergeCell ref="B8:E8"/>
    <mergeCell ref="O8:Q8"/>
    <mergeCell ref="T3:T6"/>
    <mergeCell ref="V3:V6"/>
    <mergeCell ref="U1:U6"/>
    <mergeCell ref="R8:T8"/>
    <mergeCell ref="X3:X6"/>
    <mergeCell ref="G1:H1"/>
    <mergeCell ref="L3:L6"/>
    <mergeCell ref="M3:M6"/>
    <mergeCell ref="R3:R6"/>
    <mergeCell ref="H3:H6"/>
    <mergeCell ref="R38:T38"/>
    <mergeCell ref="F36:G36"/>
    <mergeCell ref="B37:T37"/>
    <mergeCell ref="B38:E38"/>
    <mergeCell ref="B39:D39"/>
    <mergeCell ref="H39:J39"/>
    <mergeCell ref="O39:R39"/>
    <mergeCell ref="O38:Q38"/>
    <mergeCell ref="F56:G56"/>
    <mergeCell ref="B28:E28"/>
    <mergeCell ref="B29:D29"/>
    <mergeCell ref="H29:J29"/>
    <mergeCell ref="F46:G46"/>
    <mergeCell ref="R48:T48"/>
    <mergeCell ref="B49:D49"/>
    <mergeCell ref="H49:J49"/>
    <mergeCell ref="O49:R49"/>
    <mergeCell ref="B47:T47"/>
    <mergeCell ref="B48:E48"/>
    <mergeCell ref="O48:Q48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14</v>
      </c>
      <c r="F9" s="35"/>
      <c r="G9" s="35"/>
      <c r="H9" s="378" t="s">
        <v>28</v>
      </c>
      <c r="I9" s="432"/>
      <c r="J9" s="433"/>
      <c r="K9" s="204">
        <f>Admin!B91</f>
        <v>46207</v>
      </c>
      <c r="L9" s="203" t="s">
        <v>76</v>
      </c>
      <c r="M9" s="205">
        <f>K9+6</f>
        <v>46213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15</v>
      </c>
      <c r="F19" s="35"/>
      <c r="G19" s="35"/>
      <c r="H19" s="378" t="s">
        <v>28</v>
      </c>
      <c r="I19" s="376"/>
      <c r="J19" s="377"/>
      <c r="K19" s="204">
        <f>M9+1</f>
        <v>46214</v>
      </c>
      <c r="L19" s="203" t="s">
        <v>76</v>
      </c>
      <c r="M19" s="205">
        <f>K19+6</f>
        <v>46220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16</v>
      </c>
      <c r="F29" s="35"/>
      <c r="G29" s="35"/>
      <c r="H29" s="378" t="s">
        <v>28</v>
      </c>
      <c r="I29" s="376"/>
      <c r="J29" s="377"/>
      <c r="K29" s="204">
        <f>M19+1</f>
        <v>46221</v>
      </c>
      <c r="L29" s="203" t="s">
        <v>76</v>
      </c>
      <c r="M29" s="205">
        <f>K29+6</f>
        <v>46227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17</v>
      </c>
      <c r="F39" s="35"/>
      <c r="G39" s="35"/>
      <c r="H39" s="378" t="s">
        <v>28</v>
      </c>
      <c r="I39" s="376"/>
      <c r="J39" s="377"/>
      <c r="K39" s="204">
        <f>M29+1</f>
        <v>46228</v>
      </c>
      <c r="L39" s="203" t="s">
        <v>76</v>
      </c>
      <c r="M39" s="205">
        <f>K39+6</f>
        <v>46234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4</v>
      </c>
      <c r="F49" s="35"/>
      <c r="G49" s="35"/>
      <c r="H49" s="378" t="s">
        <v>28</v>
      </c>
      <c r="I49" s="376"/>
      <c r="J49" s="377"/>
      <c r="K49" s="204">
        <f>DATE(2026,7,1)</f>
        <v>46204</v>
      </c>
      <c r="L49" s="203" t="s">
        <v>76</v>
      </c>
      <c r="M49" s="205">
        <f>DATE(2026,7,31)</f>
        <v>46234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9:D9"/>
    <mergeCell ref="H9:J9"/>
    <mergeCell ref="O9:R9"/>
    <mergeCell ref="H19:J19"/>
    <mergeCell ref="O19:R19"/>
    <mergeCell ref="F16:G1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AD1:AG2"/>
    <mergeCell ref="AE3:AE6"/>
    <mergeCell ref="AF3:AF6"/>
    <mergeCell ref="AG3:AG6"/>
    <mergeCell ref="AD3:AD6"/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18</v>
      </c>
      <c r="F9" s="35"/>
      <c r="G9" s="35"/>
      <c r="H9" s="378" t="s">
        <v>28</v>
      </c>
      <c r="I9" s="376"/>
      <c r="J9" s="377"/>
      <c r="K9" s="204">
        <f>Admin!B119</f>
        <v>46235</v>
      </c>
      <c r="L9" s="203" t="s">
        <v>76</v>
      </c>
      <c r="M9" s="205">
        <f>K9+6</f>
        <v>46241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IF(T$9="Y",Jul!H41,0)</f>
        <v>0</v>
      </c>
      <c r="I12" s="92">
        <f>IF(T$9="Y",Jul!I41,0)</f>
        <v>0</v>
      </c>
      <c r="J12" s="92">
        <f>IF(T$9="Y",Jul!J41,0)</f>
        <v>0</v>
      </c>
      <c r="K12" s="92">
        <f>IF(T$9="Y",Jul!K41,I12*J12)</f>
        <v>0</v>
      </c>
      <c r="L12" s="111">
        <f>IF(T$9="Y",Jul!L41,0)</f>
        <v>0</v>
      </c>
      <c r="M12" s="111" t="str">
        <f>IF(E12=" "," ",IF(T$9="Y",Jul!M41,IF((H12+K12+L12)&gt;0,H12+K12+L12,"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IF(T$9="Y",Jul!H41,0)</f>
        <v>0</v>
      </c>
      <c r="I13" s="92">
        <f>IF(T$9="Y",Jul!I41,0)</f>
        <v>0</v>
      </c>
      <c r="J13" s="92">
        <f>IF(T$9="Y",Jul!J41,0)</f>
        <v>0</v>
      </c>
      <c r="K13" s="92">
        <f>IF(T$9="Y",Jul!K41,I13*J13)</f>
        <v>0</v>
      </c>
      <c r="L13" s="111">
        <f>IF(T$9="Y",Jul!L41,0)</f>
        <v>0</v>
      </c>
      <c r="M13" s="111" t="str">
        <f>IF(E13=" "," ",IF(T$9="Y",Jul!M41,IF((H13+K13+L13)&gt;0,H13+K13+L13,"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IF(T$9="Y",Jul!H41,0)</f>
        <v>0</v>
      </c>
      <c r="I14" s="92">
        <f>IF(T$9="Y",Jul!I41,0)</f>
        <v>0</v>
      </c>
      <c r="J14" s="92">
        <f>IF(T$9="Y",Jul!J41,0)</f>
        <v>0</v>
      </c>
      <c r="K14" s="92">
        <f>IF(T$9="Y",Jul!K41,I14*J14)</f>
        <v>0</v>
      </c>
      <c r="L14" s="111">
        <f>IF(T$9="Y",Jul!L41,0)</f>
        <v>0</v>
      </c>
      <c r="M14" s="111" t="str">
        <f>IF(E14=" "," ",IF(T$9="Y",Jul!M41,IF((H14+K14+L14)&gt;0,H14+K14+L14,"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IF(T$9="Y",Jul!H41,0)</f>
        <v>0</v>
      </c>
      <c r="I15" s="245">
        <f>IF(T$9="Y",Jul!I41,0)</f>
        <v>0</v>
      </c>
      <c r="J15" s="245">
        <f>IF(T$9="Y",Jul!J41,0)</f>
        <v>0</v>
      </c>
      <c r="K15" s="245">
        <f>IF(T$9="Y",Jul!K41,I15*J15)</f>
        <v>0</v>
      </c>
      <c r="L15" s="246">
        <f>IF(T$9="Y",Jul!L41,0)</f>
        <v>0</v>
      </c>
      <c r="M15" s="246" t="str">
        <f>IF(E15=" "," ",IF(T$9="Y",Jul!M41,IF((H15+K15+L15)&gt;0,H15+K15+L15,"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19</v>
      </c>
      <c r="F19" s="35"/>
      <c r="G19" s="35"/>
      <c r="H19" s="378" t="s">
        <v>28</v>
      </c>
      <c r="I19" s="376"/>
      <c r="J19" s="377"/>
      <c r="K19" s="204">
        <f>M9+1</f>
        <v>46242</v>
      </c>
      <c r="L19" s="203" t="s">
        <v>76</v>
      </c>
      <c r="M19" s="205">
        <f>K19+6</f>
        <v>46248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20</v>
      </c>
      <c r="F29" s="35"/>
      <c r="G29" s="35"/>
      <c r="H29" s="378" t="s">
        <v>28</v>
      </c>
      <c r="I29" s="376"/>
      <c r="J29" s="377"/>
      <c r="K29" s="204">
        <f>M19+1</f>
        <v>46249</v>
      </c>
      <c r="L29" s="203" t="s">
        <v>76</v>
      </c>
      <c r="M29" s="205">
        <f>K29+6</f>
        <v>46255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21</v>
      </c>
      <c r="F39" s="35"/>
      <c r="G39" s="35"/>
      <c r="H39" s="378" t="s">
        <v>28</v>
      </c>
      <c r="I39" s="432"/>
      <c r="J39" s="433"/>
      <c r="K39" s="204">
        <f>M29+1</f>
        <v>46256</v>
      </c>
      <c r="L39" s="203" t="s">
        <v>76</v>
      </c>
      <c r="M39" s="205">
        <f>K39+6</f>
        <v>46262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5</v>
      </c>
      <c r="F49" s="35"/>
      <c r="G49" s="35"/>
      <c r="H49" s="378" t="s">
        <v>28</v>
      </c>
      <c r="I49" s="376"/>
      <c r="J49" s="377"/>
      <c r="K49" s="204">
        <f>DATE(2026,8,1)</f>
        <v>46235</v>
      </c>
      <c r="L49" s="203" t="s">
        <v>76</v>
      </c>
      <c r="M49" s="205">
        <f>DATE(2026,8,31)</f>
        <v>46265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22</v>
      </c>
      <c r="F9" s="35"/>
      <c r="G9" s="35"/>
      <c r="H9" s="378" t="s">
        <v>28</v>
      </c>
      <c r="I9" s="376"/>
      <c r="J9" s="377"/>
      <c r="K9" s="204">
        <f>Aug!M39+1</f>
        <v>46263</v>
      </c>
      <c r="L9" s="203" t="s">
        <v>76</v>
      </c>
      <c r="M9" s="205">
        <f>K9+6</f>
        <v>46269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23</v>
      </c>
      <c r="F19" s="35"/>
      <c r="G19" s="35"/>
      <c r="H19" s="378" t="s">
        <v>28</v>
      </c>
      <c r="I19" s="376"/>
      <c r="J19" s="377"/>
      <c r="K19" s="204">
        <f>M9+1</f>
        <v>46270</v>
      </c>
      <c r="L19" s="203" t="s">
        <v>76</v>
      </c>
      <c r="M19" s="205">
        <f>K19+6</f>
        <v>46276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24</v>
      </c>
      <c r="F29" s="35"/>
      <c r="G29" s="35"/>
      <c r="H29" s="378" t="s">
        <v>28</v>
      </c>
      <c r="I29" s="376"/>
      <c r="J29" s="377"/>
      <c r="K29" s="204">
        <f>M19+1</f>
        <v>46277</v>
      </c>
      <c r="L29" s="203" t="s">
        <v>76</v>
      </c>
      <c r="M29" s="205">
        <f>K29+6</f>
        <v>46283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25</v>
      </c>
      <c r="F39" s="35"/>
      <c r="G39" s="35"/>
      <c r="H39" s="378" t="s">
        <v>28</v>
      </c>
      <c r="I39" s="432"/>
      <c r="J39" s="433"/>
      <c r="K39" s="204">
        <f>M29+1</f>
        <v>46284</v>
      </c>
      <c r="L39" s="203" t="s">
        <v>76</v>
      </c>
      <c r="M39" s="205">
        <f>K39+6</f>
        <v>46290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26</v>
      </c>
      <c r="F49" s="35"/>
      <c r="G49" s="35"/>
      <c r="H49" s="378" t="s">
        <v>28</v>
      </c>
      <c r="I49" s="432"/>
      <c r="J49" s="433"/>
      <c r="K49" s="204">
        <f>Admin!B175</f>
        <v>46291</v>
      </c>
      <c r="L49" s="203" t="s">
        <v>76</v>
      </c>
      <c r="M49" s="205">
        <f>K49+6</f>
        <v>46297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6</v>
      </c>
      <c r="F59" s="35"/>
      <c r="G59" s="35"/>
      <c r="H59" s="378" t="s">
        <v>28</v>
      </c>
      <c r="I59" s="376"/>
      <c r="J59" s="377"/>
      <c r="K59" s="204">
        <f>DATE(2026,9,1)</f>
        <v>46266</v>
      </c>
      <c r="L59" s="203" t="s">
        <v>76</v>
      </c>
      <c r="M59" s="205">
        <f>DATE(2026,9,30)</f>
        <v>46295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0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27</v>
      </c>
      <c r="F9" s="35"/>
      <c r="G9" s="35"/>
      <c r="H9" s="378" t="s">
        <v>28</v>
      </c>
      <c r="I9" s="432"/>
      <c r="J9" s="433"/>
      <c r="K9" s="204">
        <f>Admin!B182</f>
        <v>46298</v>
      </c>
      <c r="L9" s="203" t="s">
        <v>76</v>
      </c>
      <c r="M9" s="205">
        <f>Admin!B188</f>
        <v>46304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28</v>
      </c>
      <c r="F19" s="35"/>
      <c r="G19" s="35"/>
      <c r="H19" s="378" t="s">
        <v>28</v>
      </c>
      <c r="I19" s="376"/>
      <c r="J19" s="377"/>
      <c r="K19" s="204">
        <f>M9+1</f>
        <v>46305</v>
      </c>
      <c r="L19" s="203" t="s">
        <v>76</v>
      </c>
      <c r="M19" s="205">
        <f>K19+6</f>
        <v>46311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29</v>
      </c>
      <c r="F29" s="35"/>
      <c r="G29" s="35"/>
      <c r="H29" s="378" t="s">
        <v>28</v>
      </c>
      <c r="I29" s="376"/>
      <c r="J29" s="377"/>
      <c r="K29" s="204">
        <f>M19+1</f>
        <v>46312</v>
      </c>
      <c r="L29" s="203" t="s">
        <v>76</v>
      </c>
      <c r="M29" s="205">
        <f>K29+6</f>
        <v>46318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30</v>
      </c>
      <c r="F39" s="35"/>
      <c r="G39" s="35"/>
      <c r="H39" s="378" t="s">
        <v>28</v>
      </c>
      <c r="I39" s="376"/>
      <c r="J39" s="377"/>
      <c r="K39" s="204">
        <f>M29+1</f>
        <v>46319</v>
      </c>
      <c r="L39" s="203" t="s">
        <v>76</v>
      </c>
      <c r="M39" s="205">
        <f>K39+6</f>
        <v>46325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7</v>
      </c>
      <c r="F49" s="35"/>
      <c r="G49" s="35"/>
      <c r="H49" s="378" t="s">
        <v>28</v>
      </c>
      <c r="I49" s="376"/>
      <c r="J49" s="377"/>
      <c r="K49" s="204">
        <f>DATE(2026,10,1)</f>
        <v>46296</v>
      </c>
      <c r="L49" s="203" t="s">
        <v>76</v>
      </c>
      <c r="M49" s="205">
        <f>DATE(2026,10,31)</f>
        <v>46326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F16:G16"/>
    <mergeCell ref="B7:T7"/>
    <mergeCell ref="B8:E8"/>
    <mergeCell ref="O8:Q8"/>
    <mergeCell ref="R8:T8"/>
    <mergeCell ref="B9:D9"/>
    <mergeCell ref="H9:J9"/>
    <mergeCell ref="O9:R9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31</v>
      </c>
      <c r="F9" s="35"/>
      <c r="G9" s="35"/>
      <c r="H9" s="378" t="s">
        <v>28</v>
      </c>
      <c r="I9" s="376"/>
      <c r="J9" s="377"/>
      <c r="K9" s="204">
        <f>Admin!B210</f>
        <v>46326</v>
      </c>
      <c r="L9" s="203" t="s">
        <v>76</v>
      </c>
      <c r="M9" s="205">
        <f>K9+6</f>
        <v>46332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32</v>
      </c>
      <c r="F19" s="35"/>
      <c r="G19" s="35"/>
      <c r="H19" s="378" t="s">
        <v>28</v>
      </c>
      <c r="I19" s="376"/>
      <c r="J19" s="377"/>
      <c r="K19" s="204">
        <f>M9+1</f>
        <v>46333</v>
      </c>
      <c r="L19" s="203" t="s">
        <v>76</v>
      </c>
      <c r="M19" s="205">
        <f>K19+6</f>
        <v>46339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33</v>
      </c>
      <c r="F29" s="35"/>
      <c r="G29" s="35"/>
      <c r="H29" s="378" t="s">
        <v>28</v>
      </c>
      <c r="I29" s="376"/>
      <c r="J29" s="377"/>
      <c r="K29" s="204">
        <f>M19+1</f>
        <v>46340</v>
      </c>
      <c r="L29" s="203" t="s">
        <v>76</v>
      </c>
      <c r="M29" s="205">
        <f>K29+6</f>
        <v>46346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34</v>
      </c>
      <c r="F39" s="35"/>
      <c r="G39" s="35"/>
      <c r="H39" s="378" t="s">
        <v>28</v>
      </c>
      <c r="I39" s="432"/>
      <c r="J39" s="433"/>
      <c r="K39" s="204">
        <f>M29+1</f>
        <v>46347</v>
      </c>
      <c r="L39" s="203" t="s">
        <v>76</v>
      </c>
      <c r="M39" s="205">
        <f>K39+6</f>
        <v>46353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8</v>
      </c>
      <c r="F49" s="35"/>
      <c r="G49" s="35"/>
      <c r="H49" s="378" t="s">
        <v>28</v>
      </c>
      <c r="I49" s="376"/>
      <c r="J49" s="377"/>
      <c r="K49" s="204">
        <f>DATE(2026,11,1)</f>
        <v>46327</v>
      </c>
      <c r="L49" s="203" t="s">
        <v>76</v>
      </c>
      <c r="M49" s="205">
        <f>DATE(2026,11,30)</f>
        <v>46356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35</v>
      </c>
      <c r="F9" s="35"/>
      <c r="G9" s="35"/>
      <c r="H9" s="378" t="s">
        <v>28</v>
      </c>
      <c r="I9" s="376"/>
      <c r="J9" s="377"/>
      <c r="K9" s="204">
        <f>Nov!M39+1</f>
        <v>46354</v>
      </c>
      <c r="L9" s="203" t="s">
        <v>76</v>
      </c>
      <c r="M9" s="205">
        <f>K9+6</f>
        <v>46360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36</v>
      </c>
      <c r="F19" s="35"/>
      <c r="G19" s="35"/>
      <c r="H19" s="378" t="s">
        <v>28</v>
      </c>
      <c r="I19" s="376"/>
      <c r="J19" s="377"/>
      <c r="K19" s="204">
        <f>M9+1</f>
        <v>46361</v>
      </c>
      <c r="L19" s="203" t="s">
        <v>76</v>
      </c>
      <c r="M19" s="205">
        <f>K19+6</f>
        <v>46367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37</v>
      </c>
      <c r="F29" s="35"/>
      <c r="G29" s="35"/>
      <c r="H29" s="378" t="s">
        <v>28</v>
      </c>
      <c r="I29" s="376"/>
      <c r="J29" s="377"/>
      <c r="K29" s="204">
        <f>M19+1</f>
        <v>46368</v>
      </c>
      <c r="L29" s="203" t="s">
        <v>76</v>
      </c>
      <c r="M29" s="205">
        <f>K29+6</f>
        <v>46374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38</v>
      </c>
      <c r="F39" s="35"/>
      <c r="G39" s="35"/>
      <c r="H39" s="378" t="s">
        <v>28</v>
      </c>
      <c r="I39" s="432"/>
      <c r="J39" s="433"/>
      <c r="K39" s="204">
        <f>M29+1</f>
        <v>46375</v>
      </c>
      <c r="L39" s="203" t="s">
        <v>76</v>
      </c>
      <c r="M39" s="205">
        <f>K39+6</f>
        <v>46381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39</v>
      </c>
      <c r="F49" s="35"/>
      <c r="G49" s="35"/>
      <c r="H49" s="378" t="s">
        <v>28</v>
      </c>
      <c r="I49" s="432"/>
      <c r="J49" s="433"/>
      <c r="K49" s="204">
        <f>M39+1</f>
        <v>46382</v>
      </c>
      <c r="L49" s="203" t="s">
        <v>76</v>
      </c>
      <c r="M49" s="205">
        <f>K49+6</f>
        <v>46388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9</v>
      </c>
      <c r="F59" s="35"/>
      <c r="G59" s="35"/>
      <c r="H59" s="378" t="s">
        <v>28</v>
      </c>
      <c r="I59" s="376"/>
      <c r="J59" s="377"/>
      <c r="K59" s="204">
        <f>DATE(2026,12,1)</f>
        <v>46357</v>
      </c>
      <c r="L59" s="203" t="s">
        <v>76</v>
      </c>
      <c r="M59" s="205">
        <f>DATE(2026,12,31)</f>
        <v>46387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40</v>
      </c>
      <c r="F9" s="35"/>
      <c r="G9" s="35"/>
      <c r="H9" s="378" t="s">
        <v>28</v>
      </c>
      <c r="I9" s="376"/>
      <c r="J9" s="377"/>
      <c r="K9" s="204">
        <f>Dec!M49+1</f>
        <v>46389</v>
      </c>
      <c r="L9" s="203" t="s">
        <v>76</v>
      </c>
      <c r="M9" s="205">
        <f>K9+6</f>
        <v>46395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41</v>
      </c>
      <c r="F19" s="35"/>
      <c r="G19" s="35"/>
      <c r="H19" s="378" t="s">
        <v>28</v>
      </c>
      <c r="I19" s="376"/>
      <c r="J19" s="377"/>
      <c r="K19" s="204">
        <f>M9+1</f>
        <v>46396</v>
      </c>
      <c r="L19" s="203" t="s">
        <v>76</v>
      </c>
      <c r="M19" s="205">
        <f>K19+6</f>
        <v>46402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42</v>
      </c>
      <c r="F29" s="35"/>
      <c r="G29" s="35"/>
      <c r="H29" s="378" t="s">
        <v>28</v>
      </c>
      <c r="I29" s="376"/>
      <c r="J29" s="377"/>
      <c r="K29" s="204">
        <f>M19+1</f>
        <v>46403</v>
      </c>
      <c r="L29" s="203" t="s">
        <v>76</v>
      </c>
      <c r="M29" s="205">
        <f>K29+6</f>
        <v>46409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43</v>
      </c>
      <c r="F39" s="35"/>
      <c r="G39" s="35"/>
      <c r="H39" s="378" t="s">
        <v>28</v>
      </c>
      <c r="I39" s="432"/>
      <c r="J39" s="433"/>
      <c r="K39" s="204">
        <f>M29+1</f>
        <v>46410</v>
      </c>
      <c r="L39" s="203" t="s">
        <v>76</v>
      </c>
      <c r="M39" s="205">
        <f>K39+6</f>
        <v>46416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10</v>
      </c>
      <c r="F49" s="35"/>
      <c r="G49" s="35"/>
      <c r="H49" s="378" t="s">
        <v>28</v>
      </c>
      <c r="I49" s="376"/>
      <c r="J49" s="377"/>
      <c r="K49" s="204">
        <f>DATE(2027,1,1)</f>
        <v>46388</v>
      </c>
      <c r="L49" s="203" t="s">
        <v>76</v>
      </c>
      <c r="M49" s="205">
        <f>DATE(2027,1,31)</f>
        <v>46418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446" t="s">
        <v>66</v>
      </c>
      <c r="C1" s="447"/>
      <c r="D1" s="447"/>
      <c r="E1" s="447"/>
      <c r="F1" s="448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449"/>
      <c r="C2" s="450"/>
      <c r="D2" s="450"/>
      <c r="E2" s="450"/>
      <c r="F2" s="451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44</v>
      </c>
      <c r="F9" s="35"/>
      <c r="G9" s="35"/>
      <c r="H9" s="378" t="s">
        <v>28</v>
      </c>
      <c r="I9" s="376"/>
      <c r="J9" s="377"/>
      <c r="K9" s="204">
        <f>Jan!M39+1</f>
        <v>46417</v>
      </c>
      <c r="L9" s="203" t="s">
        <v>76</v>
      </c>
      <c r="M9" s="205">
        <f>K9+6</f>
        <v>46423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45</v>
      </c>
      <c r="F19" s="35"/>
      <c r="G19" s="35"/>
      <c r="H19" s="378" t="s">
        <v>28</v>
      </c>
      <c r="I19" s="376"/>
      <c r="J19" s="377"/>
      <c r="K19" s="204">
        <f>M9+1</f>
        <v>46424</v>
      </c>
      <c r="L19" s="203" t="s">
        <v>76</v>
      </c>
      <c r="M19" s="205">
        <f>K19+6</f>
        <v>46430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46</v>
      </c>
      <c r="F29" s="35"/>
      <c r="G29" s="35"/>
      <c r="H29" s="378" t="s">
        <v>28</v>
      </c>
      <c r="I29" s="376"/>
      <c r="J29" s="377"/>
      <c r="K29" s="204">
        <f>M19+1</f>
        <v>46431</v>
      </c>
      <c r="L29" s="203" t="s">
        <v>76</v>
      </c>
      <c r="M29" s="205">
        <f>K29+6</f>
        <v>46437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47</v>
      </c>
      <c r="F39" s="35"/>
      <c r="G39" s="35"/>
      <c r="H39" s="378" t="s">
        <v>28</v>
      </c>
      <c r="I39" s="432"/>
      <c r="J39" s="433"/>
      <c r="K39" s="204">
        <f>M29+1</f>
        <v>46438</v>
      </c>
      <c r="L39" s="203" t="s">
        <v>76</v>
      </c>
      <c r="M39" s="205">
        <f>K39+6</f>
        <v>46444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11</v>
      </c>
      <c r="F49" s="35"/>
      <c r="G49" s="35"/>
      <c r="H49" s="378" t="s">
        <v>28</v>
      </c>
      <c r="I49" s="376"/>
      <c r="J49" s="377"/>
      <c r="K49" s="204">
        <f>DATE(2027,2,1)</f>
        <v>46419</v>
      </c>
      <c r="L49" s="203" t="s">
        <v>76</v>
      </c>
      <c r="M49" s="205">
        <f>DATE(2027,2,28)</f>
        <v>46446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SUM(AD80:AG80)+SUM(AE82:AG82)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48</v>
      </c>
      <c r="F9" s="35"/>
      <c r="G9" s="35"/>
      <c r="H9" s="378" t="s">
        <v>28</v>
      </c>
      <c r="I9" s="376"/>
      <c r="J9" s="377"/>
      <c r="K9" s="204">
        <f>Feb!M39+1</f>
        <v>46445</v>
      </c>
      <c r="L9" s="203" t="s">
        <v>76</v>
      </c>
      <c r="M9" s="205">
        <f>K9+6</f>
        <v>46451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49</v>
      </c>
      <c r="F19" s="35"/>
      <c r="G19" s="35"/>
      <c r="H19" s="378" t="s">
        <v>28</v>
      </c>
      <c r="I19" s="376"/>
      <c r="J19" s="377"/>
      <c r="K19" s="204">
        <f>M9+1</f>
        <v>46452</v>
      </c>
      <c r="L19" s="203" t="s">
        <v>76</v>
      </c>
      <c r="M19" s="205">
        <f>K19+6</f>
        <v>46458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50</v>
      </c>
      <c r="F29" s="35"/>
      <c r="G29" s="35"/>
      <c r="H29" s="378" t="s">
        <v>28</v>
      </c>
      <c r="I29" s="376"/>
      <c r="J29" s="377"/>
      <c r="K29" s="204">
        <f>M19+1</f>
        <v>46459</v>
      </c>
      <c r="L29" s="203" t="s">
        <v>76</v>
      </c>
      <c r="M29" s="205">
        <f>K29+6</f>
        <v>46465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51</v>
      </c>
      <c r="F39" s="35"/>
      <c r="G39" s="35"/>
      <c r="H39" s="378" t="s">
        <v>28</v>
      </c>
      <c r="I39" s="432"/>
      <c r="J39" s="433"/>
      <c r="K39" s="204">
        <f>M29+1</f>
        <v>46466</v>
      </c>
      <c r="L39" s="203" t="s">
        <v>76</v>
      </c>
      <c r="M39" s="205">
        <f>K39+6</f>
        <v>46472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52</v>
      </c>
      <c r="F49" s="35"/>
      <c r="G49" s="35"/>
      <c r="H49" s="378" t="s">
        <v>28</v>
      </c>
      <c r="I49" s="432"/>
      <c r="J49" s="433"/>
      <c r="K49" s="204">
        <f>M39+1</f>
        <v>46473</v>
      </c>
      <c r="L49" s="203" t="s">
        <v>76</v>
      </c>
      <c r="M49" s="205">
        <f>K49+6</f>
        <v>46479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6"/>
      <c r="D58" s="436"/>
      <c r="E58" s="437"/>
      <c r="F58" s="32"/>
      <c r="G58" s="32"/>
      <c r="H58" s="32"/>
      <c r="I58" s="32"/>
      <c r="J58" s="32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9</v>
      </c>
      <c r="C59" s="432"/>
      <c r="D59" s="433"/>
      <c r="E59" s="156">
        <v>53</v>
      </c>
      <c r="F59" s="35"/>
      <c r="G59" s="35"/>
      <c r="H59" s="378" t="s">
        <v>28</v>
      </c>
      <c r="I59" s="432"/>
      <c r="J59" s="433"/>
      <c r="K59" s="204">
        <f>M49+1</f>
        <v>46480</v>
      </c>
      <c r="L59" s="203" t="s">
        <v>76</v>
      </c>
      <c r="M59" s="205">
        <f>K59+4</f>
        <v>46484</v>
      </c>
      <c r="N59" s="20"/>
      <c r="O59" s="388" t="s">
        <v>63</v>
      </c>
      <c r="P59" s="434"/>
      <c r="Q59" s="434"/>
      <c r="R59" s="435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438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76"/>
      <c r="D68" s="376"/>
      <c r="E68" s="377"/>
      <c r="F68" s="32"/>
      <c r="G68" s="32"/>
      <c r="H68" s="43"/>
      <c r="I68" s="43"/>
      <c r="J68" s="43"/>
      <c r="K68" s="46"/>
      <c r="L68" s="46"/>
      <c r="M68" s="43"/>
      <c r="N68" s="32"/>
      <c r="O68" s="368" t="s">
        <v>28</v>
      </c>
      <c r="P68" s="369"/>
      <c r="Q68" s="370"/>
      <c r="R68" s="366"/>
      <c r="S68" s="367"/>
      <c r="T68" s="367"/>
      <c r="U68" s="33"/>
      <c r="AH68" s="35"/>
    </row>
    <row r="69" spans="1:34" ht="18" customHeight="1" thickTop="1" thickBot="1" x14ac:dyDescent="0.2">
      <c r="A69" s="34"/>
      <c r="B69" s="378" t="s">
        <v>10</v>
      </c>
      <c r="C69" s="376"/>
      <c r="D69" s="377"/>
      <c r="E69" s="156">
        <v>12</v>
      </c>
      <c r="F69" s="35"/>
      <c r="G69" s="35"/>
      <c r="H69" s="378" t="s">
        <v>28</v>
      </c>
      <c r="I69" s="376"/>
      <c r="J69" s="377"/>
      <c r="K69" s="204">
        <f>DATE(2027,3,1)</f>
        <v>46447</v>
      </c>
      <c r="L69" s="203" t="s">
        <v>76</v>
      </c>
      <c r="M69" s="205">
        <f>DATE(2027,3,31)</f>
        <v>46477</v>
      </c>
      <c r="N69" s="20"/>
      <c r="O69" s="388" t="s">
        <v>64</v>
      </c>
      <c r="P69" s="389"/>
      <c r="Q69" s="389"/>
      <c r="R69" s="390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79" t="s">
        <v>7</v>
      </c>
      <c r="G76" s="377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1"/>
      <c r="C77" s="371"/>
      <c r="D77" s="371"/>
      <c r="E77" s="371"/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1"/>
      <c r="Q77" s="371"/>
      <c r="R77" s="371"/>
      <c r="S77" s="371"/>
      <c r="T77" s="371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358" t="s">
        <v>74</v>
      </c>
      <c r="N79" s="359"/>
      <c r="O79" s="359"/>
      <c r="P79" s="359"/>
      <c r="Q79" s="359"/>
      <c r="R79" s="359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F56:G56"/>
    <mergeCell ref="B57:T57"/>
    <mergeCell ref="O58:Q58"/>
    <mergeCell ref="R58:T58"/>
    <mergeCell ref="B58:E58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18:Q18"/>
    <mergeCell ref="R18:T18"/>
    <mergeCell ref="Q3:Q6"/>
    <mergeCell ref="O8:Q8"/>
    <mergeCell ref="B9:D9"/>
    <mergeCell ref="M3:M6"/>
    <mergeCell ref="P3:P6"/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88" t="str">
        <f>IF(M3="ERROR","Enter W or M in cell F3"," ")</f>
        <v xml:space="preserve"> </v>
      </c>
      <c r="J3" s="488"/>
      <c r="K3" s="488"/>
      <c r="L3" s="48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88" t="str">
        <f>IF(M3="ERROR","Enter 1 to 53 in cell F4"," ")</f>
        <v xml:space="preserve"> </v>
      </c>
      <c r="J4" s="488"/>
      <c r="K4" s="488"/>
      <c r="L4" s="48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79"/>
      <c r="B6" s="479"/>
      <c r="C6" s="479"/>
      <c r="D6" s="479"/>
      <c r="E6" s="479"/>
      <c r="F6" s="479"/>
      <c r="G6" s="479"/>
      <c r="H6" s="479"/>
      <c r="I6" s="479"/>
      <c r="J6" s="479"/>
      <c r="K6" s="479"/>
      <c r="L6" s="479"/>
      <c r="M6" s="479"/>
      <c r="N6" s="479"/>
    </row>
    <row r="7" spans="1:14" ht="25" customHeight="1" x14ac:dyDescent="0.2">
      <c r="A7" s="256"/>
      <c r="B7" s="456" t="str">
        <f ca="1">IF(M14=" "," ",Employee!$D$5)</f>
        <v xml:space="preserve"> </v>
      </c>
      <c r="C7" s="456"/>
      <c r="D7" s="456"/>
      <c r="E7" s="456"/>
      <c r="F7" s="456"/>
      <c r="G7" s="457" t="str">
        <f ca="1">IF(G14=" "," ",Employee!$D$15)</f>
        <v xml:space="preserve"> </v>
      </c>
      <c r="H7" s="458"/>
      <c r="I7" s="454" t="str">
        <f ca="1">IF(G14=" "," ",Employee!$D$16)</f>
        <v xml:space="preserve"> </v>
      </c>
      <c r="J7" s="455"/>
      <c r="K7" s="455"/>
      <c r="L7" s="480" t="str">
        <f ca="1">INDIRECT(ADDRESS($H$4,2,1,TRUE,$H$3))</f>
        <v>WEEKLY PAYROLL</v>
      </c>
      <c r="M7" s="480"/>
      <c r="N7" s="257"/>
    </row>
    <row r="8" spans="1:14" ht="18" customHeight="1" x14ac:dyDescent="0.15">
      <c r="A8" s="258"/>
      <c r="B8" s="466" t="str">
        <f ca="1">IF(M14=" "," ",Employee!$D$6)</f>
        <v xml:space="preserve"> </v>
      </c>
      <c r="C8" s="466"/>
      <c r="D8" s="478"/>
      <c r="E8" s="464"/>
      <c r="F8" s="465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6" t="str">
        <f ca="1">IF(M14=" "," ",Employee!$D$7)</f>
        <v xml:space="preserve"> </v>
      </c>
      <c r="C9" s="466"/>
      <c r="D9" s="466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46124</v>
      </c>
      <c r="J9" s="471" t="s">
        <v>6</v>
      </c>
      <c r="K9" s="47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73"/>
      <c r="E10" s="474"/>
      <c r="F10" s="487"/>
      <c r="G10" s="487"/>
      <c r="H10" s="253" t="str">
        <f>"Tax "&amp;IF($F$3="W","Week","Month")</f>
        <v>Tax Week</v>
      </c>
      <c r="I10" s="268">
        <f ca="1">INDIRECT(ADDRESS($H$4+1,5,1,TRUE,$H$3))</f>
        <v>1</v>
      </c>
      <c r="J10" s="467" t="str">
        <f ca="1">IF(M8=" "," ",INDIRECT(ADDRESS($H$4+2+C10,4,1,TRUE,$H$3)))</f>
        <v xml:space="preserve"> </v>
      </c>
      <c r="K10" s="46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70"/>
      <c r="C11" s="470"/>
      <c r="D11" s="470"/>
      <c r="E11" s="470"/>
      <c r="F11" s="470"/>
      <c r="G11" s="470"/>
      <c r="H11" s="470"/>
      <c r="I11" s="470"/>
      <c r="J11" s="470"/>
      <c r="K11" s="470"/>
      <c r="L11" s="470"/>
      <c r="M11" s="470"/>
      <c r="N11" s="262"/>
    </row>
    <row r="12" spans="1:14" ht="21" customHeight="1" x14ac:dyDescent="0.15">
      <c r="A12" s="258"/>
      <c r="B12" s="459" t="s">
        <v>122</v>
      </c>
      <c r="C12" s="460"/>
      <c r="D12" s="460"/>
      <c r="E12" s="460"/>
      <c r="F12" s="460"/>
      <c r="G12" s="461" t="s">
        <v>121</v>
      </c>
      <c r="H12" s="469" t="s">
        <v>120</v>
      </c>
      <c r="I12" s="469"/>
      <c r="J12" s="469"/>
      <c r="K12" s="469"/>
      <c r="L12" s="469"/>
      <c r="M12" s="472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62"/>
      <c r="H13" s="251" t="s">
        <v>128</v>
      </c>
      <c r="I13" s="252" t="s">
        <v>112</v>
      </c>
      <c r="J13" s="468" t="s">
        <v>111</v>
      </c>
      <c r="K13" s="468"/>
      <c r="L13" s="248" t="s">
        <v>2</v>
      </c>
      <c r="M13" s="461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75" t="str">
        <f ca="1">IF(M8=" "," ",INDIRECT(ADDRESS($H$4+2+C10,16,1,TRUE,$H$3)))</f>
        <v xml:space="preserve"> </v>
      </c>
      <c r="K14" s="475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63" t="s">
        <v>110</v>
      </c>
      <c r="C15" s="463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83" t="s">
        <v>109</v>
      </c>
      <c r="F16" s="484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75" t="str">
        <f ca="1">IF(M8=" "," ",INDIRECT(ADDRESS($H$4+2+C10,25,1,TRUE,$H$3)))</f>
        <v xml:space="preserve"> </v>
      </c>
      <c r="K16" s="475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70"/>
      <c r="K17" s="470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76" t="s">
        <v>108</v>
      </c>
      <c r="K18" s="477"/>
      <c r="L18" s="477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79"/>
      <c r="B20" s="479"/>
      <c r="C20" s="479"/>
      <c r="D20" s="479"/>
      <c r="E20" s="479"/>
      <c r="F20" s="479"/>
      <c r="G20" s="479"/>
      <c r="H20" s="479"/>
      <c r="I20" s="479"/>
      <c r="J20" s="479"/>
      <c r="K20" s="479"/>
      <c r="L20" s="479"/>
      <c r="M20" s="479"/>
      <c r="N20" s="479"/>
    </row>
    <row r="21" spans="1:14" ht="25" customHeight="1" x14ac:dyDescent="0.2">
      <c r="A21" s="256"/>
      <c r="B21" s="456" t="str">
        <f ca="1">IF(M28=" "," ",Employee!$D$5)</f>
        <v xml:space="preserve"> </v>
      </c>
      <c r="C21" s="456"/>
      <c r="D21" s="456"/>
      <c r="E21" s="456"/>
      <c r="F21" s="456"/>
      <c r="G21" s="457" t="str">
        <f ca="1">IF(G28=" "," ",Employee!$D$41)</f>
        <v xml:space="preserve"> </v>
      </c>
      <c r="H21" s="458"/>
      <c r="I21" s="454" t="str">
        <f ca="1">IF(G28=" "," ",Employee!$D$42)</f>
        <v xml:space="preserve"> </v>
      </c>
      <c r="J21" s="455"/>
      <c r="K21" s="455"/>
      <c r="L21" s="480" t="s">
        <v>23</v>
      </c>
      <c r="M21" s="480"/>
      <c r="N21" s="257"/>
    </row>
    <row r="22" spans="1:14" ht="18" customHeight="1" x14ac:dyDescent="0.15">
      <c r="A22" s="258"/>
      <c r="B22" s="466" t="str">
        <f ca="1">IF(M28=" "," ",Employee!$D$6)</f>
        <v xml:space="preserve"> </v>
      </c>
      <c r="C22" s="466"/>
      <c r="D22" s="478"/>
      <c r="E22" s="464"/>
      <c r="F22" s="465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6" t="str">
        <f ca="1">IF(M28=" "," ",Employee!$D$7)</f>
        <v xml:space="preserve"> </v>
      </c>
      <c r="C23" s="466"/>
      <c r="D23" s="466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46124</v>
      </c>
      <c r="J23" s="471" t="s">
        <v>6</v>
      </c>
      <c r="K23" s="47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70"/>
      <c r="G24" s="470"/>
      <c r="H24" s="253" t="s">
        <v>124</v>
      </c>
      <c r="I24" s="268">
        <f ca="1">I10</f>
        <v>1</v>
      </c>
      <c r="J24" s="467" t="str">
        <f ca="1">IF(M22=" "," ",INDIRECT(ADDRESS($H$4+2+C24,4,1,TRUE,$H$3)))</f>
        <v xml:space="preserve"> </v>
      </c>
      <c r="K24" s="46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70"/>
      <c r="C25" s="470"/>
      <c r="D25" s="470"/>
      <c r="E25" s="470"/>
      <c r="F25" s="470"/>
      <c r="G25" s="470"/>
      <c r="H25" s="470"/>
      <c r="I25" s="470"/>
      <c r="J25" s="470"/>
      <c r="K25" s="470"/>
      <c r="L25" s="470"/>
      <c r="M25" s="470"/>
      <c r="N25" s="262"/>
    </row>
    <row r="26" spans="1:14" ht="21" customHeight="1" x14ac:dyDescent="0.15">
      <c r="A26" s="258"/>
      <c r="B26" s="459" t="s">
        <v>122</v>
      </c>
      <c r="C26" s="460"/>
      <c r="D26" s="460"/>
      <c r="E26" s="460"/>
      <c r="F26" s="460"/>
      <c r="G26" s="461" t="s">
        <v>121</v>
      </c>
      <c r="H26" s="459" t="s">
        <v>120</v>
      </c>
      <c r="I26" s="469"/>
      <c r="J26" s="469"/>
      <c r="K26" s="469"/>
      <c r="L26" s="469"/>
      <c r="M26" s="481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62"/>
      <c r="H27" s="252" t="s">
        <v>128</v>
      </c>
      <c r="I27" s="252" t="s">
        <v>112</v>
      </c>
      <c r="J27" s="468" t="s">
        <v>111</v>
      </c>
      <c r="K27" s="468"/>
      <c r="L27" s="248" t="s">
        <v>2</v>
      </c>
      <c r="M27" s="482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75" t="str">
        <f ca="1">IF(M22=" "," ",INDIRECT(ADDRESS($H$4+2+C24,16,1,TRUE,$H$3)))</f>
        <v xml:space="preserve"> </v>
      </c>
      <c r="K28" s="475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63" t="s">
        <v>110</v>
      </c>
      <c r="C29" s="463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83" t="s">
        <v>109</v>
      </c>
      <c r="F30" s="484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75" t="str">
        <f ca="1">IF(M22=" "," ",INDIRECT(ADDRESS($H$4+2+C24,25,1,TRUE,$H$3)))</f>
        <v xml:space="preserve"> </v>
      </c>
      <c r="K30" s="475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70"/>
      <c r="K31" s="470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76" t="s">
        <v>108</v>
      </c>
      <c r="K32" s="477"/>
      <c r="L32" s="477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5"/>
      <c r="B34" s="486"/>
      <c r="C34" s="486"/>
      <c r="D34" s="486"/>
      <c r="E34" s="486"/>
      <c r="F34" s="486"/>
      <c r="G34" s="486"/>
      <c r="H34" s="486"/>
      <c r="I34" s="486"/>
      <c r="J34" s="486"/>
      <c r="K34" s="486"/>
      <c r="L34" s="486"/>
      <c r="M34" s="486"/>
      <c r="N34" s="486"/>
    </row>
    <row r="35" spans="1:14" ht="21" customHeight="1" x14ac:dyDescent="0.15">
      <c r="A35" s="479"/>
      <c r="B35" s="479"/>
      <c r="C35" s="479"/>
      <c r="D35" s="479"/>
      <c r="E35" s="479"/>
      <c r="F35" s="479"/>
      <c r="G35" s="479"/>
      <c r="H35" s="479"/>
      <c r="I35" s="479"/>
      <c r="J35" s="479"/>
      <c r="K35" s="479"/>
      <c r="L35" s="479"/>
      <c r="M35" s="479"/>
      <c r="N35" s="479"/>
    </row>
    <row r="36" spans="1:14" ht="25" customHeight="1" x14ac:dyDescent="0.2">
      <c r="A36" s="256"/>
      <c r="B36" s="456" t="str">
        <f ca="1">IF(M43=" "," ",Employee!$D$5)</f>
        <v xml:space="preserve"> </v>
      </c>
      <c r="C36" s="456"/>
      <c r="D36" s="456"/>
      <c r="E36" s="456"/>
      <c r="F36" s="456"/>
      <c r="G36" s="457" t="str">
        <f ca="1">IF(G43=" "," ",Employee!$D$67)</f>
        <v xml:space="preserve"> </v>
      </c>
      <c r="H36" s="458"/>
      <c r="I36" s="454" t="str">
        <f ca="1">IF(G43=" "," ",Employee!$D$68)</f>
        <v xml:space="preserve"> </v>
      </c>
      <c r="J36" s="455"/>
      <c r="K36" s="455"/>
      <c r="L36" s="480" t="s">
        <v>23</v>
      </c>
      <c r="M36" s="480"/>
      <c r="N36" s="257"/>
    </row>
    <row r="37" spans="1:14" ht="18" customHeight="1" x14ac:dyDescent="0.15">
      <c r="A37" s="258"/>
      <c r="B37" s="466" t="str">
        <f ca="1">IF(M43=" "," ",Employee!$D$6)</f>
        <v xml:space="preserve"> </v>
      </c>
      <c r="C37" s="466"/>
      <c r="D37" s="478"/>
      <c r="E37" s="464"/>
      <c r="F37" s="465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6" t="str">
        <f ca="1">IF(M43=" "," ",Employee!$D$7)</f>
        <v xml:space="preserve"> </v>
      </c>
      <c r="C38" s="466"/>
      <c r="D38" s="466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46124</v>
      </c>
      <c r="J38" s="471" t="s">
        <v>6</v>
      </c>
      <c r="K38" s="47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70"/>
      <c r="G39" s="470"/>
      <c r="H39" s="253" t="s">
        <v>124</v>
      </c>
      <c r="I39" s="268">
        <f ca="1">I24</f>
        <v>1</v>
      </c>
      <c r="J39" s="467" t="str">
        <f ca="1">IF(M37=" "," ",INDIRECT(ADDRESS($H$4+2+C39,4,1,TRUE,$H$3)))</f>
        <v xml:space="preserve"> </v>
      </c>
      <c r="K39" s="46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70"/>
      <c r="C40" s="470"/>
      <c r="D40" s="470"/>
      <c r="E40" s="470"/>
      <c r="F40" s="470"/>
      <c r="G40" s="470"/>
      <c r="H40" s="470"/>
      <c r="I40" s="470"/>
      <c r="J40" s="470"/>
      <c r="K40" s="470"/>
      <c r="L40" s="470"/>
      <c r="M40" s="470"/>
      <c r="N40" s="262"/>
    </row>
    <row r="41" spans="1:14" ht="21" customHeight="1" x14ac:dyDescent="0.15">
      <c r="A41" s="258"/>
      <c r="B41" s="459" t="s">
        <v>122</v>
      </c>
      <c r="C41" s="460"/>
      <c r="D41" s="460"/>
      <c r="E41" s="460"/>
      <c r="F41" s="460"/>
      <c r="G41" s="461" t="s">
        <v>121</v>
      </c>
      <c r="H41" s="459" t="s">
        <v>120</v>
      </c>
      <c r="I41" s="469"/>
      <c r="J41" s="469"/>
      <c r="K41" s="469"/>
      <c r="L41" s="469"/>
      <c r="M41" s="481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62"/>
      <c r="H42" s="252" t="s">
        <v>128</v>
      </c>
      <c r="I42" s="252" t="s">
        <v>112</v>
      </c>
      <c r="J42" s="468" t="s">
        <v>111</v>
      </c>
      <c r="K42" s="468"/>
      <c r="L42" s="248" t="s">
        <v>2</v>
      </c>
      <c r="M42" s="482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75" t="str">
        <f ca="1">IF(M37=" "," ",INDIRECT(ADDRESS($H$4+2+C39,16,1,TRUE,$H$3)))</f>
        <v xml:space="preserve"> </v>
      </c>
      <c r="K43" s="475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63" t="s">
        <v>110</v>
      </c>
      <c r="C44" s="463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83" t="s">
        <v>109</v>
      </c>
      <c r="F45" s="484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75" t="str">
        <f ca="1">IF(M37=" "," ",INDIRECT(ADDRESS($H$4+2+C39,25,1,TRUE,$H$3)))</f>
        <v xml:space="preserve"> </v>
      </c>
      <c r="K45" s="475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70"/>
      <c r="K46" s="470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76" t="s">
        <v>108</v>
      </c>
      <c r="K47" s="477"/>
      <c r="L47" s="477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79"/>
      <c r="B49" s="479"/>
      <c r="C49" s="479"/>
      <c r="D49" s="479"/>
      <c r="E49" s="479"/>
      <c r="F49" s="479"/>
      <c r="G49" s="479"/>
      <c r="H49" s="479"/>
      <c r="I49" s="479"/>
      <c r="J49" s="479"/>
      <c r="K49" s="479"/>
      <c r="L49" s="479"/>
      <c r="M49" s="479"/>
      <c r="N49" s="479"/>
    </row>
    <row r="50" spans="1:14" ht="25" customHeight="1" x14ac:dyDescent="0.2">
      <c r="A50" s="256"/>
      <c r="B50" s="456" t="str">
        <f ca="1">IF(M57=" "," ",Employee!$D$5)</f>
        <v xml:space="preserve"> </v>
      </c>
      <c r="C50" s="456"/>
      <c r="D50" s="456"/>
      <c r="E50" s="456"/>
      <c r="F50" s="456"/>
      <c r="G50" s="457" t="str">
        <f ca="1">IF(G57=" "," ",Employee!$D$93)</f>
        <v xml:space="preserve"> </v>
      </c>
      <c r="H50" s="458"/>
      <c r="I50" s="454" t="str">
        <f ca="1">IF(G57=" "," ",Employee!$D$94)</f>
        <v xml:space="preserve"> </v>
      </c>
      <c r="J50" s="455"/>
      <c r="K50" s="455"/>
      <c r="L50" s="480" t="s">
        <v>23</v>
      </c>
      <c r="M50" s="480"/>
      <c r="N50" s="257"/>
    </row>
    <row r="51" spans="1:14" ht="18" customHeight="1" x14ac:dyDescent="0.15">
      <c r="A51" s="258"/>
      <c r="B51" s="466" t="str">
        <f ca="1">IF(M57=" "," ",Employee!$D$6)</f>
        <v xml:space="preserve"> </v>
      </c>
      <c r="C51" s="466"/>
      <c r="D51" s="478"/>
      <c r="E51" s="464"/>
      <c r="F51" s="465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6" t="str">
        <f ca="1">IF(M57=" "," ",Employee!$D$7)</f>
        <v xml:space="preserve"> </v>
      </c>
      <c r="C52" s="466"/>
      <c r="D52" s="466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46124</v>
      </c>
      <c r="J52" s="471" t="s">
        <v>6</v>
      </c>
      <c r="K52" s="47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70"/>
      <c r="G53" s="470"/>
      <c r="H53" s="253" t="s">
        <v>124</v>
      </c>
      <c r="I53" s="268">
        <f ca="1">I39</f>
        <v>1</v>
      </c>
      <c r="J53" s="467" t="str">
        <f ca="1">IF(M51=" "," ",INDIRECT(ADDRESS($H$4+2+C53,4,1,TRUE,$H$3)))</f>
        <v xml:space="preserve"> </v>
      </c>
      <c r="K53" s="46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70"/>
      <c r="C54" s="470"/>
      <c r="D54" s="470"/>
      <c r="E54" s="470"/>
      <c r="F54" s="470"/>
      <c r="G54" s="470"/>
      <c r="H54" s="470"/>
      <c r="I54" s="470"/>
      <c r="J54" s="470"/>
      <c r="K54" s="470"/>
      <c r="L54" s="470"/>
      <c r="M54" s="470"/>
      <c r="N54" s="262"/>
    </row>
    <row r="55" spans="1:14" ht="21" customHeight="1" x14ac:dyDescent="0.15">
      <c r="A55" s="258"/>
      <c r="B55" s="459" t="s">
        <v>122</v>
      </c>
      <c r="C55" s="460"/>
      <c r="D55" s="460"/>
      <c r="E55" s="460"/>
      <c r="F55" s="460"/>
      <c r="G55" s="461" t="s">
        <v>121</v>
      </c>
      <c r="H55" s="459" t="s">
        <v>120</v>
      </c>
      <c r="I55" s="469"/>
      <c r="J55" s="469"/>
      <c r="K55" s="469"/>
      <c r="L55" s="469"/>
      <c r="M55" s="481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62"/>
      <c r="H56" s="252" t="s">
        <v>128</v>
      </c>
      <c r="I56" s="252" t="s">
        <v>112</v>
      </c>
      <c r="J56" s="468" t="s">
        <v>111</v>
      </c>
      <c r="K56" s="468"/>
      <c r="L56" s="248" t="s">
        <v>2</v>
      </c>
      <c r="M56" s="482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75" t="str">
        <f ca="1">IF(M51=" "," ",INDIRECT(ADDRESS($H$4+2+C53,16,1,TRUE,$H$3)))</f>
        <v xml:space="preserve"> </v>
      </c>
      <c r="K57" s="475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63" t="s">
        <v>110</v>
      </c>
      <c r="C58" s="463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83" t="s">
        <v>109</v>
      </c>
      <c r="F59" s="484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75" t="str">
        <f ca="1">IF(M51=" "," ",INDIRECT(ADDRESS($H$4+2+C53,25,1,TRUE,$H$3)))</f>
        <v xml:space="preserve"> </v>
      </c>
      <c r="K59" s="475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70"/>
      <c r="K60" s="470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76" t="s">
        <v>108</v>
      </c>
      <c r="K61" s="477"/>
      <c r="L61" s="477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5"/>
      <c r="B63" s="486"/>
      <c r="C63" s="486"/>
      <c r="D63" s="486"/>
      <c r="E63" s="486"/>
      <c r="F63" s="486"/>
      <c r="G63" s="486"/>
      <c r="H63" s="486"/>
      <c r="I63" s="486"/>
      <c r="J63" s="486"/>
      <c r="K63" s="486"/>
      <c r="L63" s="486"/>
      <c r="M63" s="486"/>
      <c r="N63" s="486"/>
    </row>
    <row r="64" spans="1:14" ht="21" customHeight="1" x14ac:dyDescent="0.15">
      <c r="A64" s="479"/>
      <c r="B64" s="479"/>
      <c r="C64" s="479"/>
      <c r="D64" s="479"/>
      <c r="E64" s="479"/>
      <c r="F64" s="479"/>
      <c r="G64" s="479"/>
      <c r="H64" s="479"/>
      <c r="I64" s="479"/>
      <c r="J64" s="479"/>
      <c r="K64" s="479"/>
      <c r="L64" s="479"/>
      <c r="M64" s="479"/>
      <c r="N64" s="479"/>
    </row>
    <row r="65" spans="1:14" ht="25" customHeight="1" x14ac:dyDescent="0.2">
      <c r="A65" s="256"/>
      <c r="B65" s="456" t="str">
        <f ca="1">IF(M72=" "," ",Employee!$D$5)</f>
        <v xml:space="preserve"> </v>
      </c>
      <c r="C65" s="456"/>
      <c r="D65" s="456"/>
      <c r="E65" s="456"/>
      <c r="F65" s="456"/>
      <c r="G65" s="457" t="str">
        <f ca="1">IF(G72=" "," ",Employee!$D$119)</f>
        <v xml:space="preserve"> </v>
      </c>
      <c r="H65" s="458"/>
      <c r="I65" s="454" t="str">
        <f ca="1">IF(G72=" "," ",Employee!$D$120)</f>
        <v xml:space="preserve"> </v>
      </c>
      <c r="J65" s="455"/>
      <c r="K65" s="455"/>
      <c r="L65" s="480" t="s">
        <v>23</v>
      </c>
      <c r="M65" s="480"/>
      <c r="N65" s="257"/>
    </row>
    <row r="66" spans="1:14" ht="18" customHeight="1" x14ac:dyDescent="0.15">
      <c r="A66" s="258"/>
      <c r="B66" s="466" t="str">
        <f ca="1">IF(M72=" "," ",Employee!$D$6)</f>
        <v xml:space="preserve"> </v>
      </c>
      <c r="C66" s="466"/>
      <c r="D66" s="478"/>
      <c r="E66" s="464"/>
      <c r="F66" s="465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6" t="str">
        <f ca="1">IF(M72=" "," ",Employee!$D$7)</f>
        <v xml:space="preserve"> </v>
      </c>
      <c r="C67" s="466"/>
      <c r="D67" s="466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46124</v>
      </c>
      <c r="J67" s="471" t="s">
        <v>6</v>
      </c>
      <c r="K67" s="47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70"/>
      <c r="G68" s="470"/>
      <c r="H68" s="253" t="s">
        <v>124</v>
      </c>
      <c r="I68" s="268">
        <f ca="1">I53</f>
        <v>1</v>
      </c>
      <c r="J68" s="467" t="str">
        <f ca="1">IF(M66=" "," ",INDIRECT(ADDRESS($H$4+2+C68,4,1,TRUE,$H$3)))</f>
        <v xml:space="preserve"> </v>
      </c>
      <c r="K68" s="46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262"/>
    </row>
    <row r="70" spans="1:14" ht="21" customHeight="1" x14ac:dyDescent="0.15">
      <c r="A70" s="258"/>
      <c r="B70" s="459" t="s">
        <v>122</v>
      </c>
      <c r="C70" s="460"/>
      <c r="D70" s="460"/>
      <c r="E70" s="460"/>
      <c r="F70" s="460"/>
      <c r="G70" s="461" t="s">
        <v>121</v>
      </c>
      <c r="H70" s="459" t="s">
        <v>120</v>
      </c>
      <c r="I70" s="469"/>
      <c r="J70" s="469"/>
      <c r="K70" s="469"/>
      <c r="L70" s="469"/>
      <c r="M70" s="481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62"/>
      <c r="H71" s="252" t="s">
        <v>113</v>
      </c>
      <c r="I71" s="252" t="s">
        <v>112</v>
      </c>
      <c r="J71" s="468" t="s">
        <v>111</v>
      </c>
      <c r="K71" s="468"/>
      <c r="L71" s="248" t="s">
        <v>2</v>
      </c>
      <c r="M71" s="482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75" t="str">
        <f ca="1">IF(M66=" "," ",INDIRECT(ADDRESS($H$4+2+C68,16,1,TRUE,$H$3)))</f>
        <v xml:space="preserve"> </v>
      </c>
      <c r="K72" s="475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63" t="s">
        <v>110</v>
      </c>
      <c r="C73" s="463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83" t="s">
        <v>109</v>
      </c>
      <c r="F74" s="484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75" t="str">
        <f ca="1">IF(M66=" "," ",INDIRECT(ADDRESS($H$4+2+C68,25,1,TRUE,$H$3)))</f>
        <v xml:space="preserve"> </v>
      </c>
      <c r="K74" s="475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70"/>
      <c r="K75" s="470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76" t="s">
        <v>108</v>
      </c>
      <c r="K76" s="477"/>
      <c r="L76" s="477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79"/>
      <c r="B78" s="479"/>
      <c r="C78" s="479"/>
      <c r="D78" s="479"/>
      <c r="E78" s="479"/>
      <c r="F78" s="479"/>
      <c r="G78" s="479"/>
      <c r="H78" s="479"/>
      <c r="I78" s="479"/>
      <c r="J78" s="479"/>
      <c r="K78" s="479"/>
      <c r="L78" s="479"/>
      <c r="M78" s="479"/>
      <c r="N78" s="479"/>
    </row>
  </sheetData>
  <mergeCells count="121"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DATE(2026,4,30)</f>
        <v>46142</v>
      </c>
      <c r="C4" s="229">
        <f>DATE(2026,5,19)</f>
        <v>46161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2701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DATE(2026,5,31)</f>
        <v>46173</v>
      </c>
      <c r="C5" s="229">
        <f>DATE(2026,6,19)</f>
        <v>46192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2702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DATE(2026,6,30)</f>
        <v>46203</v>
      </c>
      <c r="C6" s="229">
        <f>DATE(2026,7,19)</f>
        <v>46222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2703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DATE(2026,7,31)</f>
        <v>46234</v>
      </c>
      <c r="C7" s="229">
        <f>DATE(2026,8,19)</f>
        <v>46253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2704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DATE(2026,8,31)</f>
        <v>46265</v>
      </c>
      <c r="C8" s="229">
        <f>DATE(2026,9,19)</f>
        <v>46284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2705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DATE(2026,9,30)</f>
        <v>46295</v>
      </c>
      <c r="C9" s="229">
        <f>DATE(2026,10,19)</f>
        <v>46314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2706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DATE(2026,10,31)</f>
        <v>46326</v>
      </c>
      <c r="C10" s="229">
        <f>DATE(2026,11,19)</f>
        <v>46345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2707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DATE(2026,11,30)</f>
        <v>46356</v>
      </c>
      <c r="C11" s="229">
        <f>DATE(2026,12,19)</f>
        <v>46375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2708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DATE(2026,12,31)</f>
        <v>46387</v>
      </c>
      <c r="C12" s="229">
        <f>DATE(2027,1,19)</f>
        <v>46406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2709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DATE(2027,1,31)</f>
        <v>46418</v>
      </c>
      <c r="C13" s="229">
        <f>DATE(2027,2,19)</f>
        <v>46437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2710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DATE(2027,2,28)</f>
        <v>46446</v>
      </c>
      <c r="C14" s="229">
        <f>DATE(2027,3,19)</f>
        <v>46465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2711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DATE(2027,3,31)</f>
        <v>46477</v>
      </c>
      <c r="C15" s="229">
        <f>DATE(2027,4,19)</f>
        <v>46496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2712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46482</v>
      </c>
      <c r="J1" s="493"/>
      <c r="K1" s="303"/>
      <c r="L1" s="303"/>
      <c r="M1" s="304"/>
      <c r="N1" s="305" t="str">
        <f>TEXT(YEAR(I1)-1,"0") &amp; "-" &amp; TEXT(YEAR(I1)-2000,"0")</f>
        <v>2026-27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46118</v>
      </c>
      <c r="C2" s="309">
        <v>1</v>
      </c>
      <c r="D2" s="309">
        <v>1</v>
      </c>
      <c r="E2" s="310">
        <f>B2</f>
        <v>46118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46119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46120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46121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46122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46123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46124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46125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46126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46127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46128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46129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46130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46131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46132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46133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46134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46135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46136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46137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46138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46139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46140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46141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46142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46143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46144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46145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46146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46147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46148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46149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46150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46151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46152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46153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46154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46155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46156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46157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46158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46159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46160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46161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46162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46163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46164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46165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46166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46167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46168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46169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46170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46171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46172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46173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46174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46175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46176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46177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46178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46179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46180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46181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46182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46183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46184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46185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46186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46187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46188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46189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46190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46191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46192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46193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46194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46195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46196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46197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46198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46199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46200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46201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46202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46203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46204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46205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46206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46207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46208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46209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46210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46211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46212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46213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46214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46215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46216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46217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46218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46219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46220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46221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46222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46223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46224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46225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46226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46227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46228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46229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46230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46231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46232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46233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46234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46235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46236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46237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46238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46239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46240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46241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46242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46243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46244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46245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46246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46247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46248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46249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46250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46251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46252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46253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46254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46255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46256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46257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46258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46259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46260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46261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46262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46263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46264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46265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46266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46267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46268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46269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46270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46271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46272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46273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46274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46275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46276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46277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46278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46279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46280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46281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46282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46283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46284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46285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46286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46287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46288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46289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46290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46291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46292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46293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46294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46295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46296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46297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46298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46299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46300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46301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46302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46303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46304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46305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46306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46307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46308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46309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46310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46311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46312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46313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46314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46315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46316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46317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46318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46319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46320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46321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46322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46323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46324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46325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46326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46327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46328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46329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46330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46331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46332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46333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46334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46335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46336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46337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46338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46339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46340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46341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46342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46343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46344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46345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46346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46347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46348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46349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46350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46351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46352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46353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46354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46355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46356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46357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46358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46359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46360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46361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46362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46363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46364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46365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46366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46367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46368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46369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46370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46371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46372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46373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46374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46375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46376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46377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46378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46379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46380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46381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46382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46383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46384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46385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46386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46387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46388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46389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46390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46391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46392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46393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46394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46395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46396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46397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46398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46399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46400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46401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46402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46403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46404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46405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46406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46407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46408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46409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46410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46411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46412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46413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46414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46415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46416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46417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46418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46419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46420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46421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46422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46423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46424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46425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46426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46427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46428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46429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46430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46431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46432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46433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46434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46435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46436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46437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46438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46439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46440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46441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46442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46443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46444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46445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46446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46447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46448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46449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46450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46451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46452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46453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46454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46455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46456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46457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46458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46459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46460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46461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46462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46463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46464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46465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46466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46467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46468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46469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46470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46471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46472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46473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46474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46475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46476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46477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46478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46479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46480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46481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46482</v>
      </c>
      <c r="C366" s="309">
        <v>53</v>
      </c>
      <c r="D366" s="309">
        <v>12</v>
      </c>
      <c r="E366" s="310">
        <f>B366</f>
        <v>46482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46483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46484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46485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46486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46487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46488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46489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46490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46491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46492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46493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46494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46495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46496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46497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2025-04-03T22:50:03Z</dcterms:modified>
  <dc:description>Copyright (C) 2006-2026 DIY Accounting Limited. Licensed under the PolyForm Internal Use License 1.0.0 with an additional grant for accountants.</dc:description>
</cp:coreProperties>
</file>