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<sst xmlns="http://schemas.openxmlformats.org/spreadsheetml/2006/main" count="1383" uniqueCount="138">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</sst>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DATE(2019,11,1)</f>
        <v>43770</v>
      </c>
      <c r="L49" s="203" t="s">
        <v>76</v>
      </c>
      <c r="M49" s="205">
        <f>DATE(2019,11,30)</f>
        <v>43799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DATE(2019,12,1)</f>
        <v>43800</v>
      </c>
      <c r="L49" s="203" t="s">
        <v>76</v>
      </c>
      <c r="M49" s="205">
        <f>DATE(2019,12,31)</f>
        <v>43830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DATE(2020,1,1)</f>
        <v>43831</v>
      </c>
      <c r="L59" s="203" t="s">
        <v>76</v>
      </c>
      <c r="M59" s="205">
        <f>DATE(2020,1,31)</f>
        <v>43861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DATE(2020,2,1)</f>
        <v>43862</v>
      </c>
      <c r="L49" s="203" t="s">
        <v>76</v>
      </c>
      <c r="M49" s="205">
        <f>DATE(2020,2,29)</f>
        <v>43890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DATE(2020,3,1)</f>
        <v>43891</v>
      </c>
      <c r="L49" s="203" t="s">
        <v>76</v>
      </c>
      <c r="M49" s="205">
        <f>DATE(2020,3,31)</f>
        <v>43921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DATE(2020,4,1)</f>
        <v>43922</v>
      </c>
      <c r="L59" s="203" t="s">
        <v>76</v>
      </c>
      <c r="M59" s="205">
        <f>DATE(2020,4,30)</f>
        <v>43951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DATE(2020,5,1)</f>
        <v>43952</v>
      </c>
      <c r="L49" s="203" t="s">
        <v>76</v>
      </c>
      <c r="M49" s="205">
        <f>DATE(2020,5,31)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DATE(2020,6,1)</f>
        <v>43983</v>
      </c>
      <c r="L49" s="203" t="s">
        <v>76</v>
      </c>
      <c r="M49" s="205">
        <f>DATE(2020,6,30)</f>
        <v>44012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DATE(2020,7,1)</f>
        <v>44013</v>
      </c>
      <c r="L59" s="203" t="s">
        <v>76</v>
      </c>
      <c r="M59" s="205">
        <f>DATE(2020,7,31)</f>
        <v>44043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DATE(2020,8,1)</f>
        <v>44044</v>
      </c>
      <c r="L49" s="203" t="s">
        <v>76</v>
      </c>
      <c r="M49" s="205">
        <f>DATE(2020,8,31)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DATE(2020,9,1)</f>
        <v>44075</v>
      </c>
      <c r="L49" s="203" t="s">
        <v>76</v>
      </c>
      <c r="M49" s="205">
        <f>DATE(2020,9,30)</f>
        <v>44104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DATE(2020,10,1)</f>
        <v>44105</v>
      </c>
      <c r="L69" s="203" t="s">
        <v>76</v>
      </c>
      <c r="M69" s="205">
        <f>DATE(2020,10,31)</f>
        <v>44135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Oct!AD80+Oct!AE80+Oct!AF80+Oct!AG80</f>
        <v>0</v>
      </c>
      <c r="G10" s="228">
        <f>Oct!AE82+Oct!AF82+Oct!AG82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