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<sst xmlns="http://schemas.openxmlformats.org/spreadsheetml/2006/main" count="1029" uniqueCount="626">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</sst>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x14ac:dyDescent="0.15">
      <c r="A90" s="13"/>
      <c r="B90" s="13" t="inlineStr">
        <is>
          <t>Business Entertainment</t>
        </is>
      </c>
      <c r="C90" s="17" t="inlineStr">
        <is>
          <t>E</t>
        </is>
      </c>
      <c r="D90" s="21"/>
      <c r="E90" s="21"/>
      <c r="F90" s="22"/>
      <c r="G90" s="22">
        <f>[2]Jan!$AJ$1</f>
        <v>0</v>
      </c>
      <c r="H90" s="22"/>
      <c r="I90" s="22"/>
      <c r="J90" s="22"/>
      <c r="K90" s="22"/>
      <c r="L90" s="22"/>
      <c r="N90" s="21"/>
      <c r="O90" s="22">
        <f>SUM(D90:N90)</f>
        <v>0</v>
      </c>
      <c r="P90" s="21"/>
      <c r="Q90" s="22"/>
      <c r="R90" s="22">
        <f>[2]Feb!$AJ$1</f>
        <v>0</v>
      </c>
      <c r="S90" s="22"/>
      <c r="T90" s="22"/>
      <c r="U90" s="22"/>
      <c r="V90" s="22"/>
      <c r="W90" s="22"/>
      <c r="X90" s="22"/>
      <c r="Y90" s="13"/>
      <c r="Z90" s="22">
        <f>SUM(O90:Y90)</f>
        <v>0</v>
      </c>
      <c r="AA90" s="21"/>
      <c r="AB90" s="22"/>
      <c r="AC90" s="22">
        <f>[2]Mar!$AJ$1</f>
        <v>0</v>
      </c>
      <c r="AD90" s="22"/>
      <c r="AE90" s="22"/>
      <c r="AF90" s="22"/>
      <c r="AG90" s="22"/>
      <c r="AH90" s="22"/>
      <c r="AI90" s="22"/>
      <c r="AJ90" s="13"/>
      <c r="AK90" s="22">
        <f>SUM(Z90:AJ90)</f>
        <v>0</v>
      </c>
      <c r="AL90" s="21"/>
      <c r="AM90" s="22"/>
      <c r="AN90" s="22">
        <f>[2]Apr!$AJ$1</f>
        <v>0</v>
      </c>
      <c r="AO90" s="22"/>
      <c r="AP90" s="22"/>
      <c r="AQ90" s="22"/>
      <c r="AR90" s="22"/>
      <c r="AS90" s="22"/>
      <c r="AT90" s="22"/>
      <c r="AU90" s="13"/>
      <c r="AV90" s="22">
        <f>SUM(AK90:AU90)</f>
        <v>0</v>
      </c>
      <c r="AW90" s="21"/>
      <c r="AX90" s="22"/>
      <c r="AY90" s="22">
        <f>[2]May!$AJ$1</f>
        <v>0</v>
      </c>
      <c r="AZ90" s="22"/>
      <c r="BA90" s="22"/>
      <c r="BB90" s="22"/>
      <c r="BC90" s="22"/>
      <c r="BD90" s="22"/>
      <c r="BE90" s="22"/>
      <c r="BF90" s="13"/>
      <c r="BG90" s="22">
        <f>SUM(AV90:BF90)</f>
        <v>0</v>
      </c>
      <c r="BH90" s="21"/>
      <c r="BI90" s="22"/>
      <c r="BJ90" s="22">
        <f>[2]Jun!$AJ$1</f>
        <v>0</v>
      </c>
      <c r="BK90" s="22"/>
      <c r="BL90" s="22"/>
      <c r="BM90" s="22"/>
      <c r="BN90" s="22"/>
      <c r="BO90" s="22"/>
      <c r="BP90" s="22"/>
      <c r="BQ90" s="13"/>
      <c r="BR90" s="22">
        <f>SUM(BG90:BQ90)</f>
        <v>0</v>
      </c>
      <c r="BS90" s="21"/>
      <c r="BT90" s="22"/>
      <c r="BU90" s="22">
        <f>[2]Jul!$AJ$1</f>
        <v>0</v>
      </c>
      <c r="BV90" s="22"/>
      <c r="BW90" s="22"/>
      <c r="BX90" s="22"/>
      <c r="BY90" s="22"/>
      <c r="BZ90" s="22"/>
      <c r="CA90" s="22"/>
      <c r="CB90" s="13"/>
      <c r="CC90" s="22">
        <f>SUM(BR90:CB90)</f>
        <v>0</v>
      </c>
      <c r="CD90" s="21"/>
      <c r="CE90" s="22"/>
      <c r="CF90" s="22">
        <f>[2]Aug!$AJ$1</f>
        <v>0</v>
      </c>
      <c r="CG90" s="22"/>
      <c r="CH90" s="22"/>
      <c r="CI90" s="22"/>
      <c r="CJ90" s="22"/>
      <c r="CK90" s="22"/>
      <c r="CL90" s="22"/>
      <c r="CM90" s="13"/>
      <c r="CN90" s="22">
        <f>SUM(CC90:CM90)</f>
        <v>0</v>
      </c>
      <c r="CO90" s="21"/>
      <c r="CP90" s="22"/>
      <c r="CQ90" s="22">
        <f>[2]Sep!$AJ$1</f>
        <v>0</v>
      </c>
      <c r="CR90" s="22"/>
      <c r="CS90" s="22"/>
      <c r="CT90" s="22"/>
      <c r="CU90" s="22"/>
      <c r="CV90" s="22"/>
      <c r="CW90" s="22"/>
      <c r="CX90" s="13"/>
      <c r="CY90" s="22">
        <f>SUM(CN90:CX90)</f>
        <v>0</v>
      </c>
      <c r="CZ90" s="21"/>
      <c r="DA90" s="22"/>
      <c r="DB90" s="22">
        <f>[2]Oct!$AJ$1</f>
        <v>0</v>
      </c>
      <c r="DC90" s="22"/>
      <c r="DD90" s="22"/>
      <c r="DE90" s="22"/>
      <c r="DF90" s="22"/>
      <c r="DG90" s="22"/>
      <c r="DH90" s="22"/>
      <c r="DI90" s="13"/>
      <c r="DJ90" s="22">
        <f>SUM(CY90:DI90)</f>
        <v>0</v>
      </c>
      <c r="DK90" s="21"/>
      <c r="DL90" s="22"/>
      <c r="DM90" s="22">
        <f>[2]Nov!$AJ$1</f>
        <v>0</v>
      </c>
      <c r="DN90" s="22"/>
      <c r="DO90" s="22"/>
      <c r="DP90" s="22"/>
      <c r="DQ90" s="22"/>
      <c r="DR90" s="22"/>
      <c r="DS90" s="22"/>
      <c r="DT90" s="13"/>
      <c r="DU90" s="22">
        <f>SUM(DJ90:DT90)</f>
        <v>0</v>
      </c>
      <c r="DV90" s="21"/>
      <c r="DW90" s="22"/>
      <c r="DX90" s="22">
        <f>[2]Dec!$AJ$1</f>
        <v>0</v>
      </c>
      <c r="DY90" s="22"/>
      <c r="DZ90" s="22"/>
      <c r="EA90" s="22"/>
      <c r="EB90" s="22"/>
      <c r="EC90" s="22"/>
      <c r="ED90" s="22"/>
      <c r="EE90" s="13"/>
      <c r="EF90" s="22">
        <f>SUM(DU90:EE90)</f>
        <v>0</v>
      </c>
      <c r="EG90" s="13"/>
      <c r="EI90" s="13"/>
      <c r="EJ90" s="22">
        <f>SUM(EF90:EH90)</f>
        <v>0</v>
      </c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inlineStr">
        <is>
          <t>Advertising, Promotion &amp; Entertainment</t>
        </is>
      </c>
      <c r="B27" s="93">
        <f t="shared" si="3"/>
        <v>0</v>
      </c>
      <c r="C27" s="94">
        <f>TrialBalance!O74+TrialBalance!O90-0</f>
        <v>0</v>
      </c>
      <c r="D27" s="94">
        <f>TrialBalance!Z74+TrialBalance!Z90-C27</f>
        <v>0</v>
      </c>
      <c r="E27" s="94">
        <f>TrialBalance!AK74+TrialBalance!AK90-SUM(C27:D27)</f>
        <v>0</v>
      </c>
      <c r="F27" s="94">
        <f>TrialBalance!AV74+TrialBalance!AV90-SUM(C27:E27)</f>
        <v>0</v>
      </c>
      <c r="G27" s="94">
        <f>TrialBalance!BG74+TrialBalance!BG90-SUM(C27:F27)</f>
        <v>0</v>
      </c>
      <c r="H27" s="94">
        <f>TrialBalance!BR74+TrialBalance!BR90-SUM(C27:G27)</f>
        <v>0</v>
      </c>
      <c r="I27" s="94">
        <f>TrialBalance!CC74+TrialBalance!CC90-SUM(C27:H27)</f>
        <v>0</v>
      </c>
      <c r="J27" s="94">
        <f>TrialBalance!CN74+TrialBalance!CN90-SUM(C27:I27)</f>
        <v>0</v>
      </c>
      <c r="K27" s="94">
        <f>TrialBalance!CY74+TrialBalance!CY90-SUM(C27:J27)</f>
        <v>0</v>
      </c>
      <c r="L27" s="94">
        <f>TrialBalance!DJ74+TrialBalance!DJ90-SUM(C27:K27)</f>
        <v>0</v>
      </c>
      <c r="M27" s="94">
        <f>TrialBalance!DU74+TrialBalance!DU90-SUM(C27:L27)</f>
        <v>0</v>
      </c>
      <c r="N27" s="94">
        <f>TrialBalance!EF74+TrialBalance!EF90-SUM(C27:M27)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46387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46387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inlineStr">
        <is>
          <t>Advertising, Promotion &amp; Entertainment</t>
        </is>
      </c>
      <c r="D30" s="68"/>
      <c r="E30" s="58">
        <f>TrialBalance!EJ74+TrialBalance!EJ90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46387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46387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46387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46023</v>
      </c>
      <c r="F5" s="392"/>
      <c r="G5" s="176" t="s">
        <v>550</v>
      </c>
      <c r="H5" s="434">
        <f>Admin!N7</f>
        <v>46387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13" x14ac:dyDescent="0.15">
      <c r="A9" s="158"/>
      <c r="B9" s="38"/>
      <c r="C9" s="422" t="inlineStr">
        <is>
          <t>Add back business entertainment</t>
        </is>
      </c>
      <c r="D9" s="38"/>
      <c r="E9" s="38"/>
      <c r="F9" s="161"/>
      <c r="G9" s="161"/>
      <c r="H9" s="162"/>
      <c r="I9" s="163" t="str">
        <f>IF(TrialBalance!EJ90&gt;0,TrialBalance!EJ90," ")</f>
        <v xml:space="preserve"> </v>
      </c>
      <c r="J9" s="161"/>
      <c r="K9" s="250"/>
      <c r="L9" s="38"/>
    </row>
    <row r="10" spans="1:12" ht="13" x14ac:dyDescent="0.15">
      <c r="A10" s="158"/>
      <c r="B10" s="289"/>
      <c r="C10" s="420" t="inlineStr">
        <is>
          <t>Add back depreciation, goodwill and business entertainment</t>
        </is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90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275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46023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46387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45930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45931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45961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45962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45991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46023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45992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46387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46022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46023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46053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46054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46081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46082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46112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46113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46142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46143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46173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46174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46203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46204</v>
      </c>
      <c r="C21" s="253"/>
      <c r="D21" s="9" t="s">
        <v>520</v>
      </c>
      <c r="E21" s="3"/>
      <c r="F21" s="328">
        <v>46387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46234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46235</v>
      </c>
      <c r="C23" s="253"/>
      <c r="F23" s="293"/>
    </row>
    <row r="24" spans="1:17" ht="12" customHeight="1" x14ac:dyDescent="0.15">
      <c r="A24" s="253"/>
      <c r="B24" s="330">
        <f>DATE(YEAR(B26),MONTH(B26),1)-1</f>
        <v>46265</v>
      </c>
      <c r="C24" s="253"/>
    </row>
    <row r="25" spans="1:17" ht="12" customHeight="1" x14ac:dyDescent="0.15">
      <c r="A25" s="253"/>
      <c r="B25" s="330">
        <f>DATE(YEAR(B26),MONTH(B26),1)</f>
        <v>46266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46295</v>
      </c>
      <c r="C26" s="253"/>
      <c r="G26" s="256"/>
    </row>
    <row r="27" spans="1:17" x14ac:dyDescent="0.15">
      <c r="A27" s="253"/>
      <c r="B27" s="330">
        <f>DATE(YEAR(B28),MONTH(B28),1)</f>
        <v>46296</v>
      </c>
      <c r="C27" s="253"/>
      <c r="G27" s="256"/>
    </row>
    <row r="28" spans="1:17" x14ac:dyDescent="0.15">
      <c r="A28" s="253"/>
      <c r="B28" s="330">
        <f>DATE(YEAR(B30),MONTH(B30),1)-1</f>
        <v>46326</v>
      </c>
      <c r="C28" s="253"/>
    </row>
    <row r="29" spans="1:17" x14ac:dyDescent="0.15">
      <c r="A29" s="253"/>
      <c r="B29" s="330">
        <f>DATE(YEAR(B30),MONTH(B30),1)</f>
        <v>46327</v>
      </c>
      <c r="C29" s="253"/>
    </row>
    <row r="30" spans="1:17" x14ac:dyDescent="0.15">
      <c r="A30" s="253"/>
      <c r="B30" s="330">
        <f>DATE(YEAR(B32),MONTH(B32),1)-1</f>
        <v>46356</v>
      </c>
      <c r="C30" s="253"/>
    </row>
    <row r="31" spans="1:17" x14ac:dyDescent="0.15">
      <c r="A31" s="253"/>
      <c r="B31" s="330">
        <f>DATE(YEAR(B32),MONTH(B32),1)</f>
        <v>46357</v>
      </c>
      <c r="C31" s="253"/>
    </row>
    <row r="32" spans="1:17" x14ac:dyDescent="0.15">
      <c r="A32" s="253"/>
      <c r="B32" s="331">
        <f>F21</f>
        <v>46387</v>
      </c>
      <c r="C32" s="253"/>
    </row>
    <row r="33" spans="1:3" x14ac:dyDescent="0.15">
      <c r="A33" s="253"/>
      <c r="B33" s="330">
        <f>DATE(YEAR(B34),MONTH(B34),1)</f>
        <v>46388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46418</v>
      </c>
      <c r="C34" s="253"/>
    </row>
    <row r="35" spans="1:3" x14ac:dyDescent="0.15">
      <c r="A35" s="253"/>
      <c r="B35" s="330">
        <f>DATE(YEAR(B36),MONTH(B36),1)</f>
        <v>46419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46446</v>
      </c>
      <c r="C36" s="253"/>
    </row>
    <row r="37" spans="1:3" x14ac:dyDescent="0.15">
      <c r="A37" s="253"/>
      <c r="B37" s="330">
        <f>DATE(YEAR(B38),MONTH(B38),1)</f>
        <v>46447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46477</v>
      </c>
      <c r="C38" s="253"/>
    </row>
    <row r="39" spans="1:3" x14ac:dyDescent="0.15">
      <c r="A39" s="253"/>
      <c r="B39" s="330">
        <f>DATE(YEAR(B40),MONTH(B40),1)</f>
        <v>46478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46507</v>
      </c>
      <c r="C40" s="253"/>
    </row>
    <row r="41" spans="1:3" x14ac:dyDescent="0.15">
      <c r="A41" s="253"/>
      <c r="B41" s="330">
        <f>DATE(YEAR(B42),MONTH(B42),1)</f>
        <v>46508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46538</v>
      </c>
      <c r="C42" s="253"/>
    </row>
    <row r="43" spans="1:3" x14ac:dyDescent="0.15">
      <c r="A43" s="253"/>
      <c r="B43" s="330">
        <f>DATE(YEAR(B44),MONTH(B44),1)</f>
        <v>46539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46568</v>
      </c>
      <c r="C44" s="253"/>
    </row>
    <row r="45" spans="1:3" x14ac:dyDescent="0.15">
      <c r="A45" s="253"/>
      <c r="B45" s="330">
        <f>DATE(YEAR(B46),MONTH(B46),1)</f>
        <v>46569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46599</v>
      </c>
      <c r="C46" s="253"/>
    </row>
    <row r="47" spans="1:3" x14ac:dyDescent="0.15">
      <c r="A47" s="253"/>
      <c r="B47" s="330">
        <f>DATE(YEAR(B48),MONTH(B48),1)</f>
        <v>46600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46630</v>
      </c>
      <c r="C48" s="253"/>
    </row>
    <row r="49" spans="1:3" x14ac:dyDescent="0.15">
      <c r="A49" s="253"/>
      <c r="B49" s="330">
        <f>DATE(YEAR(B50),MONTH(B50),1)</f>
        <v>46631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46660</v>
      </c>
      <c r="C50" s="253"/>
    </row>
    <row r="51" spans="1:3" x14ac:dyDescent="0.15">
      <c r="A51" s="253"/>
      <c r="B51" s="330">
        <f>DATE(YEAR(B52),MONTH(B52),1)</f>
        <v>46661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46691</v>
      </c>
      <c r="C52" s="253"/>
    </row>
    <row r="53" spans="1:3" x14ac:dyDescent="0.15">
      <c r="A53" s="253"/>
      <c r="B53" s="330">
        <f>DATE(YEAR(B54),MONTH(B54),1)</f>
        <v>46692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46721</v>
      </c>
      <c r="C54" s="253"/>
    </row>
    <row r="55" spans="1:3" x14ac:dyDescent="0.15">
      <c r="A55" s="253"/>
      <c r="B55" s="330">
        <f>DATE(YEAR(B56),MONTH(B56),1)</f>
        <v>46722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46752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