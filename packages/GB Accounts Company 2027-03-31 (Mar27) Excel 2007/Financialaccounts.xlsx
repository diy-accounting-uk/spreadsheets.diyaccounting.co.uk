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<sst xmlns="http://schemas.openxmlformats.org/spreadsheetml/2006/main" count="1029" uniqueCount="626">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</sst>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ROUND(IF(OpenAccounts!P8="X",0,EF58/((100-Admin!P7)/100)-EF58),2)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[2]Apr!$AJ$1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[2]May!$AJ$1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[2]Jun!$AJ$1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[2]Jul!$AJ$1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[2]Aug!$AJ$1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[2]Sep!$AJ$1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[2]Oct!$AJ$1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[2]Nov!$AJ$1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[2]Dec!$AJ$1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[2]Jan!$AJ$1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[2]Feb!$AJ$1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[2]Mar!$AJ$1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46477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46477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46477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46477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46477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46113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2026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0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2027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ROUND(SUM(I33:I34),2)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46113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2026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CorporationTax!K35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46022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46023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46053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46054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46081</v>
      </c>
      <c r="C6" s="253"/>
      <c r="D6" s="253" t="s">
        <v>499</v>
      </c>
      <c r="E6" s="253"/>
      <c r="F6" s="290">
        <f>B8</f>
        <v>45747</v>
      </c>
      <c r="G6" s="310">
        <v>14</v>
      </c>
      <c r="H6" s="253"/>
      <c r="I6" s="185" t="s">
        <v>14</v>
      </c>
      <c r="J6" s="185"/>
      <c r="K6" s="185">
        <f>YEAR(L6)-IF(MONTH(L6)&lt;4,1,0)</f>
        <v>2026</v>
      </c>
      <c r="L6" s="638">
        <f>B9</f>
        <v>46113</v>
      </c>
      <c r="M6" s="639"/>
      <c r="N6" s="638">
        <f>MIN(IF(DATE(YEAR(L6),3,31)&gt;=L6,DATE(YEAR(L6),3,31),DATE(YEAR(L6)+1,3,31)),F21)</f>
        <v>46477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46082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2027</v>
      </c>
      <c r="L7" s="638">
        <f>N6+1</f>
        <v>46478</v>
      </c>
      <c r="M7" s="639"/>
      <c r="N7" s="638">
        <f>F21</f>
        <v>46477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46112</v>
      </c>
      <c r="C8" s="253"/>
      <c r="D8" s="253" t="s">
        <v>499</v>
      </c>
      <c r="E8" s="253"/>
      <c r="F8" s="290">
        <f>B32</f>
        <v>46112</v>
      </c>
      <c r="G8" s="310">
        <v>14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46113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46142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46143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46173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46174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46203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46204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46234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0.55</v>
      </c>
      <c r="P16" s="253"/>
      <c r="Q16" s="253"/>
    </row>
    <row r="17" spans="1:17" ht="12" customHeight="1" x14ac:dyDescent="0.15">
      <c r="A17" s="253"/>
      <c r="B17" s="330">
        <f>DATE(YEAR(B18),MONTH(B18),1)</f>
        <v>46235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46265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46266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46295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46296</v>
      </c>
      <c r="C21" s="253"/>
      <c r="D21" s="9" t="s">
        <v>520</v>
      </c>
      <c r="E21" s="3"/>
      <c r="F21" s="328">
        <v>46477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46326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46327</v>
      </c>
      <c r="C23" s="253"/>
      <c r="F23" s="293"/>
    </row>
    <row r="24" spans="1:17" ht="12" customHeight="1" x14ac:dyDescent="0.15">
      <c r="A24" s="253"/>
      <c r="B24" s="330">
        <f>DATE(YEAR(B26),MONTH(B26),1)-1</f>
        <v>46356</v>
      </c>
      <c r="C24" s="253"/>
    </row>
    <row r="25" spans="1:17" ht="12" customHeight="1" x14ac:dyDescent="0.15">
      <c r="A25" s="253"/>
      <c r="B25" s="330">
        <f>DATE(YEAR(B26),MONTH(B26),1)</f>
        <v>46357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46387</v>
      </c>
      <c r="C26" s="253"/>
      <c r="G26" s="256"/>
    </row>
    <row r="27" spans="1:17" x14ac:dyDescent="0.15">
      <c r="A27" s="253"/>
      <c r="B27" s="330">
        <f>DATE(YEAR(B28),MONTH(B28),1)</f>
        <v>46388</v>
      </c>
      <c r="C27" s="253"/>
      <c r="G27" s="256"/>
    </row>
    <row r="28" spans="1:17" x14ac:dyDescent="0.15">
      <c r="A28" s="253"/>
      <c r="B28" s="330">
        <f>DATE(YEAR(B30),MONTH(B30),1)-1</f>
        <v>46418</v>
      </c>
      <c r="C28" s="253"/>
    </row>
    <row r="29" spans="1:17" x14ac:dyDescent="0.15">
      <c r="A29" s="253"/>
      <c r="B29" s="330">
        <f>DATE(YEAR(B30),MONTH(B30),1)</f>
        <v>46419</v>
      </c>
      <c r="C29" s="253"/>
    </row>
    <row r="30" spans="1:17" x14ac:dyDescent="0.15">
      <c r="A30" s="253"/>
      <c r="B30" s="330">
        <f>DATE(YEAR(B32),MONTH(B32),1)-1</f>
        <v>46446</v>
      </c>
      <c r="C30" s="253"/>
    </row>
    <row r="31" spans="1:17" x14ac:dyDescent="0.15">
      <c r="A31" s="253"/>
      <c r="B31" s="330">
        <f>DATE(YEAR(B32),MONTH(B32),1)</f>
        <v>46447</v>
      </c>
      <c r="C31" s="253"/>
    </row>
    <row r="32" spans="1:17" x14ac:dyDescent="0.15">
      <c r="A32" s="253"/>
      <c r="B32" s="331">
        <f>F21</f>
        <v>46477</v>
      </c>
      <c r="C32" s="253"/>
    </row>
    <row r="33" spans="1:3" x14ac:dyDescent="0.15">
      <c r="A33" s="253"/>
      <c r="B33" s="330">
        <f>DATE(YEAR(B34),MONTH(B34),1)</f>
        <v>46478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46507</v>
      </c>
      <c r="C34" s="253"/>
    </row>
    <row r="35" spans="1:3" x14ac:dyDescent="0.15">
      <c r="A35" s="253"/>
      <c r="B35" s="330">
        <f>DATE(YEAR(B36),MONTH(B36),1)</f>
        <v>46508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46538</v>
      </c>
      <c r="C36" s="253"/>
    </row>
    <row r="37" spans="1:3" x14ac:dyDescent="0.15">
      <c r="A37" s="253"/>
      <c r="B37" s="330">
        <f>DATE(YEAR(B38),MONTH(B38),1)</f>
        <v>46539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46568</v>
      </c>
      <c r="C38" s="253"/>
    </row>
    <row r="39" spans="1:3" x14ac:dyDescent="0.15">
      <c r="A39" s="253"/>
      <c r="B39" s="330">
        <f>DATE(YEAR(B40),MONTH(B40),1)</f>
        <v>46569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46599</v>
      </c>
      <c r="C40" s="253"/>
    </row>
    <row r="41" spans="1:3" x14ac:dyDescent="0.15">
      <c r="A41" s="253"/>
      <c r="B41" s="330">
        <f>DATE(YEAR(B42),MONTH(B42),1)</f>
        <v>46600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46630</v>
      </c>
      <c r="C42" s="253"/>
    </row>
    <row r="43" spans="1:3" x14ac:dyDescent="0.15">
      <c r="A43" s="253"/>
      <c r="B43" s="330">
        <f>DATE(YEAR(B44),MONTH(B44),1)</f>
        <v>46631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46660</v>
      </c>
      <c r="C44" s="253"/>
    </row>
    <row r="45" spans="1:3" x14ac:dyDescent="0.15">
      <c r="A45" s="253"/>
      <c r="B45" s="330">
        <f>DATE(YEAR(B46),MONTH(B46),1)</f>
        <v>46661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46691</v>
      </c>
      <c r="C46" s="253"/>
    </row>
    <row r="47" spans="1:3" x14ac:dyDescent="0.15">
      <c r="A47" s="253"/>
      <c r="B47" s="330">
        <f>DATE(YEAR(B48),MONTH(B48),1)</f>
        <v>46692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46721</v>
      </c>
      <c r="C48" s="253"/>
    </row>
    <row r="49" spans="1:3" x14ac:dyDescent="0.15">
      <c r="A49" s="253"/>
      <c r="B49" s="330">
        <f>DATE(YEAR(B50),MONTH(B50),1)</f>
        <v>46722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46752</v>
      </c>
      <c r="C50" s="253"/>
    </row>
    <row r="51" spans="1:3" x14ac:dyDescent="0.15">
      <c r="A51" s="253"/>
      <c r="B51" s="330">
        <f>DATE(YEAR(B52),MONTH(B52),1)</f>
        <v>46753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46783</v>
      </c>
      <c r="C52" s="253"/>
    </row>
    <row r="53" spans="1:3" x14ac:dyDescent="0.15">
      <c r="A53" s="253"/>
      <c r="B53" s="330">
        <f>DATE(YEAR(B54),MONTH(B54),1)</f>
        <v>46784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46812</v>
      </c>
      <c r="C54" s="253"/>
    </row>
    <row r="55" spans="1:3" x14ac:dyDescent="0.15">
      <c r="A55" s="253"/>
      <c r="B55" s="330">
        <f>DATE(YEAR(B56),MONTH(B56),1)</f>
        <v>46813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46843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