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<sst xmlns="http://schemas.openxmlformats.org/spreadsheetml/2006/main" count="1383" uniqueCount="138">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</sst>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46118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46119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46120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46121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46122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46123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46124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46118</v>
      </c>
      <c r="N9" s="5"/>
      <c r="O9" s="163">
        <f>Admin!I1</f>
        <v>46482</v>
      </c>
      <c r="P9" s="145"/>
      <c r="Q9" s="140"/>
      <c r="R9" s="141"/>
      <c r="S9" s="141"/>
      <c r="T9" s="80"/>
      <c r="U9" s="345"/>
      <c r="W9" s="206">
        <f>Admin!B9</f>
        <v>46125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46126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46127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46128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46129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46130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46131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46132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46133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46134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46135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46136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46137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46138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46139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46140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46141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46142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46143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46144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46145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46146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46147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46148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46149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46150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46151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46152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46153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46154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46155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46156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46157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46158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46159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46160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46161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46162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46163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46164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46165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46166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46167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46168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46169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46170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46171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46172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46173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46174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46175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46176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46177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46178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46179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46180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46181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46182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46183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46184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46185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46186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46187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46188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46189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46190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46191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46192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46193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46194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46195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46196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46197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46198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46199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46200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46201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46202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46203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46204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46205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46206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46207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46208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46209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46210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46211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46212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46213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46214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46215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46216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46217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46218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46219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46220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46221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46222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46223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46224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46225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46226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46227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46228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46229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46230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46231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46232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46233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46234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46235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46236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46237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46238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46239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46240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46241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46242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46243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46244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46245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46246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46247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46248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46249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46250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46251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46252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46253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46254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46255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46256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46257</v>
      </c>
    </row>
    <row r="142" spans="1:23" x14ac:dyDescent="0.15">
      <c r="W142" s="206">
        <f>Admin!B142</f>
        <v>46258</v>
      </c>
    </row>
    <row r="143" spans="1:23" x14ac:dyDescent="0.15">
      <c r="W143" s="206">
        <f>Admin!B143</f>
        <v>46259</v>
      </c>
    </row>
    <row r="144" spans="1:23" x14ac:dyDescent="0.15">
      <c r="W144" s="206">
        <f>Admin!B144</f>
        <v>46260</v>
      </c>
    </row>
    <row r="145" spans="23:23" x14ac:dyDescent="0.15">
      <c r="W145" s="206">
        <f>Admin!B145</f>
        <v>46261</v>
      </c>
    </row>
    <row r="146" spans="23:23" x14ac:dyDescent="0.15">
      <c r="W146" s="206">
        <f>Admin!B146</f>
        <v>46262</v>
      </c>
    </row>
    <row r="147" spans="23:23" x14ac:dyDescent="0.15">
      <c r="W147" s="206">
        <f>Admin!B147</f>
        <v>46263</v>
      </c>
    </row>
    <row r="148" spans="23:23" x14ac:dyDescent="0.15">
      <c r="W148" s="206">
        <f>Admin!B148</f>
        <v>46264</v>
      </c>
    </row>
    <row r="149" spans="23:23" x14ac:dyDescent="0.15">
      <c r="W149" s="206">
        <f>Admin!B149</f>
        <v>46265</v>
      </c>
    </row>
    <row r="150" spans="23:23" x14ac:dyDescent="0.15">
      <c r="W150" s="206">
        <f>Admin!B150</f>
        <v>46266</v>
      </c>
    </row>
    <row r="151" spans="23:23" x14ac:dyDescent="0.15">
      <c r="W151" s="206">
        <f>Admin!B151</f>
        <v>46267</v>
      </c>
    </row>
    <row r="152" spans="23:23" x14ac:dyDescent="0.15">
      <c r="W152" s="206">
        <f>Admin!B152</f>
        <v>46268</v>
      </c>
    </row>
    <row r="153" spans="23:23" x14ac:dyDescent="0.15">
      <c r="W153" s="206">
        <f>Admin!B153</f>
        <v>46269</v>
      </c>
    </row>
    <row r="154" spans="23:23" x14ac:dyDescent="0.15">
      <c r="W154" s="206">
        <f>Admin!B154</f>
        <v>46270</v>
      </c>
    </row>
    <row r="155" spans="23:23" x14ac:dyDescent="0.15">
      <c r="W155" s="206">
        <f>Admin!B155</f>
        <v>46271</v>
      </c>
    </row>
    <row r="156" spans="23:23" x14ac:dyDescent="0.15">
      <c r="W156" s="206">
        <f>Admin!B156</f>
        <v>46272</v>
      </c>
    </row>
    <row r="157" spans="23:23" x14ac:dyDescent="0.15">
      <c r="W157" s="206">
        <f>Admin!B157</f>
        <v>46273</v>
      </c>
    </row>
    <row r="158" spans="23:23" x14ac:dyDescent="0.15">
      <c r="W158" s="206">
        <f>Admin!B158</f>
        <v>46274</v>
      </c>
    </row>
    <row r="159" spans="23:23" x14ac:dyDescent="0.15">
      <c r="W159" s="206">
        <f>Admin!B159</f>
        <v>46275</v>
      </c>
    </row>
    <row r="160" spans="23:23" x14ac:dyDescent="0.15">
      <c r="W160" s="206">
        <f>Admin!B160</f>
        <v>46276</v>
      </c>
    </row>
    <row r="161" spans="23:23" x14ac:dyDescent="0.15">
      <c r="W161" s="206">
        <f>Admin!B161</f>
        <v>46277</v>
      </c>
    </row>
    <row r="162" spans="23:23" x14ac:dyDescent="0.15">
      <c r="W162" s="206">
        <f>Admin!B162</f>
        <v>46278</v>
      </c>
    </row>
    <row r="163" spans="23:23" x14ac:dyDescent="0.15">
      <c r="W163" s="206">
        <f>Admin!B163</f>
        <v>46279</v>
      </c>
    </row>
    <row r="164" spans="23:23" x14ac:dyDescent="0.15">
      <c r="W164" s="206">
        <f>Admin!B164</f>
        <v>46280</v>
      </c>
    </row>
    <row r="165" spans="23:23" x14ac:dyDescent="0.15">
      <c r="W165" s="206">
        <f>Admin!B165</f>
        <v>46281</v>
      </c>
    </row>
    <row r="166" spans="23:23" x14ac:dyDescent="0.15">
      <c r="W166" s="206">
        <f>Admin!B166</f>
        <v>46282</v>
      </c>
    </row>
    <row r="167" spans="23:23" x14ac:dyDescent="0.15">
      <c r="W167" s="206">
        <f>Admin!B167</f>
        <v>46283</v>
      </c>
    </row>
    <row r="168" spans="23:23" x14ac:dyDescent="0.15">
      <c r="W168" s="206">
        <f>Admin!B168</f>
        <v>46284</v>
      </c>
    </row>
    <row r="169" spans="23:23" x14ac:dyDescent="0.15">
      <c r="W169" s="206">
        <f>Admin!B169</f>
        <v>46285</v>
      </c>
    </row>
    <row r="170" spans="23:23" x14ac:dyDescent="0.15">
      <c r="W170" s="206">
        <f>Admin!B170</f>
        <v>46286</v>
      </c>
    </row>
    <row r="171" spans="23:23" x14ac:dyDescent="0.15">
      <c r="W171" s="206">
        <f>Admin!B171</f>
        <v>46287</v>
      </c>
    </row>
    <row r="172" spans="23:23" x14ac:dyDescent="0.15">
      <c r="W172" s="206">
        <f>Admin!B172</f>
        <v>46288</v>
      </c>
    </row>
    <row r="173" spans="23:23" x14ac:dyDescent="0.15">
      <c r="W173" s="206">
        <f>Admin!B173</f>
        <v>46289</v>
      </c>
    </row>
    <row r="174" spans="23:23" x14ac:dyDescent="0.15">
      <c r="W174" s="206">
        <f>Admin!B174</f>
        <v>46290</v>
      </c>
    </row>
    <row r="175" spans="23:23" x14ac:dyDescent="0.15">
      <c r="W175" s="206">
        <f>Admin!B175</f>
        <v>46291</v>
      </c>
    </row>
    <row r="176" spans="23:23" x14ac:dyDescent="0.15">
      <c r="W176" s="206">
        <f>Admin!B176</f>
        <v>46292</v>
      </c>
    </row>
    <row r="177" spans="23:23" x14ac:dyDescent="0.15">
      <c r="W177" s="206">
        <f>Admin!B177</f>
        <v>46293</v>
      </c>
    </row>
    <row r="178" spans="23:23" x14ac:dyDescent="0.15">
      <c r="W178" s="206">
        <f>Admin!B178</f>
        <v>46294</v>
      </c>
    </row>
    <row r="179" spans="23:23" x14ac:dyDescent="0.15">
      <c r="W179" s="206">
        <f>Admin!B179</f>
        <v>46295</v>
      </c>
    </row>
    <row r="180" spans="23:23" x14ac:dyDescent="0.15">
      <c r="W180" s="206">
        <f>Admin!B180</f>
        <v>46296</v>
      </c>
    </row>
    <row r="181" spans="23:23" x14ac:dyDescent="0.15">
      <c r="W181" s="206">
        <f>Admin!B181</f>
        <v>46297</v>
      </c>
    </row>
    <row r="182" spans="23:23" x14ac:dyDescent="0.15">
      <c r="W182" s="206">
        <f>Admin!B182</f>
        <v>46298</v>
      </c>
    </row>
    <row r="183" spans="23:23" x14ac:dyDescent="0.15">
      <c r="W183" s="206">
        <f>Admin!B183</f>
        <v>46299</v>
      </c>
    </row>
    <row r="184" spans="23:23" x14ac:dyDescent="0.15">
      <c r="W184" s="206">
        <f>Admin!B184</f>
        <v>46300</v>
      </c>
    </row>
    <row r="185" spans="23:23" x14ac:dyDescent="0.15">
      <c r="W185" s="206">
        <f>Admin!B185</f>
        <v>46301</v>
      </c>
    </row>
    <row r="186" spans="23:23" x14ac:dyDescent="0.15">
      <c r="W186" s="206">
        <f>Admin!B186</f>
        <v>46302</v>
      </c>
    </row>
    <row r="187" spans="23:23" x14ac:dyDescent="0.15">
      <c r="W187" s="206">
        <f>Admin!B187</f>
        <v>46303</v>
      </c>
    </row>
    <row r="188" spans="23:23" x14ac:dyDescent="0.15">
      <c r="W188" s="206">
        <f>Admin!B188</f>
        <v>46304</v>
      </c>
    </row>
    <row r="189" spans="23:23" x14ac:dyDescent="0.15">
      <c r="W189" s="206">
        <f>Admin!B189</f>
        <v>46305</v>
      </c>
    </row>
    <row r="190" spans="23:23" x14ac:dyDescent="0.15">
      <c r="W190" s="206">
        <f>Admin!B190</f>
        <v>46306</v>
      </c>
    </row>
    <row r="191" spans="23:23" x14ac:dyDescent="0.15">
      <c r="W191" s="206">
        <f>Admin!B191</f>
        <v>46307</v>
      </c>
    </row>
    <row r="192" spans="23:23" x14ac:dyDescent="0.15">
      <c r="W192" s="206">
        <f>Admin!B192</f>
        <v>46308</v>
      </c>
    </row>
    <row r="193" spans="23:23" x14ac:dyDescent="0.15">
      <c r="W193" s="206">
        <f>Admin!B193</f>
        <v>46309</v>
      </c>
    </row>
    <row r="194" spans="23:23" x14ac:dyDescent="0.15">
      <c r="W194" s="206">
        <f>Admin!B194</f>
        <v>46310</v>
      </c>
    </row>
    <row r="195" spans="23:23" x14ac:dyDescent="0.15">
      <c r="W195" s="206">
        <f>Admin!B195</f>
        <v>46311</v>
      </c>
    </row>
    <row r="196" spans="23:23" x14ac:dyDescent="0.15">
      <c r="W196" s="206">
        <f>Admin!B196</f>
        <v>46312</v>
      </c>
    </row>
    <row r="197" spans="23:23" x14ac:dyDescent="0.15">
      <c r="W197" s="206">
        <f>Admin!B197</f>
        <v>46313</v>
      </c>
    </row>
    <row r="198" spans="23:23" x14ac:dyDescent="0.15">
      <c r="W198" s="206">
        <f>Admin!B198</f>
        <v>46314</v>
      </c>
    </row>
    <row r="199" spans="23:23" x14ac:dyDescent="0.15">
      <c r="W199" s="206">
        <f>Admin!B199</f>
        <v>46315</v>
      </c>
    </row>
    <row r="200" spans="23:23" x14ac:dyDescent="0.15">
      <c r="W200" s="206">
        <f>Admin!B200</f>
        <v>46316</v>
      </c>
    </row>
    <row r="201" spans="23:23" x14ac:dyDescent="0.15">
      <c r="W201" s="206">
        <f>Admin!B201</f>
        <v>46317</v>
      </c>
    </row>
    <row r="202" spans="23:23" x14ac:dyDescent="0.15">
      <c r="W202" s="206">
        <f>Admin!B202</f>
        <v>46318</v>
      </c>
    </row>
    <row r="203" spans="23:23" x14ac:dyDescent="0.15">
      <c r="W203" s="206">
        <f>Admin!B203</f>
        <v>46319</v>
      </c>
    </row>
    <row r="204" spans="23:23" x14ac:dyDescent="0.15">
      <c r="W204" s="206">
        <f>Admin!B204</f>
        <v>46320</v>
      </c>
    </row>
    <row r="205" spans="23:23" x14ac:dyDescent="0.15">
      <c r="W205" s="206">
        <f>Admin!B205</f>
        <v>46321</v>
      </c>
    </row>
    <row r="206" spans="23:23" x14ac:dyDescent="0.15">
      <c r="W206" s="206">
        <f>Admin!B206</f>
        <v>46322</v>
      </c>
    </row>
    <row r="207" spans="23:23" x14ac:dyDescent="0.15">
      <c r="W207" s="206">
        <f>Admin!B207</f>
        <v>46323</v>
      </c>
    </row>
    <row r="208" spans="23:23" x14ac:dyDescent="0.15">
      <c r="W208" s="206">
        <f>Admin!B208</f>
        <v>46324</v>
      </c>
    </row>
    <row r="209" spans="23:23" x14ac:dyDescent="0.15">
      <c r="W209" s="206">
        <f>Admin!B209</f>
        <v>46325</v>
      </c>
    </row>
    <row r="210" spans="23:23" x14ac:dyDescent="0.15">
      <c r="W210" s="206">
        <f>Admin!B210</f>
        <v>46326</v>
      </c>
    </row>
    <row r="211" spans="23:23" x14ac:dyDescent="0.15">
      <c r="W211" s="206">
        <f>Admin!B211</f>
        <v>46327</v>
      </c>
    </row>
    <row r="212" spans="23:23" x14ac:dyDescent="0.15">
      <c r="W212" s="206">
        <f>Admin!B212</f>
        <v>46328</v>
      </c>
    </row>
    <row r="213" spans="23:23" x14ac:dyDescent="0.15">
      <c r="W213" s="206">
        <f>Admin!B213</f>
        <v>46329</v>
      </c>
    </row>
    <row r="214" spans="23:23" x14ac:dyDescent="0.15">
      <c r="W214" s="206">
        <f>Admin!B214</f>
        <v>46330</v>
      </c>
    </row>
    <row r="215" spans="23:23" x14ac:dyDescent="0.15">
      <c r="W215" s="206">
        <f>Admin!B215</f>
        <v>46331</v>
      </c>
    </row>
    <row r="216" spans="23:23" x14ac:dyDescent="0.15">
      <c r="W216" s="206">
        <f>Admin!B216</f>
        <v>46332</v>
      </c>
    </row>
    <row r="217" spans="23:23" x14ac:dyDescent="0.15">
      <c r="W217" s="206">
        <f>Admin!B217</f>
        <v>46333</v>
      </c>
    </row>
    <row r="218" spans="23:23" x14ac:dyDescent="0.15">
      <c r="W218" s="206">
        <f>Admin!B218</f>
        <v>46334</v>
      </c>
    </row>
    <row r="219" spans="23:23" x14ac:dyDescent="0.15">
      <c r="W219" s="206">
        <f>Admin!B219</f>
        <v>46335</v>
      </c>
    </row>
    <row r="220" spans="23:23" x14ac:dyDescent="0.15">
      <c r="W220" s="206">
        <f>Admin!B220</f>
        <v>46336</v>
      </c>
    </row>
    <row r="221" spans="23:23" x14ac:dyDescent="0.15">
      <c r="W221" s="206">
        <f>Admin!B221</f>
        <v>46337</v>
      </c>
    </row>
    <row r="222" spans="23:23" x14ac:dyDescent="0.15">
      <c r="W222" s="206">
        <f>Admin!B222</f>
        <v>46338</v>
      </c>
    </row>
    <row r="223" spans="23:23" x14ac:dyDescent="0.15">
      <c r="W223" s="206">
        <f>Admin!B223</f>
        <v>46339</v>
      </c>
    </row>
    <row r="224" spans="23:23" x14ac:dyDescent="0.15">
      <c r="W224" s="206">
        <f>Admin!B224</f>
        <v>46340</v>
      </c>
    </row>
    <row r="225" spans="23:23" x14ac:dyDescent="0.15">
      <c r="W225" s="206">
        <f>Admin!B225</f>
        <v>46341</v>
      </c>
    </row>
    <row r="226" spans="23:23" x14ac:dyDescent="0.15">
      <c r="W226" s="206">
        <f>Admin!B226</f>
        <v>46342</v>
      </c>
    </row>
    <row r="227" spans="23:23" x14ac:dyDescent="0.15">
      <c r="W227" s="206">
        <f>Admin!B227</f>
        <v>46343</v>
      </c>
    </row>
    <row r="228" spans="23:23" x14ac:dyDescent="0.15">
      <c r="W228" s="206">
        <f>Admin!B228</f>
        <v>46344</v>
      </c>
    </row>
    <row r="229" spans="23:23" x14ac:dyDescent="0.15">
      <c r="W229" s="206">
        <f>Admin!B229</f>
        <v>46345</v>
      </c>
    </row>
    <row r="230" spans="23:23" x14ac:dyDescent="0.15">
      <c r="W230" s="206">
        <f>Admin!B230</f>
        <v>46346</v>
      </c>
    </row>
    <row r="231" spans="23:23" x14ac:dyDescent="0.15">
      <c r="W231" s="206">
        <f>Admin!B231</f>
        <v>46347</v>
      </c>
    </row>
    <row r="232" spans="23:23" x14ac:dyDescent="0.15">
      <c r="W232" s="206">
        <f>Admin!B232</f>
        <v>46348</v>
      </c>
    </row>
    <row r="233" spans="23:23" x14ac:dyDescent="0.15">
      <c r="W233" s="206">
        <f>Admin!B233</f>
        <v>46349</v>
      </c>
    </row>
    <row r="234" spans="23:23" x14ac:dyDescent="0.15">
      <c r="W234" s="206">
        <f>Admin!B234</f>
        <v>46350</v>
      </c>
    </row>
    <row r="235" spans="23:23" x14ac:dyDescent="0.15">
      <c r="W235" s="206">
        <f>Admin!B235</f>
        <v>46351</v>
      </c>
    </row>
    <row r="236" spans="23:23" x14ac:dyDescent="0.15">
      <c r="W236" s="206">
        <f>Admin!B236</f>
        <v>46352</v>
      </c>
    </row>
    <row r="237" spans="23:23" x14ac:dyDescent="0.15">
      <c r="W237" s="206">
        <f>Admin!B237</f>
        <v>46353</v>
      </c>
    </row>
    <row r="238" spans="23:23" x14ac:dyDescent="0.15">
      <c r="W238" s="206">
        <f>Admin!B238</f>
        <v>46354</v>
      </c>
    </row>
    <row r="239" spans="23:23" x14ac:dyDescent="0.15">
      <c r="W239" s="206">
        <f>Admin!B239</f>
        <v>46355</v>
      </c>
    </row>
    <row r="240" spans="23:23" x14ac:dyDescent="0.15">
      <c r="W240" s="206">
        <f>Admin!B240</f>
        <v>46356</v>
      </c>
    </row>
    <row r="241" spans="23:23" x14ac:dyDescent="0.15">
      <c r="W241" s="206">
        <f>Admin!B241</f>
        <v>46357</v>
      </c>
    </row>
    <row r="242" spans="23:23" x14ac:dyDescent="0.15">
      <c r="W242" s="206">
        <f>Admin!B242</f>
        <v>46358</v>
      </c>
    </row>
    <row r="243" spans="23:23" x14ac:dyDescent="0.15">
      <c r="W243" s="206">
        <f>Admin!B243</f>
        <v>46359</v>
      </c>
    </row>
    <row r="244" spans="23:23" x14ac:dyDescent="0.15">
      <c r="W244" s="206">
        <f>Admin!B244</f>
        <v>46360</v>
      </c>
    </row>
    <row r="245" spans="23:23" x14ac:dyDescent="0.15">
      <c r="W245" s="206">
        <f>Admin!B245</f>
        <v>46361</v>
      </c>
    </row>
    <row r="246" spans="23:23" x14ac:dyDescent="0.15">
      <c r="W246" s="206">
        <f>Admin!B246</f>
        <v>46362</v>
      </c>
    </row>
    <row r="247" spans="23:23" x14ac:dyDescent="0.15">
      <c r="W247" s="206">
        <f>Admin!B247</f>
        <v>46363</v>
      </c>
    </row>
    <row r="248" spans="23:23" x14ac:dyDescent="0.15">
      <c r="W248" s="206">
        <f>Admin!B248</f>
        <v>46364</v>
      </c>
    </row>
    <row r="249" spans="23:23" x14ac:dyDescent="0.15">
      <c r="W249" s="206">
        <f>Admin!B249</f>
        <v>46365</v>
      </c>
    </row>
    <row r="250" spans="23:23" x14ac:dyDescent="0.15">
      <c r="W250" s="206">
        <f>Admin!B250</f>
        <v>46366</v>
      </c>
    </row>
    <row r="251" spans="23:23" x14ac:dyDescent="0.15">
      <c r="W251" s="206">
        <f>Admin!B251</f>
        <v>46367</v>
      </c>
    </row>
    <row r="252" spans="23:23" x14ac:dyDescent="0.15">
      <c r="W252" s="206">
        <f>Admin!B252</f>
        <v>46368</v>
      </c>
    </row>
    <row r="253" spans="23:23" x14ac:dyDescent="0.15">
      <c r="W253" s="206">
        <f>Admin!B253</f>
        <v>46369</v>
      </c>
    </row>
    <row r="254" spans="23:23" x14ac:dyDescent="0.15">
      <c r="W254" s="206">
        <f>Admin!B254</f>
        <v>46370</v>
      </c>
    </row>
    <row r="255" spans="23:23" x14ac:dyDescent="0.15">
      <c r="W255" s="206">
        <f>Admin!B255</f>
        <v>46371</v>
      </c>
    </row>
    <row r="256" spans="23:23" x14ac:dyDescent="0.15">
      <c r="W256" s="206">
        <f>Admin!B256</f>
        <v>46372</v>
      </c>
    </row>
    <row r="257" spans="23:23" x14ac:dyDescent="0.15">
      <c r="W257" s="206">
        <f>Admin!B257</f>
        <v>46373</v>
      </c>
    </row>
    <row r="258" spans="23:23" x14ac:dyDescent="0.15">
      <c r="W258" s="206">
        <f>Admin!B258</f>
        <v>46374</v>
      </c>
    </row>
    <row r="259" spans="23:23" x14ac:dyDescent="0.15">
      <c r="W259" s="206">
        <f>Admin!B259</f>
        <v>46375</v>
      </c>
    </row>
    <row r="260" spans="23:23" x14ac:dyDescent="0.15">
      <c r="W260" s="206">
        <f>Admin!B260</f>
        <v>46376</v>
      </c>
    </row>
    <row r="261" spans="23:23" x14ac:dyDescent="0.15">
      <c r="W261" s="206">
        <f>Admin!B261</f>
        <v>46377</v>
      </c>
    </row>
    <row r="262" spans="23:23" x14ac:dyDescent="0.15">
      <c r="W262" s="206">
        <f>Admin!B262</f>
        <v>46378</v>
      </c>
    </row>
    <row r="263" spans="23:23" x14ac:dyDescent="0.15">
      <c r="W263" s="206">
        <f>Admin!B263</f>
        <v>46379</v>
      </c>
    </row>
    <row r="264" spans="23:23" x14ac:dyDescent="0.15">
      <c r="W264" s="206">
        <f>Admin!B264</f>
        <v>46380</v>
      </c>
    </row>
    <row r="265" spans="23:23" x14ac:dyDescent="0.15">
      <c r="W265" s="206">
        <f>Admin!B265</f>
        <v>46381</v>
      </c>
    </row>
    <row r="266" spans="23:23" x14ac:dyDescent="0.15">
      <c r="W266" s="206">
        <f>Admin!B266</f>
        <v>46382</v>
      </c>
    </row>
    <row r="267" spans="23:23" x14ac:dyDescent="0.15">
      <c r="W267" s="206">
        <f>Admin!B267</f>
        <v>46383</v>
      </c>
    </row>
    <row r="268" spans="23:23" x14ac:dyDescent="0.15">
      <c r="W268" s="206">
        <f>Admin!B268</f>
        <v>46384</v>
      </c>
    </row>
    <row r="269" spans="23:23" x14ac:dyDescent="0.15">
      <c r="W269" s="206">
        <f>Admin!B269</f>
        <v>46385</v>
      </c>
    </row>
    <row r="270" spans="23:23" x14ac:dyDescent="0.15">
      <c r="W270" s="206">
        <f>Admin!B270</f>
        <v>46386</v>
      </c>
    </row>
    <row r="271" spans="23:23" x14ac:dyDescent="0.15">
      <c r="W271" s="206">
        <f>Admin!B271</f>
        <v>46387</v>
      </c>
    </row>
    <row r="272" spans="23:23" x14ac:dyDescent="0.15">
      <c r="W272" s="206">
        <f>Admin!B272</f>
        <v>46388</v>
      </c>
    </row>
    <row r="273" spans="23:23" x14ac:dyDescent="0.15">
      <c r="W273" s="206">
        <f>Admin!B273</f>
        <v>46389</v>
      </c>
    </row>
    <row r="274" spans="23:23" x14ac:dyDescent="0.15">
      <c r="W274" s="206">
        <f>Admin!B274</f>
        <v>46390</v>
      </c>
    </row>
    <row r="275" spans="23:23" x14ac:dyDescent="0.15">
      <c r="W275" s="206">
        <f>Admin!B275</f>
        <v>46391</v>
      </c>
    </row>
    <row r="276" spans="23:23" x14ac:dyDescent="0.15">
      <c r="W276" s="206">
        <f>Admin!B276</f>
        <v>46392</v>
      </c>
    </row>
    <row r="277" spans="23:23" x14ac:dyDescent="0.15">
      <c r="W277" s="206">
        <f>Admin!B277</f>
        <v>46393</v>
      </c>
    </row>
    <row r="278" spans="23:23" x14ac:dyDescent="0.15">
      <c r="W278" s="206">
        <f>Admin!B278</f>
        <v>46394</v>
      </c>
    </row>
    <row r="279" spans="23:23" x14ac:dyDescent="0.15">
      <c r="W279" s="206">
        <f>Admin!B279</f>
        <v>46395</v>
      </c>
    </row>
    <row r="280" spans="23:23" x14ac:dyDescent="0.15">
      <c r="W280" s="206">
        <f>Admin!B280</f>
        <v>46396</v>
      </c>
    </row>
    <row r="281" spans="23:23" x14ac:dyDescent="0.15">
      <c r="W281" s="206">
        <f>Admin!B281</f>
        <v>46397</v>
      </c>
    </row>
    <row r="282" spans="23:23" x14ac:dyDescent="0.15">
      <c r="W282" s="206">
        <f>Admin!B282</f>
        <v>46398</v>
      </c>
    </row>
    <row r="283" spans="23:23" x14ac:dyDescent="0.15">
      <c r="W283" s="206">
        <f>Admin!B283</f>
        <v>46399</v>
      </c>
    </row>
    <row r="284" spans="23:23" x14ac:dyDescent="0.15">
      <c r="W284" s="206">
        <f>Admin!B284</f>
        <v>46400</v>
      </c>
    </row>
    <row r="285" spans="23:23" x14ac:dyDescent="0.15">
      <c r="W285" s="206">
        <f>Admin!B285</f>
        <v>46401</v>
      </c>
    </row>
    <row r="286" spans="23:23" x14ac:dyDescent="0.15">
      <c r="W286" s="206">
        <f>Admin!B286</f>
        <v>46402</v>
      </c>
    </row>
    <row r="287" spans="23:23" x14ac:dyDescent="0.15">
      <c r="W287" s="206">
        <f>Admin!B287</f>
        <v>46403</v>
      </c>
    </row>
    <row r="288" spans="23:23" x14ac:dyDescent="0.15">
      <c r="W288" s="206">
        <f>Admin!B288</f>
        <v>46404</v>
      </c>
    </row>
    <row r="289" spans="23:23" x14ac:dyDescent="0.15">
      <c r="W289" s="206">
        <f>Admin!B289</f>
        <v>46405</v>
      </c>
    </row>
    <row r="290" spans="23:23" x14ac:dyDescent="0.15">
      <c r="W290" s="206">
        <f>Admin!B290</f>
        <v>46406</v>
      </c>
    </row>
    <row r="291" spans="23:23" x14ac:dyDescent="0.15">
      <c r="W291" s="206">
        <f>Admin!B291</f>
        <v>46407</v>
      </c>
    </row>
    <row r="292" spans="23:23" x14ac:dyDescent="0.15">
      <c r="W292" s="206">
        <f>Admin!B292</f>
        <v>46408</v>
      </c>
    </row>
    <row r="293" spans="23:23" x14ac:dyDescent="0.15">
      <c r="W293" s="206">
        <f>Admin!B293</f>
        <v>46409</v>
      </c>
    </row>
    <row r="294" spans="23:23" x14ac:dyDescent="0.15">
      <c r="W294" s="206">
        <f>Admin!B294</f>
        <v>46410</v>
      </c>
    </row>
    <row r="295" spans="23:23" x14ac:dyDescent="0.15">
      <c r="W295" s="206">
        <f>Admin!B295</f>
        <v>46411</v>
      </c>
    </row>
    <row r="296" spans="23:23" x14ac:dyDescent="0.15">
      <c r="W296" s="206">
        <f>Admin!B296</f>
        <v>46412</v>
      </c>
    </row>
    <row r="297" spans="23:23" x14ac:dyDescent="0.15">
      <c r="W297" s="206">
        <f>Admin!B297</f>
        <v>46413</v>
      </c>
    </row>
    <row r="298" spans="23:23" x14ac:dyDescent="0.15">
      <c r="W298" s="206">
        <f>Admin!B298</f>
        <v>46414</v>
      </c>
    </row>
    <row r="299" spans="23:23" x14ac:dyDescent="0.15">
      <c r="W299" s="206">
        <f>Admin!B299</f>
        <v>46415</v>
      </c>
    </row>
    <row r="300" spans="23:23" x14ac:dyDescent="0.15">
      <c r="W300" s="206">
        <f>Admin!B300</f>
        <v>46416</v>
      </c>
    </row>
    <row r="301" spans="23:23" x14ac:dyDescent="0.15">
      <c r="W301" s="206">
        <f>Admin!B301</f>
        <v>46417</v>
      </c>
    </row>
    <row r="302" spans="23:23" x14ac:dyDescent="0.15">
      <c r="W302" s="206">
        <f>Admin!B302</f>
        <v>46418</v>
      </c>
    </row>
    <row r="303" spans="23:23" x14ac:dyDescent="0.15">
      <c r="W303" s="206">
        <f>Admin!B303</f>
        <v>46419</v>
      </c>
    </row>
    <row r="304" spans="23:23" x14ac:dyDescent="0.15">
      <c r="W304" s="206">
        <f>Admin!B304</f>
        <v>46420</v>
      </c>
    </row>
    <row r="305" spans="23:23" x14ac:dyDescent="0.15">
      <c r="W305" s="206">
        <f>Admin!B305</f>
        <v>46421</v>
      </c>
    </row>
    <row r="306" spans="23:23" x14ac:dyDescent="0.15">
      <c r="W306" s="206">
        <f>Admin!B306</f>
        <v>46422</v>
      </c>
    </row>
    <row r="307" spans="23:23" x14ac:dyDescent="0.15">
      <c r="W307" s="206">
        <f>Admin!B307</f>
        <v>46423</v>
      </c>
    </row>
    <row r="308" spans="23:23" x14ac:dyDescent="0.15">
      <c r="W308" s="206">
        <f>Admin!B308</f>
        <v>46424</v>
      </c>
    </row>
    <row r="309" spans="23:23" x14ac:dyDescent="0.15">
      <c r="W309" s="206">
        <f>Admin!B309</f>
        <v>46425</v>
      </c>
    </row>
    <row r="310" spans="23:23" x14ac:dyDescent="0.15">
      <c r="W310" s="206">
        <f>Admin!B310</f>
        <v>46426</v>
      </c>
    </row>
    <row r="311" spans="23:23" x14ac:dyDescent="0.15">
      <c r="W311" s="206">
        <f>Admin!B311</f>
        <v>46427</v>
      </c>
    </row>
    <row r="312" spans="23:23" x14ac:dyDescent="0.15">
      <c r="W312" s="206">
        <f>Admin!B312</f>
        <v>46428</v>
      </c>
    </row>
    <row r="313" spans="23:23" x14ac:dyDescent="0.15">
      <c r="W313" s="206">
        <f>Admin!B313</f>
        <v>46429</v>
      </c>
    </row>
    <row r="314" spans="23:23" x14ac:dyDescent="0.15">
      <c r="W314" s="206">
        <f>Admin!B314</f>
        <v>46430</v>
      </c>
    </row>
    <row r="315" spans="23:23" x14ac:dyDescent="0.15">
      <c r="W315" s="206">
        <f>Admin!B315</f>
        <v>46431</v>
      </c>
    </row>
    <row r="316" spans="23:23" x14ac:dyDescent="0.15">
      <c r="W316" s="206">
        <f>Admin!B316</f>
        <v>46432</v>
      </c>
    </row>
    <row r="317" spans="23:23" x14ac:dyDescent="0.15">
      <c r="W317" s="206">
        <f>Admin!B317</f>
        <v>46433</v>
      </c>
    </row>
    <row r="318" spans="23:23" x14ac:dyDescent="0.15">
      <c r="W318" s="206">
        <f>Admin!B318</f>
        <v>46434</v>
      </c>
    </row>
    <row r="319" spans="23:23" x14ac:dyDescent="0.15">
      <c r="W319" s="206">
        <f>Admin!B319</f>
        <v>46435</v>
      </c>
    </row>
    <row r="320" spans="23:23" x14ac:dyDescent="0.15">
      <c r="W320" s="206">
        <f>Admin!B320</f>
        <v>46436</v>
      </c>
    </row>
    <row r="321" spans="23:23" x14ac:dyDescent="0.15">
      <c r="W321" s="206">
        <f>Admin!B321</f>
        <v>46437</v>
      </c>
    </row>
    <row r="322" spans="23:23" x14ac:dyDescent="0.15">
      <c r="W322" s="206">
        <f>Admin!B322</f>
        <v>46438</v>
      </c>
    </row>
    <row r="323" spans="23:23" x14ac:dyDescent="0.15">
      <c r="W323" s="206">
        <f>Admin!B323</f>
        <v>46439</v>
      </c>
    </row>
    <row r="324" spans="23:23" x14ac:dyDescent="0.15">
      <c r="W324" s="206">
        <f>Admin!B324</f>
        <v>46440</v>
      </c>
    </row>
    <row r="325" spans="23:23" x14ac:dyDescent="0.15">
      <c r="W325" s="206">
        <f>Admin!B325</f>
        <v>46441</v>
      </c>
    </row>
    <row r="326" spans="23:23" x14ac:dyDescent="0.15">
      <c r="W326" s="206">
        <f>Admin!B326</f>
        <v>46442</v>
      </c>
    </row>
    <row r="327" spans="23:23" x14ac:dyDescent="0.15">
      <c r="W327" s="206">
        <f>Admin!B327</f>
        <v>46443</v>
      </c>
    </row>
    <row r="328" spans="23:23" x14ac:dyDescent="0.15">
      <c r="W328" s="206">
        <f>Admin!B328</f>
        <v>46444</v>
      </c>
    </row>
    <row r="329" spans="23:23" x14ac:dyDescent="0.15">
      <c r="W329" s="206">
        <f>Admin!B329</f>
        <v>46445</v>
      </c>
    </row>
    <row r="330" spans="23:23" x14ac:dyDescent="0.15">
      <c r="W330" s="206">
        <f>Admin!B330</f>
        <v>46446</v>
      </c>
    </row>
    <row r="331" spans="23:23" x14ac:dyDescent="0.15">
      <c r="W331" s="206">
        <f>Admin!B331</f>
        <v>46447</v>
      </c>
    </row>
    <row r="332" spans="23:23" x14ac:dyDescent="0.15">
      <c r="W332" s="206">
        <f>Admin!B332</f>
        <v>46448</v>
      </c>
    </row>
    <row r="333" spans="23:23" x14ac:dyDescent="0.15">
      <c r="W333" s="206">
        <f>Admin!B333</f>
        <v>46449</v>
      </c>
    </row>
    <row r="334" spans="23:23" x14ac:dyDescent="0.15">
      <c r="W334" s="206">
        <f>Admin!B334</f>
        <v>46450</v>
      </c>
    </row>
    <row r="335" spans="23:23" x14ac:dyDescent="0.15">
      <c r="W335" s="206">
        <f>Admin!B335</f>
        <v>46451</v>
      </c>
    </row>
    <row r="336" spans="23:23" x14ac:dyDescent="0.15">
      <c r="W336" s="206">
        <f>Admin!B336</f>
        <v>46452</v>
      </c>
    </row>
    <row r="337" spans="23:23" x14ac:dyDescent="0.15">
      <c r="W337" s="206">
        <f>Admin!B337</f>
        <v>46453</v>
      </c>
    </row>
    <row r="338" spans="23:23" x14ac:dyDescent="0.15">
      <c r="W338" s="206">
        <f>Admin!B338</f>
        <v>46454</v>
      </c>
    </row>
    <row r="339" spans="23:23" x14ac:dyDescent="0.15">
      <c r="W339" s="206">
        <f>Admin!B339</f>
        <v>46455</v>
      </c>
    </row>
    <row r="340" spans="23:23" x14ac:dyDescent="0.15">
      <c r="W340" s="206">
        <f>Admin!B340</f>
        <v>46456</v>
      </c>
    </row>
    <row r="341" spans="23:23" x14ac:dyDescent="0.15">
      <c r="W341" s="206">
        <f>Admin!B341</f>
        <v>46457</v>
      </c>
    </row>
    <row r="342" spans="23:23" x14ac:dyDescent="0.15">
      <c r="W342" s="206">
        <f>Admin!B342</f>
        <v>46458</v>
      </c>
    </row>
    <row r="343" spans="23:23" x14ac:dyDescent="0.15">
      <c r="W343" s="206">
        <f>Admin!B343</f>
        <v>46459</v>
      </c>
    </row>
    <row r="344" spans="23:23" x14ac:dyDescent="0.15">
      <c r="W344" s="206">
        <f>Admin!B344</f>
        <v>46460</v>
      </c>
    </row>
    <row r="345" spans="23:23" x14ac:dyDescent="0.15">
      <c r="W345" s="206">
        <f>Admin!B345</f>
        <v>46461</v>
      </c>
    </row>
    <row r="346" spans="23:23" x14ac:dyDescent="0.15">
      <c r="W346" s="206">
        <f>Admin!B346</f>
        <v>46462</v>
      </c>
    </row>
    <row r="347" spans="23:23" x14ac:dyDescent="0.15">
      <c r="W347" s="206">
        <f>Admin!B347</f>
        <v>46463</v>
      </c>
    </row>
    <row r="348" spans="23:23" x14ac:dyDescent="0.15">
      <c r="W348" s="206">
        <f>Admin!B348</f>
        <v>46464</v>
      </c>
    </row>
    <row r="349" spans="23:23" x14ac:dyDescent="0.15">
      <c r="W349" s="206">
        <f>Admin!B349</f>
        <v>46465</v>
      </c>
    </row>
    <row r="350" spans="23:23" x14ac:dyDescent="0.15">
      <c r="W350" s="206">
        <f>Admin!B350</f>
        <v>46466</v>
      </c>
    </row>
    <row r="351" spans="23:23" x14ac:dyDescent="0.15">
      <c r="W351" s="206">
        <f>Admin!B351</f>
        <v>46467</v>
      </c>
    </row>
    <row r="352" spans="23:23" x14ac:dyDescent="0.15">
      <c r="W352" s="206">
        <f>Admin!B352</f>
        <v>46468</v>
      </c>
    </row>
    <row r="353" spans="23:23" x14ac:dyDescent="0.15">
      <c r="W353" s="206">
        <f>Admin!B353</f>
        <v>46469</v>
      </c>
    </row>
    <row r="354" spans="23:23" x14ac:dyDescent="0.15">
      <c r="W354" s="206">
        <f>Admin!B354</f>
        <v>46470</v>
      </c>
    </row>
    <row r="355" spans="23:23" x14ac:dyDescent="0.15">
      <c r="W355" s="206">
        <f>Admin!B355</f>
        <v>46471</v>
      </c>
    </row>
    <row r="356" spans="23:23" x14ac:dyDescent="0.15">
      <c r="W356" s="206">
        <f>Admin!B356</f>
        <v>46472</v>
      </c>
    </row>
    <row r="357" spans="23:23" x14ac:dyDescent="0.15">
      <c r="W357" s="206">
        <f>Admin!B357</f>
        <v>46473</v>
      </c>
    </row>
    <row r="358" spans="23:23" x14ac:dyDescent="0.15">
      <c r="W358" s="206">
        <f>Admin!B358</f>
        <v>46474</v>
      </c>
    </row>
    <row r="359" spans="23:23" x14ac:dyDescent="0.15">
      <c r="W359" s="206">
        <f>Admin!B359</f>
        <v>46475</v>
      </c>
    </row>
    <row r="360" spans="23:23" x14ac:dyDescent="0.15">
      <c r="W360" s="206">
        <f>Admin!B360</f>
        <v>46476</v>
      </c>
    </row>
    <row r="361" spans="23:23" x14ac:dyDescent="0.15">
      <c r="W361" s="206">
        <f>Admin!B361</f>
        <v>46477</v>
      </c>
    </row>
    <row r="362" spans="23:23" x14ac:dyDescent="0.15">
      <c r="W362" s="206">
        <f>Admin!B362</f>
        <v>46478</v>
      </c>
    </row>
    <row r="363" spans="23:23" x14ac:dyDescent="0.15">
      <c r="W363" s="206">
        <f>Admin!B363</f>
        <v>46479</v>
      </c>
    </row>
    <row r="364" spans="23:23" x14ac:dyDescent="0.15">
      <c r="W364" s="206">
        <f>Admin!B364</f>
        <v>46480</v>
      </c>
    </row>
    <row r="365" spans="23:23" x14ac:dyDescent="0.15">
      <c r="W365" s="206">
        <f>Admin!B365</f>
        <v>46481</v>
      </c>
    </row>
    <row r="366" spans="23:23" x14ac:dyDescent="0.15">
      <c r="W366" s="206">
        <f>Admin!B366</f>
        <v>46482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46118</v>
      </c>
      <c r="L9" s="200" t="s">
        <v>76</v>
      </c>
      <c r="M9" s="202">
        <f>K9+(7-WEEKDAY(K9, 2))</f>
        <v>46124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46125</v>
      </c>
      <c r="L19" s="200" t="s">
        <v>76</v>
      </c>
      <c r="M19" s="202">
        <f>K19+6</f>
        <v>46131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46132</v>
      </c>
      <c r="L29" s="200" t="s">
        <v>76</v>
      </c>
      <c r="M29" s="202">
        <f>K29+6</f>
        <v>46138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46139</v>
      </c>
      <c r="L39" s="200" t="s">
        <v>76</v>
      </c>
      <c r="M39" s="202">
        <f>K39+6</f>
        <v>46145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DATE(2026,4,6)</f>
        <v>46118</v>
      </c>
      <c r="L49" s="203" t="s">
        <v>76</v>
      </c>
      <c r="M49" s="205">
        <f>DATE(2026,4,30)</f>
        <v>46142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46146</v>
      </c>
      <c r="L9" s="203" t="s">
        <v>76</v>
      </c>
      <c r="M9" s="205">
        <f>K9+6</f>
        <v>46152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46153</v>
      </c>
      <c r="L19" s="203" t="s">
        <v>76</v>
      </c>
      <c r="M19" s="205">
        <f>K19+6</f>
        <v>46159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46160</v>
      </c>
      <c r="L29" s="203" t="s">
        <v>76</v>
      </c>
      <c r="M29" s="205">
        <f>K29+6</f>
        <v>46166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46167</v>
      </c>
      <c r="L39" s="203" t="s">
        <v>76</v>
      </c>
      <c r="M39" s="205">
        <f>K39+6</f>
        <v>46173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DATE(2026,5,1)</f>
        <v>46143</v>
      </c>
      <c r="L49" s="203" t="s">
        <v>76</v>
      </c>
      <c r="M49" s="205">
        <f>DATE(2026,5,31)</f>
        <v>46173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46174</v>
      </c>
      <c r="L9" s="203" t="s">
        <v>76</v>
      </c>
      <c r="M9" s="205">
        <f>K9+6</f>
        <v>46180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46181</v>
      </c>
      <c r="L19" s="203" t="s">
        <v>76</v>
      </c>
      <c r="M19" s="205">
        <f>K19+6</f>
        <v>46187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46188</v>
      </c>
      <c r="L29" s="203" t="s">
        <v>76</v>
      </c>
      <c r="M29" s="205">
        <f>K29+6</f>
        <v>46194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46195</v>
      </c>
      <c r="L39" s="203" t="s">
        <v>76</v>
      </c>
      <c r="M39" s="205">
        <f>K39+6</f>
        <v>46201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46202</v>
      </c>
      <c r="L49" s="203" t="s">
        <v>76</v>
      </c>
      <c r="M49" s="205">
        <f>K49+6</f>
        <v>46208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DATE(2026,6,1)</f>
        <v>46174</v>
      </c>
      <c r="L59" s="203" t="s">
        <v>76</v>
      </c>
      <c r="M59" s="205">
        <f>DATE(2026,6,30)</f>
        <v>46203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46207</v>
      </c>
      <c r="L9" s="203" t="s">
        <v>76</v>
      </c>
      <c r="M9" s="205">
        <f>K9+6</f>
        <v>46213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46214</v>
      </c>
      <c r="L19" s="203" t="s">
        <v>76</v>
      </c>
      <c r="M19" s="205">
        <f>K19+6</f>
        <v>46220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46221</v>
      </c>
      <c r="L29" s="203" t="s">
        <v>76</v>
      </c>
      <c r="M29" s="205">
        <f>K29+6</f>
        <v>46227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46228</v>
      </c>
      <c r="L39" s="203" t="s">
        <v>76</v>
      </c>
      <c r="M39" s="205">
        <f>K39+6</f>
        <v>46234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DATE(2026,7,1)</f>
        <v>46204</v>
      </c>
      <c r="L49" s="203" t="s">
        <v>76</v>
      </c>
      <c r="M49" s="205">
        <f>DATE(2026,7,31)</f>
        <v>46234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46235</v>
      </c>
      <c r="L9" s="203" t="s">
        <v>76</v>
      </c>
      <c r="M9" s="205">
        <f>K9+6</f>
        <v>46241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IF(T$9="Y",Jul!H41,0)</f>
        <v>0</v>
      </c>
      <c r="I12" s="92">
        <f>IF(T$9="Y",Jul!I41,0)</f>
        <v>0</v>
      </c>
      <c r="J12" s="92">
        <f>IF(T$9="Y",Jul!J41,0)</f>
        <v>0</v>
      </c>
      <c r="K12" s="92">
        <f>IF(T$9="Y",Jul!K41,I12*J12)</f>
        <v>0</v>
      </c>
      <c r="L12" s="111">
        <f>IF(T$9="Y",Jul!L41,0)</f>
        <v>0</v>
      </c>
      <c r="M12" s="111" t="str">
        <f>IF(E12=" "," ",IF(T$9="Y",Jul!M41,IF((H12+K12+L12)&gt;0,H12+K12+L12,"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IF(T$9="Y",Jul!H41,0)</f>
        <v>0</v>
      </c>
      <c r="I13" s="92">
        <f>IF(T$9="Y",Jul!I41,0)</f>
        <v>0</v>
      </c>
      <c r="J13" s="92">
        <f>IF(T$9="Y",Jul!J41,0)</f>
        <v>0</v>
      </c>
      <c r="K13" s="92">
        <f>IF(T$9="Y",Jul!K41,I13*J13)</f>
        <v>0</v>
      </c>
      <c r="L13" s="111">
        <f>IF(T$9="Y",Jul!L41,0)</f>
        <v>0</v>
      </c>
      <c r="M13" s="111" t="str">
        <f>IF(E13=" "," ",IF(T$9="Y",Jul!M41,IF((H13+K13+L13)&gt;0,H13+K13+L13,"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IF(T$9="Y",Jul!H41,0)</f>
        <v>0</v>
      </c>
      <c r="I14" s="92">
        <f>IF(T$9="Y",Jul!I41,0)</f>
        <v>0</v>
      </c>
      <c r="J14" s="92">
        <f>IF(T$9="Y",Jul!J41,0)</f>
        <v>0</v>
      </c>
      <c r="K14" s="92">
        <f>IF(T$9="Y",Jul!K41,I14*J14)</f>
        <v>0</v>
      </c>
      <c r="L14" s="111">
        <f>IF(T$9="Y",Jul!L41,0)</f>
        <v>0</v>
      </c>
      <c r="M14" s="111" t="str">
        <f>IF(E14=" "," ",IF(T$9="Y",Jul!M41,IF((H14+K14+L14)&gt;0,H14+K14+L14,"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IF(T$9="Y",Jul!H41,0)</f>
        <v>0</v>
      </c>
      <c r="I15" s="245">
        <f>IF(T$9="Y",Jul!I41,0)</f>
        <v>0</v>
      </c>
      <c r="J15" s="245">
        <f>IF(T$9="Y",Jul!J41,0)</f>
        <v>0</v>
      </c>
      <c r="K15" s="245">
        <f>IF(T$9="Y",Jul!K41,I15*J15)</f>
        <v>0</v>
      </c>
      <c r="L15" s="246">
        <f>IF(T$9="Y",Jul!L41,0)</f>
        <v>0</v>
      </c>
      <c r="M15" s="246" t="str">
        <f>IF(E15=" "," ",IF(T$9="Y",Jul!M41,IF((H15+K15+L15)&gt;0,H15+K15+L15,"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46242</v>
      </c>
      <c r="L19" s="203" t="s">
        <v>76</v>
      </c>
      <c r="M19" s="205">
        <f>K19+6</f>
        <v>46248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46249</v>
      </c>
      <c r="L29" s="203" t="s">
        <v>76</v>
      </c>
      <c r="M29" s="205">
        <f>K29+6</f>
        <v>46255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46256</v>
      </c>
      <c r="L39" s="203" t="s">
        <v>76</v>
      </c>
      <c r="M39" s="205">
        <f>K39+6</f>
        <v>46262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DATE(2026,8,1)</f>
        <v>46235</v>
      </c>
      <c r="L49" s="203" t="s">
        <v>76</v>
      </c>
      <c r="M49" s="205">
        <f>DATE(2026,8,31)</f>
        <v>46265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46263</v>
      </c>
      <c r="L9" s="203" t="s">
        <v>76</v>
      </c>
      <c r="M9" s="205">
        <f>K9+6</f>
        <v>46269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46270</v>
      </c>
      <c r="L19" s="203" t="s">
        <v>76</v>
      </c>
      <c r="M19" s="205">
        <f>K19+6</f>
        <v>46276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46277</v>
      </c>
      <c r="L29" s="203" t="s">
        <v>76</v>
      </c>
      <c r="M29" s="205">
        <f>K29+6</f>
        <v>46283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46284</v>
      </c>
      <c r="L39" s="203" t="s">
        <v>76</v>
      </c>
      <c r="M39" s="205">
        <f>K39+6</f>
        <v>46290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46291</v>
      </c>
      <c r="L49" s="203" t="s">
        <v>76</v>
      </c>
      <c r="M49" s="205">
        <f>K49+6</f>
        <v>46297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DATE(2026,9,1)</f>
        <v>46266</v>
      </c>
      <c r="L59" s="203" t="s">
        <v>76</v>
      </c>
      <c r="M59" s="205">
        <f>DATE(2026,9,30)</f>
        <v>46295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46298</v>
      </c>
      <c r="L9" s="203" t="s">
        <v>76</v>
      </c>
      <c r="M9" s="205">
        <f>Admin!B188</f>
        <v>46304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46305</v>
      </c>
      <c r="L19" s="203" t="s">
        <v>76</v>
      </c>
      <c r="M19" s="205">
        <f>K19+6</f>
        <v>46311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46312</v>
      </c>
      <c r="L29" s="203" t="s">
        <v>76</v>
      </c>
      <c r="M29" s="205">
        <f>K29+6</f>
        <v>46318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46319</v>
      </c>
      <c r="L39" s="203" t="s">
        <v>76</v>
      </c>
      <c r="M39" s="205">
        <f>K39+6</f>
        <v>46325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DATE(2026,10,1)</f>
        <v>46296</v>
      </c>
      <c r="L49" s="203" t="s">
        <v>76</v>
      </c>
      <c r="M49" s="205">
        <f>DATE(2026,10,31)</f>
        <v>46326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46326</v>
      </c>
      <c r="L9" s="203" t="s">
        <v>76</v>
      </c>
      <c r="M9" s="205">
        <f>K9+6</f>
        <v>46332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46333</v>
      </c>
      <c r="L19" s="203" t="s">
        <v>76</v>
      </c>
      <c r="M19" s="205">
        <f>K19+6</f>
        <v>46339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46340</v>
      </c>
      <c r="L29" s="203" t="s">
        <v>76</v>
      </c>
      <c r="M29" s="205">
        <f>K29+6</f>
        <v>46346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46347</v>
      </c>
      <c r="L39" s="203" t="s">
        <v>76</v>
      </c>
      <c r="M39" s="205">
        <f>K39+6</f>
        <v>46353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DATE(2026,11,1)</f>
        <v>46327</v>
      </c>
      <c r="L49" s="203" t="s">
        <v>76</v>
      </c>
      <c r="M49" s="205">
        <f>DATE(2026,11,30)</f>
        <v>46356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46354</v>
      </c>
      <c r="L9" s="203" t="s">
        <v>76</v>
      </c>
      <c r="M9" s="205">
        <f>K9+6</f>
        <v>46360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46361</v>
      </c>
      <c r="L19" s="203" t="s">
        <v>76</v>
      </c>
      <c r="M19" s="205">
        <f>K19+6</f>
        <v>46367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46368</v>
      </c>
      <c r="L29" s="203" t="s">
        <v>76</v>
      </c>
      <c r="M29" s="205">
        <f>K29+6</f>
        <v>46374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46375</v>
      </c>
      <c r="L39" s="203" t="s">
        <v>76</v>
      </c>
      <c r="M39" s="205">
        <f>K39+6</f>
        <v>46381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46382</v>
      </c>
      <c r="L49" s="203" t="s">
        <v>76</v>
      </c>
      <c r="M49" s="205">
        <f>K49+6</f>
        <v>46388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DATE(2026,12,1)</f>
        <v>46357</v>
      </c>
      <c r="L59" s="203" t="s">
        <v>76</v>
      </c>
      <c r="M59" s="205">
        <f>DATE(2026,12,31)</f>
        <v>46387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46389</v>
      </c>
      <c r="L9" s="203" t="s">
        <v>76</v>
      </c>
      <c r="M9" s="205">
        <f>K9+6</f>
        <v>46395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46396</v>
      </c>
      <c r="L19" s="203" t="s">
        <v>76</v>
      </c>
      <c r="M19" s="205">
        <f>K19+6</f>
        <v>46402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46403</v>
      </c>
      <c r="L29" s="203" t="s">
        <v>76</v>
      </c>
      <c r="M29" s="205">
        <f>K29+6</f>
        <v>46409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46410</v>
      </c>
      <c r="L39" s="203" t="s">
        <v>76</v>
      </c>
      <c r="M39" s="205">
        <f>K39+6</f>
        <v>46416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DATE(2027,1,1)</f>
        <v>46388</v>
      </c>
      <c r="L49" s="203" t="s">
        <v>76</v>
      </c>
      <c r="M49" s="205">
        <f>DATE(2027,1,31)</f>
        <v>46418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46417</v>
      </c>
      <c r="L9" s="203" t="s">
        <v>76</v>
      </c>
      <c r="M9" s="205">
        <f>K9+6</f>
        <v>46423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46424</v>
      </c>
      <c r="L19" s="203" t="s">
        <v>76</v>
      </c>
      <c r="M19" s="205">
        <f>K19+6</f>
        <v>46430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46431</v>
      </c>
      <c r="L29" s="203" t="s">
        <v>76</v>
      </c>
      <c r="M29" s="205">
        <f>K29+6</f>
        <v>46437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46438</v>
      </c>
      <c r="L39" s="203" t="s">
        <v>76</v>
      </c>
      <c r="M39" s="205">
        <f>K39+6</f>
        <v>46444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DATE(2027,2,1)</f>
        <v>46419</v>
      </c>
      <c r="L49" s="203" t="s">
        <v>76</v>
      </c>
      <c r="M49" s="205">
        <f>DATE(2027,2,28)</f>
        <v>46446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46445</v>
      </c>
      <c r="L9" s="203" t="s">
        <v>76</v>
      </c>
      <c r="M9" s="205">
        <f>K9+6</f>
        <v>46451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46452</v>
      </c>
      <c r="L19" s="203" t="s">
        <v>76</v>
      </c>
      <c r="M19" s="205">
        <f>K19+6</f>
        <v>46458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46459</v>
      </c>
      <c r="L29" s="203" t="s">
        <v>76</v>
      </c>
      <c r="M29" s="205">
        <f>K29+6</f>
        <v>46465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46466</v>
      </c>
      <c r="L39" s="203" t="s">
        <v>76</v>
      </c>
      <c r="M39" s="205">
        <f>K39+6</f>
        <v>46472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46473</v>
      </c>
      <c r="L49" s="203" t="s">
        <v>76</v>
      </c>
      <c r="M49" s="205">
        <f>K49+6</f>
        <v>46479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46480</v>
      </c>
      <c r="L59" s="203" t="s">
        <v>76</v>
      </c>
      <c r="M59" s="205">
        <f>K59+4</f>
        <v>46484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DATE(2027,3,1)</f>
        <v>46447</v>
      </c>
      <c r="L69" s="203" t="s">
        <v>76</v>
      </c>
      <c r="M69" s="205">
        <f>DATE(2027,3,31)</f>
        <v>46477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46124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46124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46124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46124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46124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DATE(2026,4,30)</f>
        <v>46142</v>
      </c>
      <c r="C4" s="229">
        <f>DATE(2026,5,19)</f>
        <v>46161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2701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DATE(2026,5,31)</f>
        <v>46173</v>
      </c>
      <c r="C5" s="229">
        <f>DATE(2026,6,19)</f>
        <v>46192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2702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DATE(2026,6,30)</f>
        <v>46203</v>
      </c>
      <c r="C6" s="229">
        <f>DATE(2026,7,19)</f>
        <v>46222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2703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DATE(2026,7,31)</f>
        <v>46234</v>
      </c>
      <c r="C7" s="229">
        <f>DATE(2026,8,19)</f>
        <v>46253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2704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DATE(2026,8,31)</f>
        <v>46265</v>
      </c>
      <c r="C8" s="229">
        <f>DATE(2026,9,19)</f>
        <v>46284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2705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DATE(2026,9,30)</f>
        <v>46295</v>
      </c>
      <c r="C9" s="229">
        <f>DATE(2026,10,19)</f>
        <v>46314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2706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DATE(2026,10,31)</f>
        <v>46326</v>
      </c>
      <c r="C10" s="229">
        <f>DATE(2026,11,19)</f>
        <v>46345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2707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DATE(2026,11,30)</f>
        <v>46356</v>
      </c>
      <c r="C11" s="229">
        <f>DATE(2026,12,19)</f>
        <v>46375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2708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DATE(2026,12,31)</f>
        <v>46387</v>
      </c>
      <c r="C12" s="229">
        <f>DATE(2027,1,19)</f>
        <v>46406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2709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DATE(2027,1,31)</f>
        <v>46418</v>
      </c>
      <c r="C13" s="229">
        <f>DATE(2027,2,19)</f>
        <v>46437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2710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DATE(2027,2,28)</f>
        <v>46446</v>
      </c>
      <c r="C14" s="229">
        <f>DATE(2027,3,19)</f>
        <v>46465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2711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DATE(2027,3,31)</f>
        <v>46477</v>
      </c>
      <c r="C15" s="229">
        <f>DATE(2027,4,19)</f>
        <v>46496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2712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46482</v>
      </c>
      <c r="J1" s="493"/>
      <c r="K1" s="303"/>
      <c r="L1" s="303"/>
      <c r="M1" s="304"/>
      <c r="N1" s="305" t="str">
        <f>TEXT(YEAR(I1)-1,"0") &amp; "-" &amp; TEXT(YEAR(I1)-2000,"0")</f>
        <v>2026-27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46118</v>
      </c>
      <c r="C2" s="309">
        <v>1</v>
      </c>
      <c r="D2" s="309">
        <v>1</v>
      </c>
      <c r="E2" s="310">
        <f>B2</f>
        <v>46118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46119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46120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46121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46122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46123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46124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46125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46126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46127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46128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46129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46130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46131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46132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46133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46134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46135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46136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46137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46138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46139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46140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46141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46142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46143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46144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46145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46146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46147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46148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46149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46150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46151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46152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46153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46154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46155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46156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46157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46158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46159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46160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46161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46162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46163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46164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46165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46166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46167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46168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46169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46170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46171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46172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46173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46174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46175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46176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46177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46178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46179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46180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46181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46182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46183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46184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46185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46186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46187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46188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46189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46190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46191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46192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46193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46194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46195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46196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46197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46198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46199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46200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46201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46202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46203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46204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46205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46206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46207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46208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46209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46210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46211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46212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46213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46214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46215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46216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46217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46218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46219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46220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46221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46222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46223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46224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46225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46226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46227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46228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46229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46230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46231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46232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46233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46234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46235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46236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46237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46238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46239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46240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46241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46242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46243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46244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46245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46246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46247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46248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46249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46250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46251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46252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46253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46254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46255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46256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46257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46258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46259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46260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46261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46262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46263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46264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46265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46266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46267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46268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46269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46270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46271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46272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46273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46274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46275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46276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46277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46278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46279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46280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46281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46282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46283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46284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46285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46286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46287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46288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46289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46290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46291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46292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46293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46294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46295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46296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46297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46298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46299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46300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46301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46302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46303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46304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46305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46306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46307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46308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46309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46310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46311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46312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46313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46314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46315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46316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46317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46318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46319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46320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46321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46322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46323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46324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46325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46326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46327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46328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46329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46330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46331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46332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46333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46334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46335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46336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46337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46338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46339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46340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46341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46342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46343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46344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46345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46346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46347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46348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46349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46350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46351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46352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46353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46354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46355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46356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46357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46358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46359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46360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46361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46362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46363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46364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46365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46366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46367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46368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46369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46370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46371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46372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46373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46374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46375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46376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46377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46378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46379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46380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46381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46382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46383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46384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46385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46386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46387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46388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46389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46390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46391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46392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46393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46394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46395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46396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46397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46398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46399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46400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46401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46402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46403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46404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46405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46406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46407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46408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46409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46410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46411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46412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46413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46414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46415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46416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46417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46418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46419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46420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46421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46422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46423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46424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46425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46426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46427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46428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46429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46430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46431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46432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46433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46434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46435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46436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46437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46438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46439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46440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46441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46442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46443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46444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46445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46446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46447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46448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46449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46450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46451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46452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46453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46454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46455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46456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46457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46458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46459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46460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46461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46462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46463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46464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46465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46466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46467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46468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46469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46470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46471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46472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46473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46474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46475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46476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46477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46478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46479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46480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46481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46482</v>
      </c>
      <c r="C366" s="309">
        <v>53</v>
      </c>
      <c r="D366" s="309">
        <v>12</v>
      </c>
      <c r="E366" s="310">
        <f>B366</f>
        <v>46482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46483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46484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46485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46486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46487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46488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46489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46490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46491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46492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46493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46494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46495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46496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46497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