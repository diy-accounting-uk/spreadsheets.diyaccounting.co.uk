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<sst xmlns="http://schemas.openxmlformats.org/spreadsheetml/2006/main" count="182" uniqueCount="45">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</sst>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46081</v>
          </cell>
        </row>
        <row r="8">
          <cell r="B8">
            <v>46112</v>
          </cell>
        </row>
        <row r="10">
          <cell r="B10">
            <v>46142</v>
          </cell>
        </row>
        <row r="12">
          <cell r="B12">
            <v>46173</v>
          </cell>
        </row>
        <row r="14">
          <cell r="B14">
            <v>46203</v>
          </cell>
        </row>
        <row r="16">
          <cell r="B16">
            <v>46234</v>
          </cell>
        </row>
        <row r="18">
          <cell r="B18">
            <v>46265</v>
          </cell>
        </row>
        <row r="20">
          <cell r="B20">
            <v>46295</v>
          </cell>
        </row>
        <row r="22">
          <cell r="B22">
            <v>46326</v>
          </cell>
        </row>
        <row r="24">
          <cell r="B24">
            <v>46356</v>
          </cell>
        </row>
        <row r="26">
          <cell r="B26">
            <v>46387</v>
          </cell>
        </row>
        <row r="28">
          <cell r="B28">
            <v>46418</v>
          </cell>
        </row>
        <row r="30">
          <cell r="B30">
            <v>46446</v>
          </cell>
        </row>
        <row r="32">
          <cell r="B32">
            <v>46477</v>
          </cell>
        </row>
        <row r="34">
          <cell r="B34">
            <v>46507</v>
          </cell>
        </row>
        <row r="36">
          <cell r="B36">
            <v>46538</v>
          </cell>
        </row>
        <row r="38">
          <cell r="B38">
            <v>46568</v>
          </cell>
        </row>
        <row r="40">
          <cell r="B40">
            <v>46599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46203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46295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46387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46477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46142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46203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46568</v>
      </c>
      <c r="H5" s="10"/>
      <c r="I5" s="13"/>
      <c r="K5" s="69">
        <f>Vatinterface!B9</f>
        <v>46234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46295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46326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46356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46387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46418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46446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46507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46568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46081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46112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46142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46173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46203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IF([2]Jun!$G$4&gt;0,[2]Jun!$G$4,0)</f>
        <v>0</v>
      </c>
      <c r="N8" s="57"/>
    </row>
    <row r="9" spans="1:14" x14ac:dyDescent="0.15">
      <c r="A9" s="56"/>
      <c r="B9" s="62">
        <f>[1]Admin!$B$16</f>
        <v>46234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IF([2]Jul!$G$4&gt;0,[2]Jul!$G$4,0)</f>
        <v>0</v>
      </c>
      <c r="N9" s="57"/>
    </row>
    <row r="10" spans="1:14" x14ac:dyDescent="0.15">
      <c r="A10" s="56"/>
      <c r="B10" s="62">
        <f>[1]Admin!$B$18</f>
        <v>46265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46295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IF([2]Sep!$G$4&gt;0,[2]Sep!$G$4,0)</f>
        <v>0</v>
      </c>
      <c r="N11" s="57"/>
    </row>
    <row r="12" spans="1:14" x14ac:dyDescent="0.15">
      <c r="A12" s="56"/>
      <c r="B12" s="62">
        <f>[1]Admin!$B$22</f>
        <v>46326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IF([2]Oct!$G$4&gt;0,[2]Oct!$G$4,0)</f>
        <v>0</v>
      </c>
      <c r="N12" s="57"/>
    </row>
    <row r="13" spans="1:14" x14ac:dyDescent="0.15">
      <c r="A13" s="56"/>
      <c r="B13" s="62">
        <f>[1]Admin!$B$24</f>
        <v>46356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IF([2]Nov!$G$4&gt;0,[2]Nov!$G$4,0)</f>
        <v>0</v>
      </c>
      <c r="N13" s="57"/>
    </row>
    <row r="14" spans="1:14" x14ac:dyDescent="0.15">
      <c r="A14" s="56"/>
      <c r="B14" s="62">
        <f>[1]Admin!$B$26</f>
        <v>46387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IF([2]Dec!$G$4&gt;0,[2]Dec!$G$4,0)</f>
        <v>0</v>
      </c>
      <c r="N14" s="57"/>
    </row>
    <row r="15" spans="1:14" x14ac:dyDescent="0.15">
      <c r="A15" s="56"/>
      <c r="B15" s="62">
        <f>[1]Admin!$B$28</f>
        <v>46418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IF([2]Jan!$G$4&gt;0,[2]Jan!$G$4,0)</f>
        <v>0</v>
      </c>
      <c r="N15" s="57"/>
    </row>
    <row r="16" spans="1:14" x14ac:dyDescent="0.15">
      <c r="A16" s="56"/>
      <c r="B16" s="62">
        <f>[1]Admin!$B$30</f>
        <v>46446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IF([2]Feb!$G$4&gt;0,[2]Feb!$G$4,0)</f>
        <v>0</v>
      </c>
      <c r="N16" s="57"/>
    </row>
    <row r="17" spans="1:14" x14ac:dyDescent="0.15">
      <c r="A17" s="56"/>
      <c r="B17" s="62">
        <f>[1]Admin!$B$32</f>
        <v>46477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46507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46538</v>
      </c>
      <c r="C19" s="62">
        <f>[1]Admin!$B$38</f>
        <v>46568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x14ac:dyDescent="0.15">
      <c r="A20" s="56"/>
      <c r="B20" s="62">
        <f>[1]Admin!$B$38</f>
        <v>46568</v>
      </c>
      <c r="C20" s="63">
        <f>[1]Admin!$B$40</f>
        <v>46599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IF([2]Mar!$G$4&gt;0,[2]Mar!$G$4,0)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