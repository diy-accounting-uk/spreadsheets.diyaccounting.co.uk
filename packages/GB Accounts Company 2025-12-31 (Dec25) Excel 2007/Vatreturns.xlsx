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<sst xmlns="http://schemas.openxmlformats.org/spreadsheetml/2006/main" count="182" uniqueCount="45">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</sst>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45626</v>
          </cell>
        </row>
        <row r="8">
          <cell r="B8">
            <v>45657</v>
          </cell>
        </row>
        <row r="10">
          <cell r="B10">
            <v>45688</v>
          </cell>
        </row>
        <row r="12">
          <cell r="B12">
            <v>45716</v>
          </cell>
        </row>
        <row r="14">
          <cell r="B14">
            <v>45747</v>
          </cell>
        </row>
        <row r="16">
          <cell r="B16">
            <v>45777</v>
          </cell>
        </row>
        <row r="18">
          <cell r="B18">
            <v>45808</v>
          </cell>
        </row>
        <row r="20">
          <cell r="B20">
            <v>45838</v>
          </cell>
        </row>
        <row r="22">
          <cell r="B22">
            <v>45869</v>
          </cell>
        </row>
        <row r="24">
          <cell r="B24">
            <v>45900</v>
          </cell>
        </row>
        <row r="26">
          <cell r="B26">
            <v>45930</v>
          </cell>
        </row>
        <row r="28">
          <cell r="B28">
            <v>45961</v>
          </cell>
        </row>
        <row r="30">
          <cell r="B30">
            <v>45991</v>
          </cell>
        </row>
        <row r="32">
          <cell r="B32">
            <v>46022</v>
          </cell>
        </row>
        <row r="34">
          <cell r="B34">
            <v>46053</v>
          </cell>
        </row>
        <row r="36">
          <cell r="B36">
            <v>46081</v>
          </cell>
        </row>
        <row r="38">
          <cell r="B38">
            <v>46112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45688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45747</v>
      </c>
      <c r="H5" s="10"/>
      <c r="I5" s="13"/>
      <c r="K5" s="69">
        <f>Vatinterface!B9</f>
        <v>45777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45838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46053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45688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45838</v>
      </c>
      <c r="H5" s="10"/>
      <c r="I5" s="13"/>
      <c r="K5" s="69">
        <f>Vatinterface!B9</f>
        <v>45777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45838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46053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45688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45930</v>
      </c>
      <c r="H5" s="10"/>
      <c r="I5" s="13"/>
      <c r="K5" s="69">
        <f>Vatinterface!B9</f>
        <v>45777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45838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46053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45688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46022</v>
      </c>
      <c r="H5" s="10"/>
      <c r="I5" s="13"/>
      <c r="K5" s="69">
        <f>Vatinterface!B9</f>
        <v>45777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45838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46053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45688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46053</v>
      </c>
      <c r="H5" s="10"/>
      <c r="I5" s="13"/>
      <c r="K5" s="69">
        <f>Vatinterface!B9</f>
        <v>45777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45838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46053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45626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IF([2]Jan!$G$4&gt;0,[2]Jan!$G$4,0)</f>
        <v>0</v>
      </c>
      <c r="N4" s="57"/>
    </row>
    <row r="5" spans="1:14" x14ac:dyDescent="0.15">
      <c r="A5" s="56"/>
      <c r="B5" s="62">
        <f>[1]Admin!$B$8</f>
        <v>45657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IF([2]Jan!$G$4&gt;0,[2]Jan!$G$4,0)</f>
        <v>0</v>
      </c>
      <c r="N5" s="57"/>
    </row>
    <row r="6" spans="1:14" x14ac:dyDescent="0.15">
      <c r="A6" s="56"/>
      <c r="B6" s="62">
        <f>[1]Admin!$B$10</f>
        <v>45688</v>
      </c>
      <c r="C6" s="62">
        <f t="shared" si="0"/>
        <v>45808</v>
      </c>
      <c r="D6" s="104">
        <f>[2]Jan!$H$1</f>
        <v>0</v>
      </c>
      <c r="E6" s="105">
        <f>SUM(D4:D6)</f>
        <v>0</v>
      </c>
      <c r="F6" s="105">
        <f>[2]Jan!$G$1</f>
        <v>0</v>
      </c>
      <c r="G6" s="105">
        <f>SUM(F4:F6)</f>
        <v>0</v>
      </c>
      <c r="H6" s="105">
        <f>[3]Jan!$H$1</f>
        <v>0</v>
      </c>
      <c r="I6" s="105">
        <f t="shared" ref="I6:I19" si="1">SUM(H4:H6)</f>
        <v>0</v>
      </c>
      <c r="J6" s="105">
        <f>[3]Jan!$G$1</f>
        <v>0</v>
      </c>
      <c r="K6" s="105">
        <f t="shared" ref="K6:K19" si="2">SUM(J4:J6)</f>
        <v>0</v>
      </c>
      <c r="L6" s="115"/>
      <c r="M6" s="116">
        <f>IF([2]Jan!$G$4&gt;0,[2]Jan!$G$4,0)</f>
        <v>0</v>
      </c>
      <c r="N6" s="57"/>
    </row>
    <row r="7" spans="1:14" x14ac:dyDescent="0.15">
      <c r="A7" s="56"/>
      <c r="B7" s="62">
        <f>[1]Admin!$B$12</f>
        <v>45716</v>
      </c>
      <c r="C7" s="62">
        <f t="shared" si="0"/>
        <v>45838</v>
      </c>
      <c r="D7" s="104">
        <f>[2]Feb!$H$1</f>
        <v>0</v>
      </c>
      <c r="E7" s="105">
        <f t="shared" ref="E7:G19" si="3">SUM(D5:D7)</f>
        <v>0</v>
      </c>
      <c r="F7" s="105">
        <f>[2]Feb!$G$1</f>
        <v>0</v>
      </c>
      <c r="G7" s="105">
        <f t="shared" si="3"/>
        <v>0</v>
      </c>
      <c r="H7" s="105">
        <f>[3]Feb!$H$1</f>
        <v>0</v>
      </c>
      <c r="I7" s="105">
        <f t="shared" si="1"/>
        <v>0</v>
      </c>
      <c r="J7" s="105">
        <f>[3]Feb!$G$1</f>
        <v>0</v>
      </c>
      <c r="K7" s="105">
        <f t="shared" si="2"/>
        <v>0</v>
      </c>
      <c r="L7" s="115"/>
      <c r="M7" s="116">
        <f>IF([2]Feb!$G$4&gt;0,[2]Feb!$G$4,0)</f>
        <v>0</v>
      </c>
      <c r="N7" s="57"/>
    </row>
    <row r="8" spans="1:14" x14ac:dyDescent="0.15">
      <c r="A8" s="56"/>
      <c r="B8" s="62">
        <f>[1]Admin!$B$14</f>
        <v>45747</v>
      </c>
      <c r="C8" s="62">
        <f t="shared" si="0"/>
        <v>45869</v>
      </c>
      <c r="D8" s="104">
        <f>[2]Mar!$H$1</f>
        <v>0</v>
      </c>
      <c r="E8" s="105">
        <f t="shared" si="3"/>
        <v>0</v>
      </c>
      <c r="F8" s="105">
        <f>[2]Mar!$G$1</f>
        <v>0</v>
      </c>
      <c r="G8" s="105">
        <f t="shared" si="3"/>
        <v>0</v>
      </c>
      <c r="H8" s="105">
        <f>[3]Mar!$H$1</f>
        <v>0</v>
      </c>
      <c r="I8" s="105">
        <f t="shared" si="1"/>
        <v>0</v>
      </c>
      <c r="J8" s="105">
        <f>[3]Mar!$G$1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45777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IF([2]Feb!$G$4&gt;0,[2]Feb!$G$4,0)</f>
        <v>0</v>
      </c>
      <c r="N9" s="57"/>
    </row>
    <row r="10" spans="1:14" x14ac:dyDescent="0.15">
      <c r="A10" s="56"/>
      <c r="B10" s="62">
        <f>[1]Admin!$B$18</f>
        <v>45808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45838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45869</v>
      </c>
      <c r="C12" s="62">
        <f t="shared" si="0"/>
        <v>45991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45900</v>
      </c>
      <c r="C13" s="62">
        <f t="shared" si="0"/>
        <v>46022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45930</v>
      </c>
      <c r="C14" s="62">
        <f t="shared" si="0"/>
        <v>46053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45961</v>
      </c>
      <c r="C15" s="62">
        <f t="shared" si="0"/>
        <v>46081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45991</v>
      </c>
      <c r="C16" s="62">
        <f t="shared" si="0"/>
        <v>46112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46022</v>
      </c>
      <c r="C17" s="62">
        <f t="shared" si="0"/>
        <v>46142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46053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46081</v>
      </c>
      <c r="C19" s="63">
        <f>[1]Admin!$B$38</f>
        <v>46112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