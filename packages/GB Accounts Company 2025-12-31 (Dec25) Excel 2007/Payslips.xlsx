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an" sheetId="12" r:id="rId2"/>
    <sheet name="Feb" sheetId="11" r:id="rId3"/>
    <sheet name="Mar" sheetId="10" r:id="rId4"/>
    <sheet name="Apr" sheetId="9" r:id="rId5"/>
    <sheet name="May" sheetId="8" r:id="rId6"/>
    <sheet name="Jun" sheetId="17" r:id="rId7"/>
    <sheet name="Jul" sheetId="16" r:id="rId8"/>
    <sheet name="Aug" sheetId="15" r:id="rId9"/>
    <sheet name="Sep" sheetId="14" r:id="rId10"/>
    <sheet name="Oct" sheetId="13" r:id="rId11"/>
    <sheet name="Nov" sheetId="19" r:id="rId12"/>
    <sheet name="Dec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<sst xmlns="http://schemas.openxmlformats.org/spreadsheetml/2006/main" count="1383" uniqueCount="138">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</sst>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DATE(2025,1,1)</f>
        <v>45658</v>
      </c>
      <c r="L49" s="203" t="s">
        <v>76</v>
      </c>
      <c r="M49" s="205">
        <f>DATE(2025,1,31)</f>
        <v>45688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Jan!M39+1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DATE(2025,2,1)</f>
        <v>45689</v>
      </c>
      <c r="L49" s="203" t="s">
        <v>76</v>
      </c>
      <c r="M49" s="205">
        <f>DATE(2025,2,28)</f>
        <v>45716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Feb!M39+1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DATE(2025,3,1)</f>
        <v>45717</v>
      </c>
      <c r="L59" s="203" t="s">
        <v>76</v>
      </c>
      <c r="M59" s="205">
        <f>DATE(2025,3,31)</f>
        <v>45747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89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92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92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92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5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DATE(2025,4,1)</f>
        <v>45748</v>
      </c>
      <c r="L49" s="203" t="s">
        <v>76</v>
      </c>
      <c r="M49" s="205">
        <f>DATE(2025,4,30)</f>
        <v>45777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IF(T$9="Y",Apr!H41,0)</f>
        <v>0</v>
      </c>
      <c r="I12" s="92">
        <f>IF(T$9="Y",Apr!I41,0)</f>
        <v>0</v>
      </c>
      <c r="J12" s="92">
        <f>IF(T$9="Y",Apr!J41,0)</f>
        <v>0</v>
      </c>
      <c r="K12" s="92">
        <f>IF(T$9="Y",Apr!K41,I12*J12)</f>
        <v>0</v>
      </c>
      <c r="L12" s="111">
        <f>IF(T$9="Y",Apr!L41,0)</f>
        <v>0</v>
      </c>
      <c r="M12" s="111" t="str">
        <f>IF(E12=" "," ",IF(T$9="Y",Apr!M41,IF((H12+K12+L12)&gt;0,H12+K12+L12,"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IF(T$9="Y",Apr!H41,0)</f>
        <v>0</v>
      </c>
      <c r="I13" s="92">
        <f>IF(T$9="Y",Apr!I41,0)</f>
        <v>0</v>
      </c>
      <c r="J13" s="92">
        <f>IF(T$9="Y",Apr!J41,0)</f>
        <v>0</v>
      </c>
      <c r="K13" s="92">
        <f>IF(T$9="Y",Apr!K41,I13*J13)</f>
        <v>0</v>
      </c>
      <c r="L13" s="111">
        <f>IF(T$9="Y",Apr!L41,0)</f>
        <v>0</v>
      </c>
      <c r="M13" s="111" t="str">
        <f>IF(E13=" "," ",IF(T$9="Y",Apr!M41,IF((H13+K13+L13)&gt;0,H13+K13+L13,"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IF(T$9="Y",Apr!H41,0)</f>
        <v>0</v>
      </c>
      <c r="I14" s="92">
        <f>IF(T$9="Y",Apr!I41,0)</f>
        <v>0</v>
      </c>
      <c r="J14" s="92">
        <f>IF(T$9="Y",Apr!J41,0)</f>
        <v>0</v>
      </c>
      <c r="K14" s="92">
        <f>IF(T$9="Y",Apr!K41,I14*J14)</f>
        <v>0</v>
      </c>
      <c r="L14" s="111">
        <f>IF(T$9="Y",Apr!L41,0)</f>
        <v>0</v>
      </c>
      <c r="M14" s="111" t="str">
        <f>IF(E14=" "," ",IF(T$9="Y",Apr!M41,IF((H14+K14+L14)&gt;0,H14+K14+L14,"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IF(T$9="Y",Apr!H41,0)</f>
        <v>0</v>
      </c>
      <c r="I15" s="245">
        <f>IF(T$9="Y",Apr!I41,0)</f>
        <v>0</v>
      </c>
      <c r="J15" s="245">
        <f>IF(T$9="Y",Apr!J41,0)</f>
        <v>0</v>
      </c>
      <c r="K15" s="245">
        <f>IF(T$9="Y",Apr!K41,I15*J15)</f>
        <v>0</v>
      </c>
      <c r="L15" s="246">
        <f>IF(T$9="Y",Apr!L41,0)</f>
        <v>0</v>
      </c>
      <c r="M15" s="246" t="str">
        <f>IF(E15=" "," ",IF(T$9="Y",Apr!M41,IF((H15+K15+L15)&gt;0,H15+K15+L15,"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DATE(2025,5,1)</f>
        <v>45778</v>
      </c>
      <c r="L49" s="203" t="s">
        <v>76</v>
      </c>
      <c r="M49" s="205">
        <f>DATE(2025,5,31)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89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92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92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92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IF(T$49="Y",Apr!H55,0)</f>
        <v>0</v>
      </c>
      <c r="I55" s="92">
        <f>IF(T$49="Y",Apr!I55,0)</f>
        <v>0</v>
      </c>
      <c r="J55" s="92">
        <f>IF(T$49="Y",Apr!J55,0)</f>
        <v>0</v>
      </c>
      <c r="K55" s="92">
        <f>IF(T$49="Y",Apr!K55,I55*J55)</f>
        <v>0</v>
      </c>
      <c r="L55" s="92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May!M39+1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DATE(2025,6,1)</f>
        <v>45809</v>
      </c>
      <c r="L59" s="203" t="s">
        <v>76</v>
      </c>
      <c r="M59" s="205">
        <f>DATE(2025,6,30)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99" t="str">
        <f>IF(E11=" "," ",IF(T$9="Y",Jun!M51,IF((H11+K11+L11)&gt;0,H11+K11+L11,"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00" t="str">
        <f>IF(E12=" "," ",IF(T$9="Y",Jun!M52,IF((H12+K12+L12)&gt;0,H12+K12+L12,"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00" t="str">
        <f>IF(E13=" "," ",IF(T$9="Y",Jun!M53,IF((H13+K13+L13)&gt;0,H13+K13+L13,"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00" t="str">
        <f>IF(E14=" "," ",IF(T$9="Y",Jun!M54,IF((H14+K14+L14)&gt;0,H14+K14+L14,"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247" t="str">
        <f>IF(E15=" "," ",IF(T$9="Y",Jun!M55,IF((H15+K15+L15)&gt;0,H15+K15+L15,"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DATE(2025,7,1)</f>
        <v>45839</v>
      </c>
      <c r="L49" s="203" t="s">
        <v>76</v>
      </c>
      <c r="M49" s="205">
        <f>DATE(2025,7,31)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DATE(2025,8,1)</f>
        <v>45870</v>
      </c>
      <c r="L49" s="203" t="s">
        <v>76</v>
      </c>
      <c r="M49" s="205">
        <f>DATE(2025,8,31)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Aug!M39+1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DATE(2025,9,1)</f>
        <v>45901</v>
      </c>
      <c r="L59" s="203" t="s">
        <v>76</v>
      </c>
      <c r="M59" s="205">
        <f>DATE(2025,9,30)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Sep!M49+1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110" t="str">
        <f>IF(E11=" "," ",IF(T$9="Y",Sep!M51,IF((H11+K11+L11)&gt;0,H11+K11+L11,"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11" t="str">
        <f>IF(E12=" "," ",IF(T$9="Y",Sep!M52,IF((H12+K12+L12)&gt;0,H12+K12+L12,"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11" t="str">
        <f>IF(E13=" "," ",IF(T$9="Y",Sep!M53,IF((H13+K13+L13)&gt;0,H13+K13+L13,"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11" t="str">
        <f>IF(E14=" "," ",IF(T$9="Y",Sep!M54,IF((H14+K14+L14)&gt;0,H14+K14+L14,"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111" t="str">
        <f>IF(E15=" "," ",IF(T$9="Y",Sep!M55,IF((H15+K15+L15)&gt;0,H15+K15+L15,"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DATE(2025,10,1)</f>
        <v>45931</v>
      </c>
      <c r="L49" s="203" t="s">
        <v>76</v>
      </c>
      <c r="M49" s="205">
        <f>DATE(2025,10,31)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Oct!M39+1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IF(T$19="Y",Oct!L45,0)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DATE(2025,11,1)</f>
        <v>45962</v>
      </c>
      <c r="L49" s="203" t="s">
        <v>76</v>
      </c>
      <c r="M49" s="205">
        <f>DATE(2025,11,30)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Nov!M39+1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DATE(2025,12,1)</f>
        <v>45992</v>
      </c>
      <c r="L69" s="203" t="s">
        <v>76</v>
      </c>
      <c r="M69" s="205">
        <f>DATE(2025,12,31)</f>
        <v>46022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IF(T$69="Y",Nov!H51,0)</f>
        <v>0</v>
      </c>
      <c r="I71" s="89">
        <f>IF(T$69="Y",Nov!I51,0)</f>
        <v>0</v>
      </c>
      <c r="J71" s="89">
        <f>IF(T$69="Y",Nov!J51,0)</f>
        <v>0</v>
      </c>
      <c r="K71" s="89">
        <f>IF(T$69="Y",Nov!K51,I71*J71)</f>
        <v>0</v>
      </c>
      <c r="L71" s="110">
        <f>IF(T$69="Y",Nov!L51,0)</f>
        <v>0</v>
      </c>
      <c r="M71" s="99" t="str">
        <f>IF(E71=" "," ",IF(T$69="Y",Nov!M51,IF((H71+K71+L71)&gt;0,H71+K71+L71,"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IF(Employee!H$35=E$69,Employee!D$34+SUM(M71)+Nov!V51,SUM(M71)+Nov!V51)</f>
        <v>0</v>
      </c>
      <c r="W71" s="49">
        <f>IF(Employee!H$35=E$69,Employee!D$35+SUM(N71)+Nov!W51,SUM(N71)+Nov!W51)</f>
        <v>0</v>
      </c>
      <c r="X71" s="49">
        <f>IF(O71=" ",Nov!X51,O71+Nov!X51)</f>
        <v>0</v>
      </c>
      <c r="Y71" s="49">
        <f>IF(P71=" ",Nov!Y51,P71+Nov!Y51)</f>
        <v>0</v>
      </c>
      <c r="Z71" s="49">
        <f>IF(Q71=" ",Nov!Z51,Q71+Nov!Z51)</f>
        <v>0</v>
      </c>
      <c r="AA71" s="49">
        <f>IF(R71=" ",Nov!AA51,R71+Nov!AA51)</f>
        <v>0</v>
      </c>
      <c r="AC71" s="49">
        <f>IF(T71=" ",Nov!AC51,T71+Nov!AC51)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IF(T$69="Y",Nov!H52,0)</f>
        <v>0</v>
      </c>
      <c r="I72" s="92">
        <f>IF(T$69="Y",Nov!I52,0)</f>
        <v>0</v>
      </c>
      <c r="J72" s="92">
        <f>IF(T$69="Y",Nov!J52,0)</f>
        <v>0</v>
      </c>
      <c r="K72" s="92">
        <f>IF(T$69="Y",Nov!K52,I72*J72)</f>
        <v>0</v>
      </c>
      <c r="L72" s="111">
        <f>IF(T$69="Y",Nov!L52,0)</f>
        <v>0</v>
      </c>
      <c r="M72" s="100" t="str">
        <f>IF(E72=" "," ",IF(T$69="Y",Nov!M52,IF((H72+K72+L72)&gt;0,H72+K72+L72,"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IF(Employee!H$61=E$69,Employee!D$60+SUM(M72)+Nov!V52,SUM(M72)+Nov!V52)</f>
        <v>0</v>
      </c>
      <c r="W72" s="49">
        <f>IF(Employee!H$61=E$69,Employee!D$61+SUM(N72)+Nov!W52,SUM(N72)+Nov!W52)</f>
        <v>0</v>
      </c>
      <c r="X72" s="49">
        <f>IF(O72=" ",Nov!X52,O72+Nov!X52)</f>
        <v>0</v>
      </c>
      <c r="Y72" s="49">
        <f>IF(P72=" ",Nov!Y52,P72+Nov!Y52)</f>
        <v>0</v>
      </c>
      <c r="Z72" s="49">
        <f>IF(Q72=" ",Nov!Z52,Q72+Nov!Z52)</f>
        <v>0</v>
      </c>
      <c r="AA72" s="49">
        <f>IF(R72=" ",Nov!AA52,R72+Nov!AA52)</f>
        <v>0</v>
      </c>
      <c r="AC72" s="49">
        <f>IF(T72=" ",Nov!AC52,T72+Nov!AC52)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IF(T$69="Y",Nov!H53,0)</f>
        <v>0</v>
      </c>
      <c r="I73" s="92">
        <f>IF(T$69="Y",Nov!I53,0)</f>
        <v>0</v>
      </c>
      <c r="J73" s="92">
        <f>IF(T$69="Y",Nov!J53,0)</f>
        <v>0</v>
      </c>
      <c r="K73" s="92">
        <f>IF(T$69="Y",Nov!K53,I73*J73)</f>
        <v>0</v>
      </c>
      <c r="L73" s="111">
        <f>IF(T$69="Y",Nov!L53,0)</f>
        <v>0</v>
      </c>
      <c r="M73" s="100" t="str">
        <f>IF(E73=" "," ",IF(T$69="Y",Nov!M53,IF((H73+K73+L73)&gt;0,H73+K73+L73,"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IF(Employee!H$87=E$69,Employee!D$86+SUM(M73)+Nov!V53,SUM(M73)+Nov!V53)</f>
        <v>0</v>
      </c>
      <c r="W73" s="49">
        <f>IF(Employee!H$87=E$69,Employee!D$87+SUM(N73)+Nov!W53,SUM(N73)+Nov!W53)</f>
        <v>0</v>
      </c>
      <c r="X73" s="49">
        <f>IF(O73=" ",Nov!X53,O73+Nov!X53)</f>
        <v>0</v>
      </c>
      <c r="Y73" s="49">
        <f>IF(P73=" ",Nov!Y53,P73+Nov!Y53)</f>
        <v>0</v>
      </c>
      <c r="Z73" s="49">
        <f>IF(Q73=" ",Nov!Z53,Q73+Nov!Z53)</f>
        <v>0</v>
      </c>
      <c r="AA73" s="49">
        <f>IF(R73=" ",Nov!AA53,R73+Nov!AA53)</f>
        <v>0</v>
      </c>
      <c r="AC73" s="49">
        <f>IF(T73=" ",Nov!AC53,T73+Nov!AC53)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IF(T$69="Y",Nov!H54,0)</f>
        <v>0</v>
      </c>
      <c r="I74" s="92">
        <f>IF(T$69="Y",Nov!I54,0)</f>
        <v>0</v>
      </c>
      <c r="J74" s="92">
        <f>IF(T$69="Y",Nov!J54,0)</f>
        <v>0</v>
      </c>
      <c r="K74" s="92">
        <f>IF(T$69="Y",Nov!K54,I74*J74)</f>
        <v>0</v>
      </c>
      <c r="L74" s="111">
        <f>IF(T$69="Y",Nov!L54,0)</f>
        <v>0</v>
      </c>
      <c r="M74" s="100" t="str">
        <f>IF(E74=" "," ",IF(T$69="Y",Nov!M54,IF((H74+K74+L74)&gt;0,H74+K74+L74,"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IF(Employee!H$113=E$69,Employee!D$112+SUM(M74)+Nov!V54,SUM(M74)+Nov!V54)</f>
        <v>0</v>
      </c>
      <c r="W74" s="49">
        <f>IF(Employee!H$113=E$69,Employee!D$113+SUM(N74)+Nov!W54,SUM(N74)+Nov!W54)</f>
        <v>0</v>
      </c>
      <c r="X74" s="49">
        <f>IF(O74=" ",Nov!X54,O74+Nov!X54)</f>
        <v>0</v>
      </c>
      <c r="Y74" s="49">
        <f>IF(P74=" ",Nov!Y54,P74+Nov!Y54)</f>
        <v>0</v>
      </c>
      <c r="Z74" s="49">
        <f>IF(Q74=" ",Nov!Z54,Q74+Nov!Z54)</f>
        <v>0</v>
      </c>
      <c r="AA74" s="49">
        <f>IF(R74=" ",Nov!AA54,R74+Nov!AA54)</f>
        <v>0</v>
      </c>
      <c r="AC74" s="49">
        <f>IF(T74=" ",Nov!AC54,T74+Nov!AC54)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IF(T$69="Y",Nov!H55,0)</f>
        <v>0</v>
      </c>
      <c r="I75" s="245">
        <f>IF(T$69="Y",Nov!I55,0)</f>
        <v>0</v>
      </c>
      <c r="J75" s="245">
        <f>IF(T$69="Y",Nov!J55,0)</f>
        <v>0</v>
      </c>
      <c r="K75" s="245">
        <f>IF(T$69="Y",Nov!K55,I75*J75)</f>
        <v>0</v>
      </c>
      <c r="L75" s="246">
        <f>IF(T$69="Y",Nov!L55,0)</f>
        <v>0</v>
      </c>
      <c r="M75" s="100" t="str">
        <f>IF(E75=" "," ",IF(T$69="Y",Nov!M55,IF((H75+K75+L75)&gt;0,H75+K75+L75,"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IF(Employee!H$139=E$69,Employee!D$138+SUM(M75)+Nov!V55,SUM(M75)+Nov!V55)</f>
        <v>0</v>
      </c>
      <c r="W75" s="49">
        <f>IF(Employee!H$139=E$69,Employee!D$139+SUM(N75)+Nov!W55,SUM(N75)+Nov!W55)</f>
        <v>0</v>
      </c>
      <c r="X75" s="49">
        <f>IF(O75=" ",Nov!X55,O75+Nov!X55)</f>
        <v>0</v>
      </c>
      <c r="Y75" s="49">
        <f>IF(P75=" ",Nov!Y55,P75+Nov!Y55)</f>
        <v>0</v>
      </c>
      <c r="Z75" s="49">
        <f>IF(Q75=" ",Nov!Z55,Q75+Nov!Z55)</f>
        <v>0</v>
      </c>
      <c r="AA75" s="49">
        <f>IF(R75=" ",Nov!AA55,R75+Nov!AA55)</f>
        <v>0</v>
      </c>
      <c r="AC75" s="49">
        <f>IF(T75=" ",Nov!AC55,T75+Nov!AC55)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AD80+Nov!AD65</f>
        <v>0</v>
      </c>
      <c r="AE85" s="158">
        <f>AE80+Nov!AE65</f>
        <v>0</v>
      </c>
      <c r="AF85" s="158">
        <f>AF80+Nov!AF65</f>
        <v>0</v>
      </c>
      <c r="AG85" s="158">
        <f>AG80+Nov!AG65</f>
        <v>0</v>
      </c>
    </row>
    <row r="86" spans="6:33" ht="14" thickTop="1" x14ac:dyDescent="0.15"/>
    <row r="87" spans="6:33" x14ac:dyDescent="0.15">
      <c r="AD87" s="162"/>
      <c r="AE87" s="158">
        <f>AE82+Nov!AE67</f>
        <v>0</v>
      </c>
      <c r="AF87" s="158">
        <f>AF82+Nov!AF67</f>
        <v>0</v>
      </c>
      <c r="AG87" s="158">
        <f>AG82+Nov!AG67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Jan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DATE(2025,4,30)</f>
        <v>45777</v>
      </c>
      <c r="C4" s="229">
        <f>DATE(2025,5,19)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DATE(2025,5,31)</f>
        <v>45808</v>
      </c>
      <c r="C5" s="229">
        <f>DATE(2025,6,19)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DATE(2025,6,30)</f>
        <v>45838</v>
      </c>
      <c r="C6" s="229">
        <f>DATE(2025,7,19)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DATE(2025,7,31)</f>
        <v>45869</v>
      </c>
      <c r="C7" s="229">
        <f>DATE(2025,8,19)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DATE(2025,8,31)</f>
        <v>45900</v>
      </c>
      <c r="C8" s="229">
        <f>DATE(2025,9,19)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DATE(2025,9,30)</f>
        <v>45930</v>
      </c>
      <c r="C9" s="229">
        <f>DATE(2025,10,19)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DATE(2025,10,31)</f>
        <v>45961</v>
      </c>
      <c r="C10" s="229">
        <f>DATE(2025,11,19)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DATE(2025,11,30)</f>
        <v>45991</v>
      </c>
      <c r="C11" s="229">
        <f>DATE(2025,12,19)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DATE(2025,12,31)</f>
        <v>46022</v>
      </c>
      <c r="C12" s="229">
        <f>DATE(2026,1,19)</f>
        <v>46041</v>
      </c>
      <c r="D12" s="227">
        <f>Dec!T1+Dec!O1</f>
        <v>0</v>
      </c>
      <c r="E12" s="228">
        <f>Dec!N1</f>
        <v>0</v>
      </c>
      <c r="F12" s="228">
        <f>Dec!AD80+Dec!AE80+Dec!AF80+Dec!AG80</f>
        <v>0</v>
      </c>
      <c r="G12" s="228">
        <f>Dec!AE82+Dec!AF82+Dec!AG82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DATE(2026,1,31)</f>
        <v>46053</v>
      </c>
      <c r="C13" s="229">
        <f>DATE(2026,2,19)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DATE(2026,2,28)</f>
        <v>46081</v>
      </c>
      <c r="C14" s="229">
        <f>DATE(2026,3,19)</f>
        <v>46100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DATE(2026,3,31)</f>
        <v>46112</v>
      </c>
      <c r="C15" s="229">
        <f>DATE(2026,4,19)</f>
        <v>46131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TEXT(DATE(YEAR(B$2),MONTH(B$2)+(D2-1)+9,1),"Mmm")</f>
        <v>Jan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TEXT(DATE(YEAR(B$2),MONTH(B$2)+(D3-1)+9,1),"Mmm")</f>
        <v>Jan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Jan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Jan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Jan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Jan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Jan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Jan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Jan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Jan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Jan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Jan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Jan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Jan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Jan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Jan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Jan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Jan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Jan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Jan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Jan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Jan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Jan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Jan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Jan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Jan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Feb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Feb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Feb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Feb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Feb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Feb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Feb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Feb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Feb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Feb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Feb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Feb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Feb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Feb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Feb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Feb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Feb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Feb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Feb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Feb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Feb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Feb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Feb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Feb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Feb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Feb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Feb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Feb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Mar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Mar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Mar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Mar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Mar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Mar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Mar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Mar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Mar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Mar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Mar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TEXT(DATE(YEAR(B$2),MONTH(B$2)+(D67-1)+9,1),"Mmm")</f>
        <v>Mar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Mar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Mar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Mar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Mar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Mar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Mar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Mar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Mar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Mar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Mar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Mar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Mar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Mar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Mar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Mar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Mar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Mar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Mar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Mar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Mar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Mar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Mar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Mar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Apr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Apr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Apr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Apr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Apr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Apr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Apr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Apr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Apr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Apr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Apr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Apr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Apr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Apr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Apr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Apr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Apr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Apr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Apr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Apr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Apr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Apr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Apr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Apr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Apr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Apr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Apr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Apr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May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May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May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May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May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May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May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May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May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May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May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May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TEXT(DATE(YEAR(B$2),MONTH(B$2)+(D131-1)+9,1),"Mmm")</f>
        <v>May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May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May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May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May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May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May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May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May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May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May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May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May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May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May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May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Jun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Jun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Jun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Jun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Jun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Jun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Jun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Jun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Jun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Jun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Jun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Jun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Jun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Jun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Jun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Jun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Jun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Jun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Jun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Jun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Jun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Jun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Jun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Jun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Jun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Jun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Jun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Jun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Jun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Jun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Jun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Jun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Jun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Jun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Jun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Jul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Jul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Jul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Jul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Jul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Jul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Jul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Jul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Jul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Jul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Jul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Jul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Jul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TEXT(DATE(YEAR(B$2),MONTH(B$2)+(D195-1)+9,1),"Mmm")</f>
        <v>Jul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Jul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Jul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Jul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Jul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Jul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Jul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Jul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Jul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Jul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Jul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Jul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Jul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Jul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Jul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Aug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Aug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Aug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Aug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Aug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Aug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Aug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Aug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Aug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Aug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Aug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Aug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Aug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Aug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Aug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Aug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Aug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Aug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Aug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Aug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Aug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Aug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Aug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Aug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Aug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Aug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Aug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Aug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Sep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Sep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Sep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Sep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Sep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Sep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Sep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Sep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Sep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Sep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Sep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Sep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Sep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Sep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Sep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Sep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Sep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Sep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Sep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Sep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Sep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TEXT(DATE(YEAR(B$2),MONTH(B$2)+(D259-1)+9,1),"Mmm")</f>
        <v>Sep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Sep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Sep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Sep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Sep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Sep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Sep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Sep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Sep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Sep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Sep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Sep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Sep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Sep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Oct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Oct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Oct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Oct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Oct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Oct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Oct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Oct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Oct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Oct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Oct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Oct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Oct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Oct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Oct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Oct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Oct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Oct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Oct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Oct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Oct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Oct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Oct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Oct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Oct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Oct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Oct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Oct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Nov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Nov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Nov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Nov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Nov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Nov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Nov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Nov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Nov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Nov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Nov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Nov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Nov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Nov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Nov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Nov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Nov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Nov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Nov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Nov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Nov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Nov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TEXT(DATE(YEAR(B$2),MONTH(B$2)+(D323-1)+9,1),"Mmm")</f>
        <v>Nov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Nov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Nov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Nov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Nov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Nov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Dec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Dec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Dec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Dec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Dec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Dec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Dec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Dec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Dec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Dec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Dec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Dec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Dec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Dec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Dec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Dec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Dec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Dec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Dec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Dec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Dec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Dec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Dec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Dec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Dec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Dec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Dec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Dec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Dec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Dec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Dec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Dec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Dec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Dec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Dec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Dec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Dec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Dec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Dec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Dec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Dec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Dec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Dec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Dec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Dec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Dec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Dec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Dec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Dec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Dec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Dec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Dec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Dec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