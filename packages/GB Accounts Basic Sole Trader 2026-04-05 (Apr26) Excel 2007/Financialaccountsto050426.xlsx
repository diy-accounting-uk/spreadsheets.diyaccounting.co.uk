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E12" i="8"/>
  <c r="C10" i="8"/>
  <c r="D10"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<sst xmlns="http://schemas.openxmlformats.org/spreadsheetml/2006/main" count="1080" uniqueCount="329">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</sst>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8</v>
      </c>
      <c r="B35" s="210"/>
      <c r="C35" s="211" t="s">
        <v>140</v>
      </c>
      <c r="D35" s="211"/>
      <c r="E35" s="211"/>
      <c r="F35" s="211"/>
      <c r="G35" s="211"/>
      <c r="H35" s="211"/>
      <c r="I35" s="211"/>
      <c r="J35" s="211"/>
      <c r="K35" s="211"/>
      <c r="L35" s="220">
        <v>9</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10</v>
      </c>
      <c r="B44" s="210"/>
      <c r="C44" s="211" t="s">
        <v>148</v>
      </c>
      <c r="D44" s="211"/>
      <c r="E44" s="211"/>
      <c r="F44" s="211"/>
      <c r="G44" s="211"/>
      <c r="H44" s="211"/>
      <c r="I44" s="211"/>
      <c r="J44" s="211"/>
      <c r="K44" s="211"/>
      <c r="L44" s="220">
        <v>15</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Acc'!C4&lt;30000)," ",'Profit &amp; Loss Acc'!C6+'Profit &amp; Loss Acc'!C7)</f>
        <v xml:space="preserve"> </v>
      </c>
      <c r="E46" s="394"/>
      <c r="F46" s="395"/>
      <c r="G46" s="235" t="s">
        <v>144</v>
      </c>
      <c r="H46" s="236">
        <v>0</v>
      </c>
      <c r="I46" s="236">
        <v>0</v>
      </c>
      <c r="J46" s="210"/>
      <c r="K46" s="210"/>
      <c r="L46" s="210"/>
      <c r="M46" s="210"/>
      <c r="N46" s="234" t="s">
        <v>50</v>
      </c>
      <c r="O46" s="393" t="str">
        <f>IF(('Profit &amp; Loss Acc'!C4&lt;30000),"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11</v>
      </c>
      <c r="B48" s="210"/>
      <c r="C48" s="211" t="s">
        <v>150</v>
      </c>
      <c r="D48" s="211"/>
      <c r="E48" s="211"/>
      <c r="F48" s="211"/>
      <c r="G48" s="211"/>
      <c r="H48" s="211"/>
      <c r="I48" s="211"/>
      <c r="J48" s="211"/>
      <c r="K48" s="211"/>
      <c r="L48" s="220">
        <v>16</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Acc'!C4&lt;30000)," ",'Profit &amp; Loss Acc'!C15+'Profit &amp; Loss Acc'!C16)</f>
        <v xml:space="preserve"> </v>
      </c>
      <c r="E51" s="394"/>
      <c r="F51" s="395"/>
      <c r="G51" s="235" t="s">
        <v>144</v>
      </c>
      <c r="H51" s="236">
        <v>0</v>
      </c>
      <c r="I51" s="236">
        <v>0</v>
      </c>
      <c r="J51" s="210"/>
      <c r="K51" s="210"/>
      <c r="L51" s="210"/>
      <c r="M51" s="210"/>
      <c r="N51" s="234" t="s">
        <v>50</v>
      </c>
      <c r="O51" s="393" t="str">
        <f>IF(('Profit &amp; Loss Acc'!C4&lt;30000),"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12</v>
      </c>
      <c r="B53" s="210"/>
      <c r="C53" s="211" t="s">
        <v>153</v>
      </c>
      <c r="D53" s="211"/>
      <c r="E53" s="211"/>
      <c r="F53" s="211"/>
      <c r="G53" s="211"/>
      <c r="H53" s="211"/>
      <c r="I53" s="211"/>
      <c r="J53" s="211"/>
      <c r="K53" s="211"/>
      <c r="L53" s="220">
        <v>17</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Acc'!C4&lt;30000)," ",'Profit &amp; Loss Acc'!C11)</f>
        <v xml:space="preserve"> </v>
      </c>
      <c r="E55" s="394"/>
      <c r="F55" s="395"/>
      <c r="G55" s="235" t="s">
        <v>144</v>
      </c>
      <c r="H55" s="236">
        <v>0</v>
      </c>
      <c r="I55" s="236">
        <v>0</v>
      </c>
      <c r="J55" s="210"/>
      <c r="K55" s="210"/>
      <c r="L55" s="210"/>
      <c r="M55" s="210"/>
      <c r="N55" s="234" t="s">
        <v>50</v>
      </c>
      <c r="O55" s="393" t="str">
        <f>IF(('Profit &amp; Loss Acc'!C4&lt;30000),"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13</v>
      </c>
      <c r="B57" s="210"/>
      <c r="C57" s="211" t="s">
        <v>155</v>
      </c>
      <c r="D57" s="211"/>
      <c r="E57" s="211"/>
      <c r="F57" s="211"/>
      <c r="G57" s="211"/>
      <c r="H57" s="211"/>
      <c r="I57" s="211"/>
      <c r="J57" s="211"/>
      <c r="K57" s="211"/>
      <c r="L57" s="220">
        <v>18</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Acc'!C4&lt;30000)," ",'Profit &amp; Loss Acc'!C12)</f>
        <v xml:space="preserve"> </v>
      </c>
      <c r="E60" s="394"/>
      <c r="F60" s="395"/>
      <c r="G60" s="235" t="s">
        <v>144</v>
      </c>
      <c r="H60" s="236">
        <v>0</v>
      </c>
      <c r="I60" s="236">
        <v>0</v>
      </c>
      <c r="J60" s="210"/>
      <c r="K60" s="210"/>
      <c r="L60" s="210"/>
      <c r="M60" s="210"/>
      <c r="N60" s="234" t="s">
        <v>50</v>
      </c>
      <c r="O60" s="393" t="str">
        <f>IF(('Profit &amp; Loss Acc'!C4&lt;30000),"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14</v>
      </c>
      <c r="B62" s="210"/>
      <c r="C62" s="211" t="s">
        <v>188</v>
      </c>
      <c r="D62" s="211"/>
      <c r="E62" s="211"/>
      <c r="F62" s="211"/>
      <c r="G62" s="211"/>
      <c r="H62" s="211"/>
      <c r="I62" s="211"/>
      <c r="J62" s="211"/>
      <c r="K62" s="211"/>
      <c r="L62" s="220">
        <v>19</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Acc'!C4&lt;30000),"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20</v>
      </c>
      <c r="B68" s="210"/>
      <c r="C68" s="211" t="s">
        <v>160</v>
      </c>
      <c r="D68" s="211"/>
      <c r="E68" s="211"/>
      <c r="F68" s="211"/>
      <c r="G68" s="211"/>
      <c r="H68" s="211"/>
      <c r="I68" s="211"/>
      <c r="J68" s="211"/>
      <c r="K68" s="211"/>
      <c r="L68" s="220">
        <v>21</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22</v>
      </c>
      <c r="B78" s="210"/>
      <c r="C78" s="211" t="s">
        <v>199</v>
      </c>
      <c r="D78" s="211"/>
      <c r="E78" s="211"/>
      <c r="F78" s="211"/>
      <c r="G78" s="211"/>
      <c r="H78" s="211"/>
      <c r="I78" s="211"/>
      <c r="J78" s="211"/>
      <c r="K78" s="211"/>
      <c r="L78" s="220">
        <v>24</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23</v>
      </c>
      <c r="B82" s="210"/>
      <c r="C82" s="211" t="s">
        <v>208</v>
      </c>
      <c r="D82" s="210"/>
      <c r="E82" s="210"/>
      <c r="F82" s="210"/>
      <c r="G82" s="210"/>
      <c r="H82" s="210"/>
      <c r="I82" s="210"/>
      <c r="J82" s="210"/>
      <c r="K82" s="210"/>
      <c r="L82" s="220">
        <v>25</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26</v>
      </c>
      <c r="B91" s="210"/>
      <c r="C91" s="211" t="s">
        <v>196</v>
      </c>
      <c r="D91" s="211"/>
      <c r="E91" s="211"/>
      <c r="F91" s="211"/>
      <c r="G91" s="211"/>
      <c r="H91" s="211"/>
      <c r="I91" s="211"/>
      <c r="J91" s="211"/>
      <c r="K91" s="211"/>
      <c r="L91" s="220">
        <v>28</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27</v>
      </c>
      <c r="B96" s="210"/>
      <c r="C96" s="211" t="s">
        <v>213</v>
      </c>
      <c r="D96" s="211"/>
      <c r="E96" s="211"/>
      <c r="F96" s="211"/>
      <c r="G96" s="211"/>
      <c r="H96" s="211"/>
      <c r="I96" s="211"/>
      <c r="J96" s="211"/>
      <c r="K96" s="211"/>
      <c r="L96" s="220">
        <v>29</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30</v>
      </c>
      <c r="B103" s="210"/>
      <c r="C103" s="211" t="s">
        <v>215</v>
      </c>
      <c r="D103" s="211"/>
      <c r="E103" s="211"/>
      <c r="F103" s="211"/>
      <c r="G103" s="211"/>
      <c r="H103" s="211"/>
      <c r="I103" s="211"/>
      <c r="J103" s="211"/>
      <c r="K103" s="211"/>
      <c r="L103" s="220">
        <v>31</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32</v>
      </c>
      <c r="B111" s="210"/>
      <c r="C111" s="211" t="s">
        <v>178</v>
      </c>
      <c r="D111" s="211"/>
      <c r="E111" s="211"/>
      <c r="F111" s="211"/>
      <c r="G111" s="211"/>
      <c r="H111" s="211"/>
      <c r="I111" s="211"/>
      <c r="J111" s="211"/>
      <c r="K111" s="211"/>
      <c r="L111" s="220">
        <v>35</v>
      </c>
      <c r="M111" s="210"/>
      <c r="N111" s="211" t="s">
        <v>179</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219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33</v>
      </c>
      <c r="B116" s="210"/>
      <c r="C116" s="211" t="s">
        <v>181</v>
      </c>
      <c r="D116" s="211"/>
      <c r="E116" s="211"/>
      <c r="F116" s="211"/>
      <c r="G116" s="211"/>
      <c r="H116" s="211"/>
      <c r="I116" s="211"/>
      <c r="J116" s="211"/>
      <c r="K116" s="211"/>
      <c r="L116" s="220">
        <v>36</v>
      </c>
      <c r="M116" s="210"/>
      <c r="N116" s="211" t="s">
        <v>292</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220</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34</v>
      </c>
      <c r="B120" s="210"/>
      <c r="C120" s="211" t="s">
        <v>184</v>
      </c>
      <c r="D120" s="211"/>
      <c r="E120" s="211"/>
      <c r="F120" s="211"/>
      <c r="G120" s="211"/>
      <c r="H120" s="211"/>
      <c r="I120" s="211"/>
      <c r="J120" s="211"/>
      <c r="K120" s="211"/>
      <c r="L120" s="220">
        <v>37</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Tax'!E11+'Income Tax'!E12</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IF(E5&lt;=0,0,MAX(0,Admin!N$4-MAX(0,E5-Admin!N$5)/2))</f>
        <v>0</v>
      </c>
      <c r="F6" s="48"/>
      <c r="G6" s="51"/>
    </row>
    <row r="7" spans="1:11" x14ac:dyDescent="0.15">
      <c r="A7" s="45"/>
      <c r="B7" s="451" t="s">
        <v>82</v>
      </c>
      <c r="C7" s="451"/>
      <c r="D7" s="452"/>
      <c r="E7" s="166">
        <f>IF((E5&gt;E6),(E5-E6),0)</f>
        <v>0</v>
      </c>
      <c r="F7" s="48"/>
      <c r="G7" s="51"/>
    </row>
    <row r="8" spans="1:11" x14ac:dyDescent="0.15">
      <c r="A8" s="45"/>
      <c r="B8" s="53" t="s">
        <v>83</v>
      </c>
      <c r="C8" s="71">
        <f>Admin!N12</f>
        <v>0</v>
      </c>
      <c r="D8" s="57">
        <f>Admin!N7</f>
        <v>0.2</v>
      </c>
      <c r="E8" s="47">
        <f>IF((E7&gt;0),(IF((E7&lt;C9),E7*D8,C9*D8)),0)</f>
        <v>0</v>
      </c>
      <c r="F8" s="48"/>
      <c r="G8" s="51"/>
      <c r="H8" s="58"/>
    </row>
    <row r="9" spans="1:11" x14ac:dyDescent="0.15">
      <c r="A9" s="45"/>
      <c r="B9" s="53" t="s">
        <v>84</v>
      </c>
      <c r="C9" s="71">
        <f>Admin!M12</f>
        <v>37700</v>
      </c>
      <c r="D9" s="57">
        <f>Admin!N8</f>
        <v>0.4</v>
      </c>
      <c r="E9" s="47">
        <f>IF(E7&gt;C9,(MIN(E7,C10)-C9)*D9,0)</f>
        <v>0</v>
      </c>
      <c r="F9" s="48"/>
      <c r="G9" s="51"/>
    </row>
    <row r="10" spans="1:11" ht="14" thickBot="1" x14ac:dyDescent="0.2">
      <c r="A10" s="45"/>
      <c r="B10" s="53" t="inlineStr">
        <is>
          <t>Income Tax third band</t>
        </is>
      </c>
      <c r="C10" s="71">
        <f>Admin!N14</f>
        <v>125140</v>
      </c>
      <c r="D10" s="57">
        <f>Admin!N9</f>
        <v>0.45</v>
      </c>
      <c r="E10" s="47">
        <f>IF(E7&gt;C10,(E7-C10)*D10,0)</f>
        <v>0</v>
      </c>
      <c r="F10" s="48"/>
      <c r="G10" s="51"/>
    </row>
    <row r="11" spans="1:11" ht="14" thickBot="1" x14ac:dyDescent="0.2">
      <c r="A11" s="45"/>
      <c r="B11" s="59" t="s">
        <v>85</v>
      </c>
      <c r="C11" s="60"/>
      <c r="D11" s="61"/>
      <c r="E11" s="167">
        <f>SUM(E8:E10)</f>
        <v>0</v>
      </c>
      <c r="F11" s="63"/>
      <c r="G11" s="64"/>
    </row>
    <row r="12" spans="1:11" x14ac:dyDescent="0.15">
      <c r="A12" s="45"/>
      <c r="B12" s="53" t="s">
        <v>17</v>
      </c>
      <c r="C12" s="53"/>
      <c r="D12" s="62"/>
      <c r="E12" s="47">
        <f>-SalesMar!$K$1</f>
        <v>0</v>
      </c>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SUM(E11:E17)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IF(I38&gt;0,MIN(I38*L$4*(1-G38),Admin!G$8*(1-G38)),"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IF(I39&gt;0,MIN(I39*L$4*(1-G39),Admin!G$8*(1-G39)),"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IF(I40&gt;0,MIN(I40*L$4*(1-G40),Admin!G$8*(1-G40)),"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IF(I41&gt;0,MIN(I41*L$4*(1-G41),Admin!G$8*(1-G41)),"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IF(I42&gt;0,MIN(I42*L$4*(1-G42),Admin!G$8*(1-G42)),"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IF(I44&gt;0,MIN(I44*L$4*(1-G44),Admin!G$8*(1-G44)),"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IF(I45&gt;0,MIN(I45*L$4*(1-G45),Admin!G$8*(1-G45)),"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IF(I46&gt;0,MIN(I46*L$4*(1-G46),Admin!G$8*(1-G46)),"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IF(I47&gt;0,MIN(I47*L$4*(1-G47),Admin!G$8*(1-G47)),"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IF(I48&gt;0,MIN(I48*L$4*(1-G48),Admin!G$8*(1-G48)),"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IF(E91&gt;0,MIN(E91*L$4*(1-G91),Admin!G$8*(1-G91)),"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IF(E92&gt;0,MIN(E92*L$4*(1-G92),Admin!G$8*(1-G92)),"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IF(E93&gt;0,MIN(E93*L$4*(1-G93),Admin!G$8*(1-G93)),"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IF(E94&gt;0,MIN(E94*L$4*(1-G94),Admin!G$8*(1-G94)),"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IF(E95&gt;0,MIN(E95*L$4*(1-G95),Admin!G$8*(1-G95)),"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IF(E97&gt;0,MIN(E97*L$4*(1-G97),Admin!G$8*(1-G97)),"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IF(E98&gt;0,MIN(E98*L$4*(1-G98),Admin!G$8*(1-G98)),"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IF(E99&gt;0,MIN(E99*L$4*(1-G99),Admin!G$8*(1-G99)),"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IF(E100&gt;0,MIN(E100*L$4*(1-G100),Admin!G$8*(1-G100)),"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IF(E101&gt;0,MIN(E101*L$4*(1-G101),Admin!G$8*(1-G101)),"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45716</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45747</v>
      </c>
      <c r="C3" s="23"/>
      <c r="D3" s="23"/>
      <c r="E3" s="23"/>
      <c r="F3" s="23"/>
      <c r="G3" s="29"/>
      <c r="H3" s="23"/>
      <c r="I3" s="23"/>
      <c r="J3" s="30"/>
      <c r="K3" s="30"/>
      <c r="L3" s="25"/>
      <c r="M3" s="23"/>
      <c r="N3" s="23"/>
      <c r="O3" s="23"/>
    </row>
    <row r="4" spans="1:15" ht="12" customHeight="1" thickBot="1" x14ac:dyDescent="0.2">
      <c r="A4" s="23"/>
      <c r="B4" s="31">
        <v>45753</v>
      </c>
      <c r="C4" s="23"/>
      <c r="D4" s="522" t="s">
        <v>199</v>
      </c>
      <c r="E4" s="522"/>
      <c r="F4" s="522"/>
      <c r="G4" s="32">
        <v>1</v>
      </c>
      <c r="H4" s="23"/>
      <c r="I4" s="522" t="s">
        <v>49</v>
      </c>
      <c r="J4" s="522"/>
      <c r="K4" s="522"/>
      <c r="L4" s="522"/>
      <c r="M4" s="522"/>
      <c r="N4" s="33">
        <v>12570</v>
      </c>
      <c r="O4" s="29" t="s">
        <v>50</v>
      </c>
    </row>
    <row r="5" spans="1:15" ht="12" customHeight="1" x14ac:dyDescent="0.15">
      <c r="A5" s="23"/>
      <c r="B5" s="27">
        <v>45777</v>
      </c>
      <c r="C5" s="23"/>
      <c r="D5" s="522" t="s">
        <v>51</v>
      </c>
      <c r="E5" s="522"/>
      <c r="F5" s="522"/>
      <c r="G5" s="32">
        <v>0.18</v>
      </c>
      <c r="H5" s="23"/>
      <c r="I5" s="522" t="inlineStr">
        <is>
          <t>Personal allowance taper threshold</t>
        </is>
      </c>
      <c r="J5" s="23"/>
      <c r="K5" s="23"/>
      <c r="L5" s="23"/>
      <c r="M5" s="23"/>
      <c r="N5" s="34">
        <v>100000</v>
      </c>
      <c r="O5" s="29" t="s">
        <v>50</v>
      </c>
    </row>
    <row r="6" spans="1:15" ht="12" customHeight="1" x14ac:dyDescent="0.15">
      <c r="A6" s="23"/>
      <c r="B6" s="27">
        <v>45808</v>
      </c>
      <c r="C6" s="23"/>
      <c r="D6" s="23"/>
      <c r="E6" s="23"/>
      <c r="F6" s="23"/>
      <c r="G6" s="29"/>
      <c r="H6" s="23"/>
      <c r="I6" s="23" t="s">
        <v>119</v>
      </c>
      <c r="J6" s="23"/>
      <c r="K6" s="23"/>
      <c r="L6" s="23"/>
      <c r="M6" s="23"/>
      <c r="N6" s="32">
        <v>0</v>
      </c>
      <c r="O6" s="29" t="s">
        <v>53</v>
      </c>
    </row>
    <row r="7" spans="1:15" ht="12" customHeight="1" x14ac:dyDescent="0.15">
      <c r="A7" s="23"/>
      <c r="B7" s="27">
        <v>45838</v>
      </c>
      <c r="C7" s="23"/>
      <c r="D7" s="522" t="s">
        <v>54</v>
      </c>
      <c r="E7" s="522"/>
      <c r="F7" s="522"/>
      <c r="G7" s="29"/>
      <c r="H7" s="23"/>
      <c r="I7" s="522" t="s">
        <v>52</v>
      </c>
      <c r="J7" s="522"/>
      <c r="K7" s="522"/>
      <c r="L7" s="522"/>
      <c r="M7" s="522"/>
      <c r="N7" s="32">
        <v>0.2</v>
      </c>
      <c r="O7" s="29" t="s">
        <v>53</v>
      </c>
    </row>
    <row r="8" spans="1:15" ht="12" customHeight="1" x14ac:dyDescent="0.15">
      <c r="A8" s="23"/>
      <c r="B8" s="27">
        <v>45869</v>
      </c>
      <c r="C8" s="23"/>
      <c r="D8" s="23" t="s">
        <v>56</v>
      </c>
      <c r="E8" s="34">
        <v>12000</v>
      </c>
      <c r="F8" s="23" t="s">
        <v>57</v>
      </c>
      <c r="G8" s="34">
        <v>3000</v>
      </c>
      <c r="H8" s="23"/>
      <c r="I8" s="522" t="s">
        <v>55</v>
      </c>
      <c r="J8" s="522"/>
      <c r="K8" s="522"/>
      <c r="L8" s="522"/>
      <c r="M8" s="522"/>
      <c r="N8" s="32">
        <v>0.4</v>
      </c>
      <c r="O8" s="29" t="s">
        <v>53</v>
      </c>
    </row>
    <row r="9" spans="1:15" ht="12" customHeight="1" x14ac:dyDescent="0.15">
      <c r="A9" s="23"/>
      <c r="B9" s="27">
        <v>45900</v>
      </c>
      <c r="C9" s="23"/>
      <c r="D9" s="23"/>
      <c r="E9" s="29"/>
      <c r="F9" s="23"/>
      <c r="G9" s="29"/>
      <c r="H9" s="23"/>
      <c r="I9" s="522" t="inlineStr">
        <is>
          <t>Additional rate applicable above the higher rate limit</t>
        </is>
      </c>
      <c r="J9" s="23"/>
      <c r="K9" s="23"/>
      <c r="L9" s="23"/>
      <c r="M9" s="23"/>
      <c r="N9" s="32">
        <v>0.45</v>
      </c>
      <c r="O9" s="29" t="s">
        <v>53</v>
      </c>
    </row>
    <row r="10" spans="1:15" ht="12" customHeight="1" x14ac:dyDescent="0.15">
      <c r="A10" s="23"/>
      <c r="B10" s="27">
        <v>45930</v>
      </c>
      <c r="C10" s="23"/>
      <c r="D10" s="23"/>
      <c r="E10" s="29"/>
      <c r="F10" s="23"/>
      <c r="G10" s="29"/>
      <c r="H10" s="23"/>
      <c r="I10" s="522" t="s">
        <v>58</v>
      </c>
      <c r="J10" s="523"/>
      <c r="K10" s="523"/>
      <c r="L10" s="35" t="s">
        <v>59</v>
      </c>
      <c r="M10" s="35" t="s">
        <v>60</v>
      </c>
      <c r="N10" s="36" t="s">
        <v>61</v>
      </c>
      <c r="O10" s="29"/>
    </row>
    <row r="11" spans="1:15" ht="12" customHeight="1" x14ac:dyDescent="0.15">
      <c r="A11" s="23"/>
      <c r="B11" s="27">
        <v>45961</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45991</v>
      </c>
      <c r="C12" s="23"/>
      <c r="D12" s="23"/>
      <c r="E12" s="23"/>
      <c r="F12" s="23"/>
      <c r="G12" s="29"/>
      <c r="H12" s="23"/>
      <c r="I12" s="23" t="s">
        <v>63</v>
      </c>
      <c r="J12" s="23"/>
      <c r="K12" s="37">
        <f t="shared" ref="K12:K13" si="0">N7</f>
        <v>0.2</v>
      </c>
      <c r="L12" s="29">
        <v>0</v>
      </c>
      <c r="M12" s="29">
        <v>37700</v>
      </c>
      <c r="N12" s="34">
        <v>0</v>
      </c>
      <c r="O12" s="29"/>
    </row>
    <row r="13" spans="1:15" ht="12" customHeight="1" x14ac:dyDescent="0.15">
      <c r="A13" s="23"/>
      <c r="B13" s="27">
        <v>46022</v>
      </c>
      <c r="C13" s="23"/>
      <c r="D13" s="522" t="s">
        <v>65</v>
      </c>
      <c r="E13" s="522"/>
      <c r="F13" s="522"/>
      <c r="G13" s="32">
        <v>0</v>
      </c>
      <c r="H13" s="23"/>
      <c r="I13" s="23" t="s">
        <v>64</v>
      </c>
      <c r="J13" s="23"/>
      <c r="K13" s="37">
        <f t="shared" si="0"/>
        <v>0.4</v>
      </c>
      <c r="L13" s="29">
        <v>37701</v>
      </c>
      <c r="M13" s="23"/>
      <c r="N13" s="34">
        <v>37701</v>
      </c>
      <c r="O13" s="29"/>
    </row>
    <row r="14" spans="1:15" ht="12" customHeight="1" x14ac:dyDescent="0.15">
      <c r="A14" s="23"/>
      <c r="B14" s="27">
        <v>46053</v>
      </c>
      <c r="C14" s="23"/>
      <c r="D14" s="522" t="s">
        <v>66</v>
      </c>
      <c r="E14" s="522"/>
      <c r="F14" s="522"/>
      <c r="G14" s="32">
        <v>0.1</v>
      </c>
      <c r="H14" s="23"/>
      <c r="I14" s="23" t="inlineStr">
        <is>
          <t>Additional rate</t>
        </is>
      </c>
      <c r="J14" s="23"/>
      <c r="K14" s="37">
        <v>0.45</v>
      </c>
      <c r="L14" s="29">
        <v>125141</v>
      </c>
      <c r="M14" s="23"/>
      <c r="N14" s="34">
        <v>125140</v>
      </c>
      <c r="O14" s="23"/>
    </row>
    <row r="15" spans="1:15" ht="12" customHeight="1" x14ac:dyDescent="0.15">
      <c r="A15" s="23"/>
      <c r="B15" s="27">
        <v>46081</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46112</v>
      </c>
      <c r="C16" s="23"/>
      <c r="D16" s="522" t="s">
        <v>69</v>
      </c>
      <c r="E16" s="522"/>
      <c r="F16" s="522"/>
      <c r="G16" s="32">
        <v>0.33</v>
      </c>
      <c r="H16" s="23"/>
      <c r="I16" s="23"/>
      <c r="J16" s="23"/>
      <c r="K16" s="23"/>
      <c r="L16" s="23"/>
      <c r="M16" s="23"/>
      <c r="N16" s="23"/>
      <c r="O16" s="23"/>
    </row>
    <row r="17" spans="1:15" ht="12" customHeight="1" thickBot="1" x14ac:dyDescent="0.2">
      <c r="A17" s="23"/>
      <c r="B17" s="31">
        <v>46117</v>
      </c>
      <c r="C17" s="23"/>
      <c r="D17" s="522" t="s">
        <v>71</v>
      </c>
      <c r="E17" s="522"/>
      <c r="F17" s="522"/>
      <c r="G17" s="32">
        <v>0.25</v>
      </c>
      <c r="H17" s="23"/>
      <c r="I17" s="522" t="s">
        <v>70</v>
      </c>
      <c r="J17" s="522"/>
      <c r="K17" s="522"/>
      <c r="L17" s="39">
        <v>0</v>
      </c>
      <c r="M17" s="23" t="s">
        <v>325</v>
      </c>
      <c r="N17" s="23"/>
      <c r="O17" s="23"/>
    </row>
    <row r="18" spans="1:15" ht="12" customHeight="1" x14ac:dyDescent="0.15">
      <c r="A18" s="23"/>
      <c r="B18" s="27">
        <v>46142</v>
      </c>
      <c r="C18" s="23"/>
      <c r="D18" s="23"/>
      <c r="E18" s="23"/>
      <c r="F18" s="23"/>
      <c r="G18" s="29"/>
      <c r="H18" s="23"/>
      <c r="I18" s="23"/>
      <c r="J18" s="23"/>
      <c r="K18" s="23"/>
      <c r="L18" s="23"/>
      <c r="M18" s="23"/>
      <c r="N18" s="23"/>
      <c r="O18" s="23"/>
    </row>
    <row r="19" spans="1:15" ht="12" customHeight="1" x14ac:dyDescent="0.15">
      <c r="A19" s="23"/>
      <c r="B19" s="27">
        <v>46173</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46203</v>
      </c>
      <c r="C20" s="23"/>
      <c r="D20" s="25"/>
      <c r="E20" s="25"/>
      <c r="F20" s="29"/>
      <c r="G20" s="29"/>
      <c r="H20" s="23"/>
      <c r="I20" s="528"/>
      <c r="J20" s="528"/>
      <c r="K20" s="528"/>
      <c r="L20" s="355">
        <v>0.06</v>
      </c>
      <c r="M20" s="527"/>
      <c r="N20" s="34">
        <v>12570</v>
      </c>
      <c r="O20" s="29" t="s">
        <v>50</v>
      </c>
    </row>
    <row r="21" spans="1:15" ht="12" customHeight="1" x14ac:dyDescent="0.15">
      <c r="A21" s="23"/>
      <c r="B21" s="27">
        <v>46418</v>
      </c>
      <c r="C21" s="23"/>
      <c r="D21" s="522" t="s">
        <v>76</v>
      </c>
      <c r="E21" s="522"/>
      <c r="F21" s="34">
        <v>10000</v>
      </c>
      <c r="G21" s="39">
        <v>0.45</v>
      </c>
      <c r="H21" s="23"/>
      <c r="I21" s="40"/>
      <c r="J21" s="40"/>
      <c r="K21" s="40"/>
      <c r="L21" s="37"/>
      <c r="M21" s="23"/>
      <c r="N21" s="23"/>
      <c r="O21" s="23"/>
    </row>
    <row r="22" spans="1:15" ht="12" customHeight="1" thickBot="1" x14ac:dyDescent="0.2">
      <c r="A22" s="23"/>
      <c r="B22" s="27">
        <v>46599</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inlineStr">
        <is>
          <t>2025-26</t>
        </is>
      </c>
      <c r="C23" s="23"/>
      <c r="D23" s="23"/>
      <c r="E23" s="23"/>
      <c r="F23" s="29"/>
      <c r="G23" s="41"/>
      <c r="H23" s="23"/>
      <c r="I23" s="528"/>
      <c r="J23" s="528"/>
      <c r="K23" s="528"/>
      <c r="L23" s="355">
        <v>0.02</v>
      </c>
      <c r="M23" s="527"/>
      <c r="N23" s="34">
        <v>50270</v>
      </c>
      <c r="O23" s="29" t="s">
        <v>50</v>
      </c>
    </row>
    <row r="24" spans="1:15" ht="12" customHeight="1" thickBot="1" x14ac:dyDescent="0.2">
      <c r="A24" s="23"/>
      <c r="B24" s="31" t="inlineStr">
        <is>
          <t>2026-27</t>
        </is>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90000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7">
    <mergeCell ref="I5:M5"/>
    <mergeCell ref="I9:M9"/>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2011-03-20T17:47:30Z</cp:lastPrinted>
  <dcterms:created xsi:type="dcterms:W3CDTF">2002-12-30T15:31:19Z</dcterms:created>
  <dcterms:modified xsi:type="dcterms:W3CDTF">2025-04-03T22:36:27Z</dcterms:modified>
</cp:coreProperties>
</file>