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<sst xmlns="http://schemas.openxmlformats.org/spreadsheetml/2006/main" count="1383" uniqueCount="138">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</sst>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45388</v>
      </c>
      <c r="L49" s="203" t="s">
        <v>76</v>
      </c>
      <c r="M49" s="205">
        <f>Admin!B26</f>
        <v>45412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45413</v>
      </c>
      <c r="L49" s="203" t="s">
        <v>76</v>
      </c>
      <c r="M49" s="205">
        <f>Admin!B57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45444</v>
      </c>
      <c r="L59" s="203" t="s">
        <v>76</v>
      </c>
      <c r="M59" s="205">
        <f>Admin!B87</f>
        <v>45473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45474</v>
      </c>
      <c r="L49" s="203" t="s">
        <v>76</v>
      </c>
      <c r="M49" s="205">
        <f>Admin!B118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IF(T$9="Y",Aug!H41,0)</f>
        <v>0</v>
      </c>
      <c r="I12" s="92">
        <f>IF(T$9="Y",Aug!I41,0)</f>
        <v>0</v>
      </c>
      <c r="J12" s="92">
        <f>IF(T$9="Y",Aug!J41,0)</f>
        <v>0</v>
      </c>
      <c r="K12" s="92">
        <f>IF(T$9="Y",Aug!K41,I12*J12)</f>
        <v>0</v>
      </c>
      <c r="L12" s="111">
        <f>IF(T$9="Y",Aug!L41,0)</f>
        <v>0</v>
      </c>
      <c r="M12" s="111" t="str">
        <f>IF(E12=" "," ",IF(T$9="Y",Aug!M41,IF((H12+K12+L12)&gt;0,H12+K12+L12,"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IF(T$9="Y",Aug!H41,0)</f>
        <v>0</v>
      </c>
      <c r="I13" s="92">
        <f>IF(T$9="Y",Aug!I41,0)</f>
        <v>0</v>
      </c>
      <c r="J13" s="92">
        <f>IF(T$9="Y",Aug!J41,0)</f>
        <v>0</v>
      </c>
      <c r="K13" s="92">
        <f>IF(T$9="Y",Aug!K41,I13*J13)</f>
        <v>0</v>
      </c>
      <c r="L13" s="111">
        <f>IF(T$9="Y",Aug!L41,0)</f>
        <v>0</v>
      </c>
      <c r="M13" s="111" t="str">
        <f>IF(E13=" "," ",IF(T$9="Y",Aug!M41,IF((H13+K13+L13)&gt;0,H13+K13+L13,"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IF(T$9="Y",Aug!H41,0)</f>
        <v>0</v>
      </c>
      <c r="I14" s="92">
        <f>IF(T$9="Y",Aug!I41,0)</f>
        <v>0</v>
      </c>
      <c r="J14" s="92">
        <f>IF(T$9="Y",Aug!J41,0)</f>
        <v>0</v>
      </c>
      <c r="K14" s="92">
        <f>IF(T$9="Y",Aug!K41,I14*J14)</f>
        <v>0</v>
      </c>
      <c r="L14" s="111">
        <f>IF(T$9="Y",Aug!L41,0)</f>
        <v>0</v>
      </c>
      <c r="M14" s="111" t="str">
        <f>IF(E14=" "," ",IF(T$9="Y",Aug!M41,IF((H14+K14+L14)&gt;0,H14+K14+L14,"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IF(T$9="Y",Aug!H41,0)</f>
        <v>0</v>
      </c>
      <c r="I15" s="245">
        <f>IF(T$9="Y",Aug!I41,0)</f>
        <v>0</v>
      </c>
      <c r="J15" s="245">
        <f>IF(T$9="Y",Aug!J41,0)</f>
        <v>0</v>
      </c>
      <c r="K15" s="245">
        <f>IF(T$9="Y",Aug!K41,I15*J15)</f>
        <v>0</v>
      </c>
      <c r="L15" s="246">
        <f>IF(T$9="Y",Aug!L41,0)</f>
        <v>0</v>
      </c>
      <c r="M15" s="246" t="str">
        <f>IF(E15=" "," ",IF(T$9="Y",Aug!M41,IF((H15+K15+L15)&gt;0,H15+K15+L15,"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45505</v>
      </c>
      <c r="L49" s="203" t="s">
        <v>76</v>
      </c>
      <c r="M49" s="205">
        <f>Admin!B149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45536</v>
      </c>
      <c r="L59" s="203" t="s">
        <v>76</v>
      </c>
      <c r="M59" s="205">
        <f>Admin!B179</f>
        <v>45565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45566</v>
      </c>
      <c r="L49" s="203" t="s">
        <v>76</v>
      </c>
      <c r="M49" s="205">
        <f>Admin!B210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45597</v>
      </c>
      <c r="L49" s="203" t="s">
        <v>76</v>
      </c>
      <c r="M49" s="205">
        <f>Admin!B240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45627</v>
      </c>
      <c r="L59" s="203" t="s">
        <v>76</v>
      </c>
      <c r="M59" s="205">
        <f>Admin!B271</f>
        <v>45657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45658</v>
      </c>
      <c r="L49" s="203" t="s">
        <v>76</v>
      </c>
      <c r="M49" s="205">
        <f>Admin!B302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45689</v>
      </c>
      <c r="L49" s="203" t="s">
        <v>76</v>
      </c>
      <c r="M49" s="205">
        <f>Admin!B330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45717</v>
      </c>
      <c r="L69" s="203" t="s">
        <v>76</v>
      </c>
      <c r="M69" s="205">
        <f>Admin!B361</f>
        <v>45747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May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45412</v>
      </c>
      <c r="C4" s="229">
        <f>Admin!$B$45</f>
        <v>45431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45443</v>
      </c>
      <c r="C5" s="229">
        <f>Admin!$B$76</f>
        <v>45462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45473</v>
      </c>
      <c r="C6" s="229">
        <f>Admin!$B$106</f>
        <v>45492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45504</v>
      </c>
      <c r="C7" s="229">
        <f>Admin!$B$137</f>
        <v>45523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45535</v>
      </c>
      <c r="C8" s="229">
        <f>Admin!$B$168</f>
        <v>45554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45565</v>
      </c>
      <c r="C9" s="229">
        <f>Admin!$B$198</f>
        <v>45584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45596</v>
      </c>
      <c r="C10" s="229">
        <f>Admin!$B$229</f>
        <v>45615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45626</v>
      </c>
      <c r="C11" s="229">
        <f>Admin!$B$259</f>
        <v>45645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45657</v>
      </c>
      <c r="C12" s="229">
        <f>Admin!$B$290</f>
        <v>45676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45688</v>
      </c>
      <c r="C13" s="229">
        <f>Admin!$B$321</f>
        <v>45707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45716</v>
      </c>
      <c r="C14" s="229">
        <f>Admin!$B$350</f>
        <v>45736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45747</v>
      </c>
      <c r="C15" s="229">
        <f>Admin!$B$381</f>
        <v>45767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TEXT(DATE(YEAR(B$2),MONTH(B$2)+(D2-1)+1,1),"Mmm")</f>
        <v>May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TEXT(DATE(YEAR(B$2),MONTH(B$2)+(D3-1)+1,1),"Mmm")</f>
        <v>May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May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May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May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May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May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May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May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May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May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May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May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May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May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May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May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May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May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May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May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May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May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May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May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May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Jun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Jun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Jun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Jun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Jun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Jun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Jun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Jun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Jun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Jun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Jun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Jun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Jun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Jun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Jun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Jun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Jun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Jun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Jun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Jun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Jun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Jun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Jun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Jun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Jun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Jun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Jun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Jun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Jul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Jul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Jul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Jul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Jul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Jul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Jul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Jul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Jul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Jul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Jul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TEXT(DATE(YEAR(B$2),MONTH(B$2)+(D67-1)+1,1),"Mmm")</f>
        <v>Jul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Jul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Jul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Jul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Jul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Jul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Jul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Jul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Jul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Jul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Jul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Jul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Jul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Jul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Jul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Jul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Jul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Jul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Jul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Jul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Jul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Jul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Jul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Jul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Aug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Aug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Aug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Aug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Aug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Aug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Aug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Aug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Aug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Aug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Aug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Aug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Aug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Aug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Aug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Aug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Aug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Aug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Aug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Aug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Aug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Aug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Aug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Aug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Aug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Aug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Aug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Aug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Sep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Sep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Sep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Sep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Sep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Sep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Sep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Sep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Sep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Sep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Sep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Sep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TEXT(DATE(YEAR(B$2),MONTH(B$2)+(D131-1)+1,1),"Mmm")</f>
        <v>Sep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Sep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Sep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Sep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Sep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Sep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Sep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Sep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Sep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Sep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Sep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Sep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Sep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Sep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Sep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Sep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Oct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Oct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Oct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Oct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Oct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Oct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Oct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Oct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Oct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Oct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Oct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Oct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Oct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Oct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Oct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Oct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Oct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Oct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Oct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Oct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Oct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Oct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Oct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Oct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Oct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Oct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Oct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Oct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Oct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Oct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Oct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Oct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Oct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Oct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Oct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Nov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Nov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Nov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Nov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Nov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Nov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Nov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Nov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Nov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Nov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Nov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Nov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Nov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TEXT(DATE(YEAR(B$2),MONTH(B$2)+(D195-1)+1,1),"Mmm")</f>
        <v>Nov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Nov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Nov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Nov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Nov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Nov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Nov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Nov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Nov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Nov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Nov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Nov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Nov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Nov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Nov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Dec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Dec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Dec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Dec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Dec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Dec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Dec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Dec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Dec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Dec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Dec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Dec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Dec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Dec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Dec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Dec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Dec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Dec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Dec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Dec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Dec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Dec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Dec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Dec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Dec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Dec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Dec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Dec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Jan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Jan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Jan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Jan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Jan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Jan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Jan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Jan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Jan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Jan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Jan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Jan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Jan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Jan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Jan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Jan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Jan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Jan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Jan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Jan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Jan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TEXT(DATE(YEAR(B$2),MONTH(B$2)+(D259-1)+1,1),"Mmm")</f>
        <v>Jan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Jan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Jan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Jan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Jan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Jan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Jan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Jan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Jan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Jan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Jan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Jan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Jan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Jan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Feb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Feb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Feb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Feb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Feb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Feb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Feb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Feb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Feb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Feb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Feb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Feb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Feb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Feb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Feb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Feb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Feb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Feb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Feb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Feb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Feb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Feb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Feb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Feb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Feb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Feb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Feb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Feb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Mar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Mar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Mar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Mar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Mar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Mar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Mar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Mar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Mar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Mar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Mar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Mar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Mar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Mar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Mar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Mar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Mar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Mar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Mar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Mar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Mar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Mar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TEXT(DATE(YEAR(B$2),MONTH(B$2)+(D323-1)+1,1),"Mmm")</f>
        <v>Mar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Mar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Mar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Mar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Mar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Mar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Apr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Apr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Apr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Apr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Apr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Apr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Apr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Apr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Apr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Apr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Apr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Apr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Apr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Apr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Apr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Apr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Apr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Apr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Apr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Apr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Apr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Apr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Apr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Apr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Apr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Apr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Apr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Apr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Apr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Apr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Apr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Apr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Apr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Apr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Apr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Apr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Apr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Apr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Apr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Apr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Apr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Apr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Apr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Apr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Apr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Apr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Apr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Apr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Apr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Apr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Apr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Apr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Apr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