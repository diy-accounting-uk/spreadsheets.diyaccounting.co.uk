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Dec" sheetId="12" r:id="rId2"/>
    <sheet name="Jan" sheetId="11" r:id="rId3"/>
    <sheet name="Feb" sheetId="10" r:id="rId4"/>
    <sheet name="Mar" sheetId="9" r:id="rId5"/>
    <sheet name="Apr" sheetId="8" r:id="rId6"/>
    <sheet name="May" sheetId="17" r:id="rId7"/>
    <sheet name="Jun" sheetId="16" r:id="rId8"/>
    <sheet name="Jul" sheetId="15" r:id="rId9"/>
    <sheet name="Aug" sheetId="14" r:id="rId10"/>
    <sheet name="Sep" sheetId="13" r:id="rId11"/>
    <sheet name="Oct" sheetId="19" r:id="rId12"/>
    <sheet name="Nov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<sst xmlns="http://schemas.openxmlformats.org/spreadsheetml/2006/main" count="1383" uniqueCount="138">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</sst>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46118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46119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46120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46121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46122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46123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46124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46118</v>
      </c>
      <c r="N9" s="5"/>
      <c r="O9" s="163">
        <f>Admin!I1</f>
        <v>46482</v>
      </c>
      <c r="P9" s="145"/>
      <c r="Q9" s="140"/>
      <c r="R9" s="141"/>
      <c r="S9" s="141"/>
      <c r="T9" s="80"/>
      <c r="U9" s="345"/>
      <c r="W9" s="206">
        <f>Admin!B9</f>
        <v>46125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46126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46127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46128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46129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46130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46131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46132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46133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46134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46135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46136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46137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46138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46139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46140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46141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46142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46143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46144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46145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46146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46147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46148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46149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46150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46151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46152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46153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46154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46155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46156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46157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46158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46159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46160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46161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46162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46163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46164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46165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46166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46167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46168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46169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46170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46171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46172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46173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46174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46175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46176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46177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46178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46179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46180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46181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46182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46183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46184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46185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46186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46187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46188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46189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46190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46191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46192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46193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46194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46195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46196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46197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46198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46199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46200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46201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46202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46203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46204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46205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46206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46207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46208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46209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46210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46211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46212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46213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46214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46215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46216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46217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46218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46219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46220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46221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46222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46223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46224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46225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46226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46227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46228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46229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46230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46231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46232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46233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46234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46235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46236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46237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46238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46239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46240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46241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46242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46243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46244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46245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46246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46247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46248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46249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46250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46251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46252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46253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46254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46255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46256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46257</v>
      </c>
    </row>
    <row r="142" spans="1:23" x14ac:dyDescent="0.15">
      <c r="W142" s="206">
        <f>Admin!B142</f>
        <v>46258</v>
      </c>
    </row>
    <row r="143" spans="1:23" x14ac:dyDescent="0.15">
      <c r="W143" s="206">
        <f>Admin!B143</f>
        <v>46259</v>
      </c>
    </row>
    <row r="144" spans="1:23" x14ac:dyDescent="0.15">
      <c r="W144" s="206">
        <f>Admin!B144</f>
        <v>46260</v>
      </c>
    </row>
    <row r="145" spans="23:23" x14ac:dyDescent="0.15">
      <c r="W145" s="206">
        <f>Admin!B145</f>
        <v>46261</v>
      </c>
    </row>
    <row r="146" spans="23:23" x14ac:dyDescent="0.15">
      <c r="W146" s="206">
        <f>Admin!B146</f>
        <v>46262</v>
      </c>
    </row>
    <row r="147" spans="23:23" x14ac:dyDescent="0.15">
      <c r="W147" s="206">
        <f>Admin!B147</f>
        <v>46263</v>
      </c>
    </row>
    <row r="148" spans="23:23" x14ac:dyDescent="0.15">
      <c r="W148" s="206">
        <f>Admin!B148</f>
        <v>46264</v>
      </c>
    </row>
    <row r="149" spans="23:23" x14ac:dyDescent="0.15">
      <c r="W149" s="206">
        <f>Admin!B149</f>
        <v>46265</v>
      </c>
    </row>
    <row r="150" spans="23:23" x14ac:dyDescent="0.15">
      <c r="W150" s="206">
        <f>Admin!B150</f>
        <v>46266</v>
      </c>
    </row>
    <row r="151" spans="23:23" x14ac:dyDescent="0.15">
      <c r="W151" s="206">
        <f>Admin!B151</f>
        <v>46267</v>
      </c>
    </row>
    <row r="152" spans="23:23" x14ac:dyDescent="0.15">
      <c r="W152" s="206">
        <f>Admin!B152</f>
        <v>46268</v>
      </c>
    </row>
    <row r="153" spans="23:23" x14ac:dyDescent="0.15">
      <c r="W153" s="206">
        <f>Admin!B153</f>
        <v>46269</v>
      </c>
    </row>
    <row r="154" spans="23:23" x14ac:dyDescent="0.15">
      <c r="W154" s="206">
        <f>Admin!B154</f>
        <v>46270</v>
      </c>
    </row>
    <row r="155" spans="23:23" x14ac:dyDescent="0.15">
      <c r="W155" s="206">
        <f>Admin!B155</f>
        <v>46271</v>
      </c>
    </row>
    <row r="156" spans="23:23" x14ac:dyDescent="0.15">
      <c r="W156" s="206">
        <f>Admin!B156</f>
        <v>46272</v>
      </c>
    </row>
    <row r="157" spans="23:23" x14ac:dyDescent="0.15">
      <c r="W157" s="206">
        <f>Admin!B157</f>
        <v>46273</v>
      </c>
    </row>
    <row r="158" spans="23:23" x14ac:dyDescent="0.15">
      <c r="W158" s="206">
        <f>Admin!B158</f>
        <v>46274</v>
      </c>
    </row>
    <row r="159" spans="23:23" x14ac:dyDescent="0.15">
      <c r="W159" s="206">
        <f>Admin!B159</f>
        <v>46275</v>
      </c>
    </row>
    <row r="160" spans="23:23" x14ac:dyDescent="0.15">
      <c r="W160" s="206">
        <f>Admin!B160</f>
        <v>46276</v>
      </c>
    </row>
    <row r="161" spans="23:23" x14ac:dyDescent="0.15">
      <c r="W161" s="206">
        <f>Admin!B161</f>
        <v>46277</v>
      </c>
    </row>
    <row r="162" spans="23:23" x14ac:dyDescent="0.15">
      <c r="W162" s="206">
        <f>Admin!B162</f>
        <v>46278</v>
      </c>
    </row>
    <row r="163" spans="23:23" x14ac:dyDescent="0.15">
      <c r="W163" s="206">
        <f>Admin!B163</f>
        <v>46279</v>
      </c>
    </row>
    <row r="164" spans="23:23" x14ac:dyDescent="0.15">
      <c r="W164" s="206">
        <f>Admin!B164</f>
        <v>46280</v>
      </c>
    </row>
    <row r="165" spans="23:23" x14ac:dyDescent="0.15">
      <c r="W165" s="206">
        <f>Admin!B165</f>
        <v>46281</v>
      </c>
    </row>
    <row r="166" spans="23:23" x14ac:dyDescent="0.15">
      <c r="W166" s="206">
        <f>Admin!B166</f>
        <v>46282</v>
      </c>
    </row>
    <row r="167" spans="23:23" x14ac:dyDescent="0.15">
      <c r="W167" s="206">
        <f>Admin!B167</f>
        <v>46283</v>
      </c>
    </row>
    <row r="168" spans="23:23" x14ac:dyDescent="0.15">
      <c r="W168" s="206">
        <f>Admin!B168</f>
        <v>46284</v>
      </c>
    </row>
    <row r="169" spans="23:23" x14ac:dyDescent="0.15">
      <c r="W169" s="206">
        <f>Admin!B169</f>
        <v>46285</v>
      </c>
    </row>
    <row r="170" spans="23:23" x14ac:dyDescent="0.15">
      <c r="W170" s="206">
        <f>Admin!B170</f>
        <v>46286</v>
      </c>
    </row>
    <row r="171" spans="23:23" x14ac:dyDescent="0.15">
      <c r="W171" s="206">
        <f>Admin!B171</f>
        <v>46287</v>
      </c>
    </row>
    <row r="172" spans="23:23" x14ac:dyDescent="0.15">
      <c r="W172" s="206">
        <f>Admin!B172</f>
        <v>46288</v>
      </c>
    </row>
    <row r="173" spans="23:23" x14ac:dyDescent="0.15">
      <c r="W173" s="206">
        <f>Admin!B173</f>
        <v>46289</v>
      </c>
    </row>
    <row r="174" spans="23:23" x14ac:dyDescent="0.15">
      <c r="W174" s="206">
        <f>Admin!B174</f>
        <v>46290</v>
      </c>
    </row>
    <row r="175" spans="23:23" x14ac:dyDescent="0.15">
      <c r="W175" s="206">
        <f>Admin!B175</f>
        <v>46291</v>
      </c>
    </row>
    <row r="176" spans="23:23" x14ac:dyDescent="0.15">
      <c r="W176" s="206">
        <f>Admin!B176</f>
        <v>46292</v>
      </c>
    </row>
    <row r="177" spans="23:23" x14ac:dyDescent="0.15">
      <c r="W177" s="206">
        <f>Admin!B177</f>
        <v>46293</v>
      </c>
    </row>
    <row r="178" spans="23:23" x14ac:dyDescent="0.15">
      <c r="W178" s="206">
        <f>Admin!B178</f>
        <v>46294</v>
      </c>
    </row>
    <row r="179" spans="23:23" x14ac:dyDescent="0.15">
      <c r="W179" s="206">
        <f>Admin!B179</f>
        <v>46295</v>
      </c>
    </row>
    <row r="180" spans="23:23" x14ac:dyDescent="0.15">
      <c r="W180" s="206">
        <f>Admin!B180</f>
        <v>46296</v>
      </c>
    </row>
    <row r="181" spans="23:23" x14ac:dyDescent="0.15">
      <c r="W181" s="206">
        <f>Admin!B181</f>
        <v>46297</v>
      </c>
    </row>
    <row r="182" spans="23:23" x14ac:dyDescent="0.15">
      <c r="W182" s="206">
        <f>Admin!B182</f>
        <v>46298</v>
      </c>
    </row>
    <row r="183" spans="23:23" x14ac:dyDescent="0.15">
      <c r="W183" s="206">
        <f>Admin!B183</f>
        <v>46299</v>
      </c>
    </row>
    <row r="184" spans="23:23" x14ac:dyDescent="0.15">
      <c r="W184" s="206">
        <f>Admin!B184</f>
        <v>46300</v>
      </c>
    </row>
    <row r="185" spans="23:23" x14ac:dyDescent="0.15">
      <c r="W185" s="206">
        <f>Admin!B185</f>
        <v>46301</v>
      </c>
    </row>
    <row r="186" spans="23:23" x14ac:dyDescent="0.15">
      <c r="W186" s="206">
        <f>Admin!B186</f>
        <v>46302</v>
      </c>
    </row>
    <row r="187" spans="23:23" x14ac:dyDescent="0.15">
      <c r="W187" s="206">
        <f>Admin!B187</f>
        <v>46303</v>
      </c>
    </row>
    <row r="188" spans="23:23" x14ac:dyDescent="0.15">
      <c r="W188" s="206">
        <f>Admin!B188</f>
        <v>46304</v>
      </c>
    </row>
    <row r="189" spans="23:23" x14ac:dyDescent="0.15">
      <c r="W189" s="206">
        <f>Admin!B189</f>
        <v>46305</v>
      </c>
    </row>
    <row r="190" spans="23:23" x14ac:dyDescent="0.15">
      <c r="W190" s="206">
        <f>Admin!B190</f>
        <v>46306</v>
      </c>
    </row>
    <row r="191" spans="23:23" x14ac:dyDescent="0.15">
      <c r="W191" s="206">
        <f>Admin!B191</f>
        <v>46307</v>
      </c>
    </row>
    <row r="192" spans="23:23" x14ac:dyDescent="0.15">
      <c r="W192" s="206">
        <f>Admin!B192</f>
        <v>46308</v>
      </c>
    </row>
    <row r="193" spans="23:23" x14ac:dyDescent="0.15">
      <c r="W193" s="206">
        <f>Admin!B193</f>
        <v>46309</v>
      </c>
    </row>
    <row r="194" spans="23:23" x14ac:dyDescent="0.15">
      <c r="W194" s="206">
        <f>Admin!B194</f>
        <v>46310</v>
      </c>
    </row>
    <row r="195" spans="23:23" x14ac:dyDescent="0.15">
      <c r="W195" s="206">
        <f>Admin!B195</f>
        <v>46311</v>
      </c>
    </row>
    <row r="196" spans="23:23" x14ac:dyDescent="0.15">
      <c r="W196" s="206">
        <f>Admin!B196</f>
        <v>46312</v>
      </c>
    </row>
    <row r="197" spans="23:23" x14ac:dyDescent="0.15">
      <c r="W197" s="206">
        <f>Admin!B197</f>
        <v>46313</v>
      </c>
    </row>
    <row r="198" spans="23:23" x14ac:dyDescent="0.15">
      <c r="W198" s="206">
        <f>Admin!B198</f>
        <v>46314</v>
      </c>
    </row>
    <row r="199" spans="23:23" x14ac:dyDescent="0.15">
      <c r="W199" s="206">
        <f>Admin!B199</f>
        <v>46315</v>
      </c>
    </row>
    <row r="200" spans="23:23" x14ac:dyDescent="0.15">
      <c r="W200" s="206">
        <f>Admin!B200</f>
        <v>46316</v>
      </c>
    </row>
    <row r="201" spans="23:23" x14ac:dyDescent="0.15">
      <c r="W201" s="206">
        <f>Admin!B201</f>
        <v>46317</v>
      </c>
    </row>
    <row r="202" spans="23:23" x14ac:dyDescent="0.15">
      <c r="W202" s="206">
        <f>Admin!B202</f>
        <v>46318</v>
      </c>
    </row>
    <row r="203" spans="23:23" x14ac:dyDescent="0.15">
      <c r="W203" s="206">
        <f>Admin!B203</f>
        <v>46319</v>
      </c>
    </row>
    <row r="204" spans="23:23" x14ac:dyDescent="0.15">
      <c r="W204" s="206">
        <f>Admin!B204</f>
        <v>46320</v>
      </c>
    </row>
    <row r="205" spans="23:23" x14ac:dyDescent="0.15">
      <c r="W205" s="206">
        <f>Admin!B205</f>
        <v>46321</v>
      </c>
    </row>
    <row r="206" spans="23:23" x14ac:dyDescent="0.15">
      <c r="W206" s="206">
        <f>Admin!B206</f>
        <v>46322</v>
      </c>
    </row>
    <row r="207" spans="23:23" x14ac:dyDescent="0.15">
      <c r="W207" s="206">
        <f>Admin!B207</f>
        <v>46323</v>
      </c>
    </row>
    <row r="208" spans="23:23" x14ac:dyDescent="0.15">
      <c r="W208" s="206">
        <f>Admin!B208</f>
        <v>46324</v>
      </c>
    </row>
    <row r="209" spans="23:23" x14ac:dyDescent="0.15">
      <c r="W209" s="206">
        <f>Admin!B209</f>
        <v>46325</v>
      </c>
    </row>
    <row r="210" spans="23:23" x14ac:dyDescent="0.15">
      <c r="W210" s="206">
        <f>Admin!B210</f>
        <v>46326</v>
      </c>
    </row>
    <row r="211" spans="23:23" x14ac:dyDescent="0.15">
      <c r="W211" s="206">
        <f>Admin!B211</f>
        <v>46327</v>
      </c>
    </row>
    <row r="212" spans="23:23" x14ac:dyDescent="0.15">
      <c r="W212" s="206">
        <f>Admin!B212</f>
        <v>46328</v>
      </c>
    </row>
    <row r="213" spans="23:23" x14ac:dyDescent="0.15">
      <c r="W213" s="206">
        <f>Admin!B213</f>
        <v>46329</v>
      </c>
    </row>
    <row r="214" spans="23:23" x14ac:dyDescent="0.15">
      <c r="W214" s="206">
        <f>Admin!B214</f>
        <v>46330</v>
      </c>
    </row>
    <row r="215" spans="23:23" x14ac:dyDescent="0.15">
      <c r="W215" s="206">
        <f>Admin!B215</f>
        <v>46331</v>
      </c>
    </row>
    <row r="216" spans="23:23" x14ac:dyDescent="0.15">
      <c r="W216" s="206">
        <f>Admin!B216</f>
        <v>46332</v>
      </c>
    </row>
    <row r="217" spans="23:23" x14ac:dyDescent="0.15">
      <c r="W217" s="206">
        <f>Admin!B217</f>
        <v>46333</v>
      </c>
    </row>
    <row r="218" spans="23:23" x14ac:dyDescent="0.15">
      <c r="W218" s="206">
        <f>Admin!B218</f>
        <v>46334</v>
      </c>
    </row>
    <row r="219" spans="23:23" x14ac:dyDescent="0.15">
      <c r="W219" s="206">
        <f>Admin!B219</f>
        <v>46335</v>
      </c>
    </row>
    <row r="220" spans="23:23" x14ac:dyDescent="0.15">
      <c r="W220" s="206">
        <f>Admin!B220</f>
        <v>46336</v>
      </c>
    </row>
    <row r="221" spans="23:23" x14ac:dyDescent="0.15">
      <c r="W221" s="206">
        <f>Admin!B221</f>
        <v>46337</v>
      </c>
    </row>
    <row r="222" spans="23:23" x14ac:dyDescent="0.15">
      <c r="W222" s="206">
        <f>Admin!B222</f>
        <v>46338</v>
      </c>
    </row>
    <row r="223" spans="23:23" x14ac:dyDescent="0.15">
      <c r="W223" s="206">
        <f>Admin!B223</f>
        <v>46339</v>
      </c>
    </row>
    <row r="224" spans="23:23" x14ac:dyDescent="0.15">
      <c r="W224" s="206">
        <f>Admin!B224</f>
        <v>46340</v>
      </c>
    </row>
    <row r="225" spans="23:23" x14ac:dyDescent="0.15">
      <c r="W225" s="206">
        <f>Admin!B225</f>
        <v>46341</v>
      </c>
    </row>
    <row r="226" spans="23:23" x14ac:dyDescent="0.15">
      <c r="W226" s="206">
        <f>Admin!B226</f>
        <v>46342</v>
      </c>
    </row>
    <row r="227" spans="23:23" x14ac:dyDescent="0.15">
      <c r="W227" s="206">
        <f>Admin!B227</f>
        <v>46343</v>
      </c>
    </row>
    <row r="228" spans="23:23" x14ac:dyDescent="0.15">
      <c r="W228" s="206">
        <f>Admin!B228</f>
        <v>46344</v>
      </c>
    </row>
    <row r="229" spans="23:23" x14ac:dyDescent="0.15">
      <c r="W229" s="206">
        <f>Admin!B229</f>
        <v>46345</v>
      </c>
    </row>
    <row r="230" spans="23:23" x14ac:dyDescent="0.15">
      <c r="W230" s="206">
        <f>Admin!B230</f>
        <v>46346</v>
      </c>
    </row>
    <row r="231" spans="23:23" x14ac:dyDescent="0.15">
      <c r="W231" s="206">
        <f>Admin!B231</f>
        <v>46347</v>
      </c>
    </row>
    <row r="232" spans="23:23" x14ac:dyDescent="0.15">
      <c r="W232" s="206">
        <f>Admin!B232</f>
        <v>46348</v>
      </c>
    </row>
    <row r="233" spans="23:23" x14ac:dyDescent="0.15">
      <c r="W233" s="206">
        <f>Admin!B233</f>
        <v>46349</v>
      </c>
    </row>
    <row r="234" spans="23:23" x14ac:dyDescent="0.15">
      <c r="W234" s="206">
        <f>Admin!B234</f>
        <v>46350</v>
      </c>
    </row>
    <row r="235" spans="23:23" x14ac:dyDescent="0.15">
      <c r="W235" s="206">
        <f>Admin!B235</f>
        <v>46351</v>
      </c>
    </row>
    <row r="236" spans="23:23" x14ac:dyDescent="0.15">
      <c r="W236" s="206">
        <f>Admin!B236</f>
        <v>46352</v>
      </c>
    </row>
    <row r="237" spans="23:23" x14ac:dyDescent="0.15">
      <c r="W237" s="206">
        <f>Admin!B237</f>
        <v>46353</v>
      </c>
    </row>
    <row r="238" spans="23:23" x14ac:dyDescent="0.15">
      <c r="W238" s="206">
        <f>Admin!B238</f>
        <v>46354</v>
      </c>
    </row>
    <row r="239" spans="23:23" x14ac:dyDescent="0.15">
      <c r="W239" s="206">
        <f>Admin!B239</f>
        <v>46355</v>
      </c>
    </row>
    <row r="240" spans="23:23" x14ac:dyDescent="0.15">
      <c r="W240" s="206">
        <f>Admin!B240</f>
        <v>46356</v>
      </c>
    </row>
    <row r="241" spans="23:23" x14ac:dyDescent="0.15">
      <c r="W241" s="206">
        <f>Admin!B241</f>
        <v>46357</v>
      </c>
    </row>
    <row r="242" spans="23:23" x14ac:dyDescent="0.15">
      <c r="W242" s="206">
        <f>Admin!B242</f>
        <v>46358</v>
      </c>
    </row>
    <row r="243" spans="23:23" x14ac:dyDescent="0.15">
      <c r="W243" s="206">
        <f>Admin!B243</f>
        <v>46359</v>
      </c>
    </row>
    <row r="244" spans="23:23" x14ac:dyDescent="0.15">
      <c r="W244" s="206">
        <f>Admin!B244</f>
        <v>46360</v>
      </c>
    </row>
    <row r="245" spans="23:23" x14ac:dyDescent="0.15">
      <c r="W245" s="206">
        <f>Admin!B245</f>
        <v>46361</v>
      </c>
    </row>
    <row r="246" spans="23:23" x14ac:dyDescent="0.15">
      <c r="W246" s="206">
        <f>Admin!B246</f>
        <v>46362</v>
      </c>
    </row>
    <row r="247" spans="23:23" x14ac:dyDescent="0.15">
      <c r="W247" s="206">
        <f>Admin!B247</f>
        <v>46363</v>
      </c>
    </row>
    <row r="248" spans="23:23" x14ac:dyDescent="0.15">
      <c r="W248" s="206">
        <f>Admin!B248</f>
        <v>46364</v>
      </c>
    </row>
    <row r="249" spans="23:23" x14ac:dyDescent="0.15">
      <c r="W249" s="206">
        <f>Admin!B249</f>
        <v>46365</v>
      </c>
    </row>
    <row r="250" spans="23:23" x14ac:dyDescent="0.15">
      <c r="W250" s="206">
        <f>Admin!B250</f>
        <v>46366</v>
      </c>
    </row>
    <row r="251" spans="23:23" x14ac:dyDescent="0.15">
      <c r="W251" s="206">
        <f>Admin!B251</f>
        <v>46367</v>
      </c>
    </row>
    <row r="252" spans="23:23" x14ac:dyDescent="0.15">
      <c r="W252" s="206">
        <f>Admin!B252</f>
        <v>46368</v>
      </c>
    </row>
    <row r="253" spans="23:23" x14ac:dyDescent="0.15">
      <c r="W253" s="206">
        <f>Admin!B253</f>
        <v>46369</v>
      </c>
    </row>
    <row r="254" spans="23:23" x14ac:dyDescent="0.15">
      <c r="W254" s="206">
        <f>Admin!B254</f>
        <v>46370</v>
      </c>
    </row>
    <row r="255" spans="23:23" x14ac:dyDescent="0.15">
      <c r="W255" s="206">
        <f>Admin!B255</f>
        <v>46371</v>
      </c>
    </row>
    <row r="256" spans="23:23" x14ac:dyDescent="0.15">
      <c r="W256" s="206">
        <f>Admin!B256</f>
        <v>46372</v>
      </c>
    </row>
    <row r="257" spans="23:23" x14ac:dyDescent="0.15">
      <c r="W257" s="206">
        <f>Admin!B257</f>
        <v>46373</v>
      </c>
    </row>
    <row r="258" spans="23:23" x14ac:dyDescent="0.15">
      <c r="W258" s="206">
        <f>Admin!B258</f>
        <v>46374</v>
      </c>
    </row>
    <row r="259" spans="23:23" x14ac:dyDescent="0.15">
      <c r="W259" s="206">
        <f>Admin!B259</f>
        <v>46375</v>
      </c>
    </row>
    <row r="260" spans="23:23" x14ac:dyDescent="0.15">
      <c r="W260" s="206">
        <f>Admin!B260</f>
        <v>46376</v>
      </c>
    </row>
    <row r="261" spans="23:23" x14ac:dyDescent="0.15">
      <c r="W261" s="206">
        <f>Admin!B261</f>
        <v>46377</v>
      </c>
    </row>
    <row r="262" spans="23:23" x14ac:dyDescent="0.15">
      <c r="W262" s="206">
        <f>Admin!B262</f>
        <v>46378</v>
      </c>
    </row>
    <row r="263" spans="23:23" x14ac:dyDescent="0.15">
      <c r="W263" s="206">
        <f>Admin!B263</f>
        <v>46379</v>
      </c>
    </row>
    <row r="264" spans="23:23" x14ac:dyDescent="0.15">
      <c r="W264" s="206">
        <f>Admin!B264</f>
        <v>46380</v>
      </c>
    </row>
    <row r="265" spans="23:23" x14ac:dyDescent="0.15">
      <c r="W265" s="206">
        <f>Admin!B265</f>
        <v>46381</v>
      </c>
    </row>
    <row r="266" spans="23:23" x14ac:dyDescent="0.15">
      <c r="W266" s="206">
        <f>Admin!B266</f>
        <v>46382</v>
      </c>
    </row>
    <row r="267" spans="23:23" x14ac:dyDescent="0.15">
      <c r="W267" s="206">
        <f>Admin!B267</f>
        <v>46383</v>
      </c>
    </row>
    <row r="268" spans="23:23" x14ac:dyDescent="0.15">
      <c r="W268" s="206">
        <f>Admin!B268</f>
        <v>46384</v>
      </c>
    </row>
    <row r="269" spans="23:23" x14ac:dyDescent="0.15">
      <c r="W269" s="206">
        <f>Admin!B269</f>
        <v>46385</v>
      </c>
    </row>
    <row r="270" spans="23:23" x14ac:dyDescent="0.15">
      <c r="W270" s="206">
        <f>Admin!B270</f>
        <v>46386</v>
      </c>
    </row>
    <row r="271" spans="23:23" x14ac:dyDescent="0.15">
      <c r="W271" s="206">
        <f>Admin!B271</f>
        <v>46387</v>
      </c>
    </row>
    <row r="272" spans="23:23" x14ac:dyDescent="0.15">
      <c r="W272" s="206">
        <f>Admin!B272</f>
        <v>46388</v>
      </c>
    </row>
    <row r="273" spans="23:23" x14ac:dyDescent="0.15">
      <c r="W273" s="206">
        <f>Admin!B273</f>
        <v>46389</v>
      </c>
    </row>
    <row r="274" spans="23:23" x14ac:dyDescent="0.15">
      <c r="W274" s="206">
        <f>Admin!B274</f>
        <v>46390</v>
      </c>
    </row>
    <row r="275" spans="23:23" x14ac:dyDescent="0.15">
      <c r="W275" s="206">
        <f>Admin!B275</f>
        <v>46391</v>
      </c>
    </row>
    <row r="276" spans="23:23" x14ac:dyDescent="0.15">
      <c r="W276" s="206">
        <f>Admin!B276</f>
        <v>46392</v>
      </c>
    </row>
    <row r="277" spans="23:23" x14ac:dyDescent="0.15">
      <c r="W277" s="206">
        <f>Admin!B277</f>
        <v>46393</v>
      </c>
    </row>
    <row r="278" spans="23:23" x14ac:dyDescent="0.15">
      <c r="W278" s="206">
        <f>Admin!B278</f>
        <v>46394</v>
      </c>
    </row>
    <row r="279" spans="23:23" x14ac:dyDescent="0.15">
      <c r="W279" s="206">
        <f>Admin!B279</f>
        <v>46395</v>
      </c>
    </row>
    <row r="280" spans="23:23" x14ac:dyDescent="0.15">
      <c r="W280" s="206">
        <f>Admin!B280</f>
        <v>46396</v>
      </c>
    </row>
    <row r="281" spans="23:23" x14ac:dyDescent="0.15">
      <c r="W281" s="206">
        <f>Admin!B281</f>
        <v>46397</v>
      </c>
    </row>
    <row r="282" spans="23:23" x14ac:dyDescent="0.15">
      <c r="W282" s="206">
        <f>Admin!B282</f>
        <v>46398</v>
      </c>
    </row>
    <row r="283" spans="23:23" x14ac:dyDescent="0.15">
      <c r="W283" s="206">
        <f>Admin!B283</f>
        <v>46399</v>
      </c>
    </row>
    <row r="284" spans="23:23" x14ac:dyDescent="0.15">
      <c r="W284" s="206">
        <f>Admin!B284</f>
        <v>46400</v>
      </c>
    </row>
    <row r="285" spans="23:23" x14ac:dyDescent="0.15">
      <c r="W285" s="206">
        <f>Admin!B285</f>
        <v>46401</v>
      </c>
    </row>
    <row r="286" spans="23:23" x14ac:dyDescent="0.15">
      <c r="W286" s="206">
        <f>Admin!B286</f>
        <v>46402</v>
      </c>
    </row>
    <row r="287" spans="23:23" x14ac:dyDescent="0.15">
      <c r="W287" s="206">
        <f>Admin!B287</f>
        <v>46403</v>
      </c>
    </row>
    <row r="288" spans="23:23" x14ac:dyDescent="0.15">
      <c r="W288" s="206">
        <f>Admin!B288</f>
        <v>46404</v>
      </c>
    </row>
    <row r="289" spans="23:23" x14ac:dyDescent="0.15">
      <c r="W289" s="206">
        <f>Admin!B289</f>
        <v>46405</v>
      </c>
    </row>
    <row r="290" spans="23:23" x14ac:dyDescent="0.15">
      <c r="W290" s="206">
        <f>Admin!B290</f>
        <v>46406</v>
      </c>
    </row>
    <row r="291" spans="23:23" x14ac:dyDescent="0.15">
      <c r="W291" s="206">
        <f>Admin!B291</f>
        <v>46407</v>
      </c>
    </row>
    <row r="292" spans="23:23" x14ac:dyDescent="0.15">
      <c r="W292" s="206">
        <f>Admin!B292</f>
        <v>46408</v>
      </c>
    </row>
    <row r="293" spans="23:23" x14ac:dyDescent="0.15">
      <c r="W293" s="206">
        <f>Admin!B293</f>
        <v>46409</v>
      </c>
    </row>
    <row r="294" spans="23:23" x14ac:dyDescent="0.15">
      <c r="W294" s="206">
        <f>Admin!B294</f>
        <v>46410</v>
      </c>
    </row>
    <row r="295" spans="23:23" x14ac:dyDescent="0.15">
      <c r="W295" s="206">
        <f>Admin!B295</f>
        <v>46411</v>
      </c>
    </row>
    <row r="296" spans="23:23" x14ac:dyDescent="0.15">
      <c r="W296" s="206">
        <f>Admin!B296</f>
        <v>46412</v>
      </c>
    </row>
    <row r="297" spans="23:23" x14ac:dyDescent="0.15">
      <c r="W297" s="206">
        <f>Admin!B297</f>
        <v>46413</v>
      </c>
    </row>
    <row r="298" spans="23:23" x14ac:dyDescent="0.15">
      <c r="W298" s="206">
        <f>Admin!B298</f>
        <v>46414</v>
      </c>
    </row>
    <row r="299" spans="23:23" x14ac:dyDescent="0.15">
      <c r="W299" s="206">
        <f>Admin!B299</f>
        <v>46415</v>
      </c>
    </row>
    <row r="300" spans="23:23" x14ac:dyDescent="0.15">
      <c r="W300" s="206">
        <f>Admin!B300</f>
        <v>46416</v>
      </c>
    </row>
    <row r="301" spans="23:23" x14ac:dyDescent="0.15">
      <c r="W301" s="206">
        <f>Admin!B301</f>
        <v>46417</v>
      </c>
    </row>
    <row r="302" spans="23:23" x14ac:dyDescent="0.15">
      <c r="W302" s="206">
        <f>Admin!B302</f>
        <v>46418</v>
      </c>
    </row>
    <row r="303" spans="23:23" x14ac:dyDescent="0.15">
      <c r="W303" s="206">
        <f>Admin!B303</f>
        <v>46419</v>
      </c>
    </row>
    <row r="304" spans="23:23" x14ac:dyDescent="0.15">
      <c r="W304" s="206">
        <f>Admin!B304</f>
        <v>46420</v>
      </c>
    </row>
    <row r="305" spans="23:23" x14ac:dyDescent="0.15">
      <c r="W305" s="206">
        <f>Admin!B305</f>
        <v>46421</v>
      </c>
    </row>
    <row r="306" spans="23:23" x14ac:dyDescent="0.15">
      <c r="W306" s="206">
        <f>Admin!B306</f>
        <v>46422</v>
      </c>
    </row>
    <row r="307" spans="23:23" x14ac:dyDescent="0.15">
      <c r="W307" s="206">
        <f>Admin!B307</f>
        <v>46423</v>
      </c>
    </row>
    <row r="308" spans="23:23" x14ac:dyDescent="0.15">
      <c r="W308" s="206">
        <f>Admin!B308</f>
        <v>46424</v>
      </c>
    </row>
    <row r="309" spans="23:23" x14ac:dyDescent="0.15">
      <c r="W309" s="206">
        <f>Admin!B309</f>
        <v>46425</v>
      </c>
    </row>
    <row r="310" spans="23:23" x14ac:dyDescent="0.15">
      <c r="W310" s="206">
        <f>Admin!B310</f>
        <v>46426</v>
      </c>
    </row>
    <row r="311" spans="23:23" x14ac:dyDescent="0.15">
      <c r="W311" s="206">
        <f>Admin!B311</f>
        <v>46427</v>
      </c>
    </row>
    <row r="312" spans="23:23" x14ac:dyDescent="0.15">
      <c r="W312" s="206">
        <f>Admin!B312</f>
        <v>46428</v>
      </c>
    </row>
    <row r="313" spans="23:23" x14ac:dyDescent="0.15">
      <c r="W313" s="206">
        <f>Admin!B313</f>
        <v>46429</v>
      </c>
    </row>
    <row r="314" spans="23:23" x14ac:dyDescent="0.15">
      <c r="W314" s="206">
        <f>Admin!B314</f>
        <v>46430</v>
      </c>
    </row>
    <row r="315" spans="23:23" x14ac:dyDescent="0.15">
      <c r="W315" s="206">
        <f>Admin!B315</f>
        <v>46431</v>
      </c>
    </row>
    <row r="316" spans="23:23" x14ac:dyDescent="0.15">
      <c r="W316" s="206">
        <f>Admin!B316</f>
        <v>46432</v>
      </c>
    </row>
    <row r="317" spans="23:23" x14ac:dyDescent="0.15">
      <c r="W317" s="206">
        <f>Admin!B317</f>
        <v>46433</v>
      </c>
    </row>
    <row r="318" spans="23:23" x14ac:dyDescent="0.15">
      <c r="W318" s="206">
        <f>Admin!B318</f>
        <v>46434</v>
      </c>
    </row>
    <row r="319" spans="23:23" x14ac:dyDescent="0.15">
      <c r="W319" s="206">
        <f>Admin!B319</f>
        <v>46435</v>
      </c>
    </row>
    <row r="320" spans="23:23" x14ac:dyDescent="0.15">
      <c r="W320" s="206">
        <f>Admin!B320</f>
        <v>46436</v>
      </c>
    </row>
    <row r="321" spans="23:23" x14ac:dyDescent="0.15">
      <c r="W321" s="206">
        <f>Admin!B321</f>
        <v>46437</v>
      </c>
    </row>
    <row r="322" spans="23:23" x14ac:dyDescent="0.15">
      <c r="W322" s="206">
        <f>Admin!B322</f>
        <v>46438</v>
      </c>
    </row>
    <row r="323" spans="23:23" x14ac:dyDescent="0.15">
      <c r="W323" s="206">
        <f>Admin!B323</f>
        <v>46439</v>
      </c>
    </row>
    <row r="324" spans="23:23" x14ac:dyDescent="0.15">
      <c r="W324" s="206">
        <f>Admin!B324</f>
        <v>46440</v>
      </c>
    </row>
    <row r="325" spans="23:23" x14ac:dyDescent="0.15">
      <c r="W325" s="206">
        <f>Admin!B325</f>
        <v>46441</v>
      </c>
    </row>
    <row r="326" spans="23:23" x14ac:dyDescent="0.15">
      <c r="W326" s="206">
        <f>Admin!B326</f>
        <v>46442</v>
      </c>
    </row>
    <row r="327" spans="23:23" x14ac:dyDescent="0.15">
      <c r="W327" s="206">
        <f>Admin!B327</f>
        <v>46443</v>
      </c>
    </row>
    <row r="328" spans="23:23" x14ac:dyDescent="0.15">
      <c r="W328" s="206">
        <f>Admin!B328</f>
        <v>46444</v>
      </c>
    </row>
    <row r="329" spans="23:23" x14ac:dyDescent="0.15">
      <c r="W329" s="206">
        <f>Admin!B329</f>
        <v>46445</v>
      </c>
    </row>
    <row r="330" spans="23:23" x14ac:dyDescent="0.15">
      <c r="W330" s="206">
        <f>Admin!B330</f>
        <v>46446</v>
      </c>
    </row>
    <row r="331" spans="23:23" x14ac:dyDescent="0.15">
      <c r="W331" s="206">
        <f>Admin!B331</f>
        <v>46447</v>
      </c>
    </row>
    <row r="332" spans="23:23" x14ac:dyDescent="0.15">
      <c r="W332" s="206">
        <f>Admin!B332</f>
        <v>46448</v>
      </c>
    </row>
    <row r="333" spans="23:23" x14ac:dyDescent="0.15">
      <c r="W333" s="206">
        <f>Admin!B333</f>
        <v>46449</v>
      </c>
    </row>
    <row r="334" spans="23:23" x14ac:dyDescent="0.15">
      <c r="W334" s="206">
        <f>Admin!B334</f>
        <v>46450</v>
      </c>
    </row>
    <row r="335" spans="23:23" x14ac:dyDescent="0.15">
      <c r="W335" s="206">
        <f>Admin!B335</f>
        <v>46451</v>
      </c>
    </row>
    <row r="336" spans="23:23" x14ac:dyDescent="0.15">
      <c r="W336" s="206">
        <f>Admin!B336</f>
        <v>46452</v>
      </c>
    </row>
    <row r="337" spans="23:23" x14ac:dyDescent="0.15">
      <c r="W337" s="206">
        <f>Admin!B337</f>
        <v>46453</v>
      </c>
    </row>
    <row r="338" spans="23:23" x14ac:dyDescent="0.15">
      <c r="W338" s="206">
        <f>Admin!B338</f>
        <v>46454</v>
      </c>
    </row>
    <row r="339" spans="23:23" x14ac:dyDescent="0.15">
      <c r="W339" s="206">
        <f>Admin!B339</f>
        <v>46455</v>
      </c>
    </row>
    <row r="340" spans="23:23" x14ac:dyDescent="0.15">
      <c r="W340" s="206">
        <f>Admin!B340</f>
        <v>46456</v>
      </c>
    </row>
    <row r="341" spans="23:23" x14ac:dyDescent="0.15">
      <c r="W341" s="206">
        <f>Admin!B341</f>
        <v>46457</v>
      </c>
    </row>
    <row r="342" spans="23:23" x14ac:dyDescent="0.15">
      <c r="W342" s="206">
        <f>Admin!B342</f>
        <v>46458</v>
      </c>
    </row>
    <row r="343" spans="23:23" x14ac:dyDescent="0.15">
      <c r="W343" s="206">
        <f>Admin!B343</f>
        <v>46459</v>
      </c>
    </row>
    <row r="344" spans="23:23" x14ac:dyDescent="0.15">
      <c r="W344" s="206">
        <f>Admin!B344</f>
        <v>46460</v>
      </c>
    </row>
    <row r="345" spans="23:23" x14ac:dyDescent="0.15">
      <c r="W345" s="206">
        <f>Admin!B345</f>
        <v>46461</v>
      </c>
    </row>
    <row r="346" spans="23:23" x14ac:dyDescent="0.15">
      <c r="W346" s="206">
        <f>Admin!B346</f>
        <v>46462</v>
      </c>
    </row>
    <row r="347" spans="23:23" x14ac:dyDescent="0.15">
      <c r="W347" s="206">
        <f>Admin!B347</f>
        <v>46463</v>
      </c>
    </row>
    <row r="348" spans="23:23" x14ac:dyDescent="0.15">
      <c r="W348" s="206">
        <f>Admin!B348</f>
        <v>46464</v>
      </c>
    </row>
    <row r="349" spans="23:23" x14ac:dyDescent="0.15">
      <c r="W349" s="206">
        <f>Admin!B349</f>
        <v>46465</v>
      </c>
    </row>
    <row r="350" spans="23:23" x14ac:dyDescent="0.15">
      <c r="W350" s="206">
        <f>Admin!B350</f>
        <v>46466</v>
      </c>
    </row>
    <row r="351" spans="23:23" x14ac:dyDescent="0.15">
      <c r="W351" s="206">
        <f>Admin!B351</f>
        <v>46467</v>
      </c>
    </row>
    <row r="352" spans="23:23" x14ac:dyDescent="0.15">
      <c r="W352" s="206">
        <f>Admin!B352</f>
        <v>46468</v>
      </c>
    </row>
    <row r="353" spans="23:23" x14ac:dyDescent="0.15">
      <c r="W353" s="206">
        <f>Admin!B353</f>
        <v>46469</v>
      </c>
    </row>
    <row r="354" spans="23:23" x14ac:dyDescent="0.15">
      <c r="W354" s="206">
        <f>Admin!B354</f>
        <v>46470</v>
      </c>
    </row>
    <row r="355" spans="23:23" x14ac:dyDescent="0.15">
      <c r="W355" s="206">
        <f>Admin!B355</f>
        <v>46471</v>
      </c>
    </row>
    <row r="356" spans="23:23" x14ac:dyDescent="0.15">
      <c r="W356" s="206">
        <f>Admin!B356</f>
        <v>46472</v>
      </c>
    </row>
    <row r="357" spans="23:23" x14ac:dyDescent="0.15">
      <c r="W357" s="206">
        <f>Admin!B357</f>
        <v>46473</v>
      </c>
    </row>
    <row r="358" spans="23:23" x14ac:dyDescent="0.15">
      <c r="W358" s="206">
        <f>Admin!B358</f>
        <v>46474</v>
      </c>
    </row>
    <row r="359" spans="23:23" x14ac:dyDescent="0.15">
      <c r="W359" s="206">
        <f>Admin!B359</f>
        <v>46475</v>
      </c>
    </row>
    <row r="360" spans="23:23" x14ac:dyDescent="0.15">
      <c r="W360" s="206">
        <f>Admin!B360</f>
        <v>46476</v>
      </c>
    </row>
    <row r="361" spans="23:23" x14ac:dyDescent="0.15">
      <c r="W361" s="206">
        <f>Admin!B361</f>
        <v>46477</v>
      </c>
    </row>
    <row r="362" spans="23:23" x14ac:dyDescent="0.15">
      <c r="W362" s="206">
        <f>Admin!B362</f>
        <v>46478</v>
      </c>
    </row>
    <row r="363" spans="23:23" x14ac:dyDescent="0.15">
      <c r="W363" s="206">
        <f>Admin!B363</f>
        <v>46479</v>
      </c>
    </row>
    <row r="364" spans="23:23" x14ac:dyDescent="0.15">
      <c r="W364" s="206">
        <f>Admin!B364</f>
        <v>46480</v>
      </c>
    </row>
    <row r="365" spans="23:23" x14ac:dyDescent="0.15">
      <c r="W365" s="206">
        <f>Admin!B365</f>
        <v>46481</v>
      </c>
    </row>
    <row r="366" spans="23:23" x14ac:dyDescent="0.15">
      <c r="W366" s="206">
        <f>Admin!B366</f>
        <v>46482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46118</v>
      </c>
      <c r="L9" s="200" t="s">
        <v>76</v>
      </c>
      <c r="M9" s="202">
        <f>K9+(7-WEEKDAY(K9, 2))</f>
        <v>46124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46125</v>
      </c>
      <c r="L19" s="200" t="s">
        <v>76</v>
      </c>
      <c r="M19" s="202">
        <f>K19+6</f>
        <v>46131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46132</v>
      </c>
      <c r="L29" s="200" t="s">
        <v>76</v>
      </c>
      <c r="M29" s="202">
        <f>K29+6</f>
        <v>46138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46139</v>
      </c>
      <c r="L39" s="200" t="s">
        <v>76</v>
      </c>
      <c r="M39" s="202">
        <f>K39+6</f>
        <v>46145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DATE(2025,12,1)</f>
        <v>45992</v>
      </c>
      <c r="L49" s="203" t="s">
        <v>76</v>
      </c>
      <c r="M49" s="205">
        <f>DATE(2025,12,31)</f>
        <v>46022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Dec!H3:H6</f>
        <v>Statutory Pay</v>
      </c>
      <c r="I3" s="365" t="str">
        <f>Dec!I3:I6</f>
        <v>Basic hours</v>
      </c>
      <c r="J3" s="365" t="str">
        <f>Dec!J3:J6</f>
        <v>Hourly rate</v>
      </c>
      <c r="K3" s="365" t="str">
        <f>Dec!K3:K6</f>
        <v>Basic    wages</v>
      </c>
      <c r="L3" s="365" t="str">
        <f>Dec!L3:L6</f>
        <v>Overtime Bonus Gratuities</v>
      </c>
      <c r="M3" s="428" t="str">
        <f>Dec!M3:M6</f>
        <v>GROSS WAGES</v>
      </c>
      <c r="N3" s="365" t="str">
        <f>Dec!N3:N6</f>
        <v>Income Tax</v>
      </c>
      <c r="O3" s="365" t="str">
        <f>Dec!O3:O6</f>
        <v>Employees National Insurance</v>
      </c>
      <c r="P3" s="365" t="str">
        <f>Dec!P3:P6</f>
        <v>Student Loans</v>
      </c>
      <c r="Q3" s="365" t="str">
        <f>Dec!Q3:Q6</f>
        <v>Other Deductions</v>
      </c>
      <c r="R3" s="428" t="str">
        <f>Dec!R3:R6</f>
        <v>NET      PAY</v>
      </c>
      <c r="S3" s="42"/>
      <c r="T3" s="365" t="str">
        <f>Dec!T3:T6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Dec!M39+1</f>
        <v>46146</v>
      </c>
      <c r="L9" s="203" t="s">
        <v>76</v>
      </c>
      <c r="M9" s="205">
        <f>K9+6</f>
        <v>46152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IF(T$9="Y",Dec!H41,0)</f>
        <v>0</v>
      </c>
      <c r="I11" s="89">
        <f>IF(T$9="Y",Dec!I41,0)</f>
        <v>0</v>
      </c>
      <c r="J11" s="89">
        <f>IF(T$9="Y",Dec!J41,0)</f>
        <v>0</v>
      </c>
      <c r="K11" s="89">
        <f>IF(T$9="Y",Dec!K41,I11*J11)</f>
        <v>0</v>
      </c>
      <c r="L11" s="110">
        <f>IF(T$9="Y",Dec!L41,0)</f>
        <v>0</v>
      </c>
      <c r="M11" s="110" t="str">
        <f>IF(E11=" "," ",IF(T$9="Y",Dec!M41,IF((H11+K11+L11)&gt;0,H11+K11+L11,"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IF(Employee!H$34=E$9,Employee!D$34+SUM(M11)+Dec!V41,SUM(M11)+Dec!V41)</f>
        <v>0</v>
      </c>
      <c r="W11" s="49">
        <f>IF(Employee!H$34=E$9,Employee!D$35+SUM(N11)+Dec!W41,SUM(N11)+Dec!W41)</f>
        <v>0</v>
      </c>
      <c r="X11" s="49">
        <f>IF(O11=" ",Dec!X41,O11+Dec!X41)</f>
        <v>0</v>
      </c>
      <c r="Y11" s="49">
        <f>IF(P11=" ",Dec!Y41,P11+Dec!Y41)</f>
        <v>0</v>
      </c>
      <c r="Z11" s="49">
        <f>IF(Q11=" ",Dec!Z41,Q11+Dec!Z41)</f>
        <v>0</v>
      </c>
      <c r="AA11" s="49">
        <f>IF(R11=" ",Dec!AA41,R11+Dec!AA41)</f>
        <v>0</v>
      </c>
      <c r="AC11" s="49">
        <f>IF(T11=" ",Dec!AC41,T11+Dec!AC41)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IF(T$9="Y",Dec!H42,0)</f>
        <v>0</v>
      </c>
      <c r="I12" s="92">
        <f>IF(T$9="Y",Dec!I42,0)</f>
        <v>0</v>
      </c>
      <c r="J12" s="92">
        <f>IF(T$9="Y",Dec!J42,0)</f>
        <v>0</v>
      </c>
      <c r="K12" s="92">
        <f>IF(T$9="Y",Dec!K42,I12*J12)</f>
        <v>0</v>
      </c>
      <c r="L12" s="111">
        <f>IF(T$9="Y",Dec!L42,0)</f>
        <v>0</v>
      </c>
      <c r="M12" s="111" t="str">
        <f>IF(E12=" "," ",IF(T$9="Y",Dec!M42,IF((H12+K12+L12)&gt;0,H12+K12+L12,"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IF(Employee!H$60=E$9,Employee!D$60+SUM(M12)+Dec!V42,SUM(M12)+Dec!V42)</f>
        <v>0</v>
      </c>
      <c r="W12" s="49">
        <f>IF(Employee!H$60=E$9,Employee!D$61+SUM(N12)+Dec!W42,SUM(N12)+Dec!W42)</f>
        <v>0</v>
      </c>
      <c r="X12" s="49">
        <f>IF(O12=" ",Dec!X42,O12+Dec!X42)</f>
        <v>0</v>
      </c>
      <c r="Y12" s="49">
        <f>IF(P12=" ",Dec!Y42,P12+Dec!Y42)</f>
        <v>0</v>
      </c>
      <c r="Z12" s="49">
        <f>IF(Q12=" ",Dec!Z42,Q12+Dec!Z42)</f>
        <v>0</v>
      </c>
      <c r="AA12" s="49">
        <f>IF(R12=" ",Dec!AA42,R12+Dec!AA42)</f>
        <v>0</v>
      </c>
      <c r="AC12" s="49">
        <f>IF(T12=" ",Dec!AC42,T12+Dec!AC42)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IF(T$9="Y",Dec!H43,0)</f>
        <v>0</v>
      </c>
      <c r="I13" s="92">
        <f>IF(T$9="Y",Dec!I43,0)</f>
        <v>0</v>
      </c>
      <c r="J13" s="92">
        <f>IF(T$9="Y",Dec!J43,0)</f>
        <v>0</v>
      </c>
      <c r="K13" s="92">
        <f>IF(T$9="Y",Dec!K43,I13*J13)</f>
        <v>0</v>
      </c>
      <c r="L13" s="111">
        <f>IF(T$9="Y",Dec!L43,0)</f>
        <v>0</v>
      </c>
      <c r="M13" s="111" t="str">
        <f>IF(E13=" "," ",IF(T$9="Y",Dec!M43,IF((H13+K13+L13)&gt;0,H13+K13+L13,"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IF(Employee!H$86=E$9,Employee!D$86+SUM(M13)+Dec!V43,SUM(M13)+Dec!V43)</f>
        <v>0</v>
      </c>
      <c r="W13" s="49">
        <f>IF(Employee!H$86=E$9,Employee!D$87+SUM(N13)+Dec!W43,SUM(N13)+Dec!W43)</f>
        <v>0</v>
      </c>
      <c r="X13" s="49">
        <f>IF(O13=" ",Dec!X43,O13+Dec!X43)</f>
        <v>0</v>
      </c>
      <c r="Y13" s="49">
        <f>IF(P13=" ",Dec!Y43,P13+Dec!Y43)</f>
        <v>0</v>
      </c>
      <c r="Z13" s="49">
        <f>IF(Q13=" ",Dec!Z43,Q13+Dec!Z43)</f>
        <v>0</v>
      </c>
      <c r="AA13" s="49">
        <f>IF(R13=" ",Dec!AA43,R13+Dec!AA43)</f>
        <v>0</v>
      </c>
      <c r="AC13" s="49">
        <f>IF(T13=" ",Dec!AC43,T13+Dec!AC43)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IF(T$9="Y",Dec!H44,0)</f>
        <v>0</v>
      </c>
      <c r="I14" s="92">
        <f>IF(T$9="Y",Dec!I44,0)</f>
        <v>0</v>
      </c>
      <c r="J14" s="92">
        <f>IF(T$9="Y",Dec!J44,0)</f>
        <v>0</v>
      </c>
      <c r="K14" s="92">
        <f>IF(T$9="Y",Dec!K44,I14*J14)</f>
        <v>0</v>
      </c>
      <c r="L14" s="111">
        <f>IF(T$9="Y",Dec!L44,0)</f>
        <v>0</v>
      </c>
      <c r="M14" s="111" t="str">
        <f>IF(E14=" "," ",IF(T$9="Y",Dec!M44,IF((H14+K14+L14)&gt;0,H14+K14+L14,"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IF(Employee!H$112=E$9,Employee!D$112+SUM(M14)+Dec!V44,SUM(M14)+Dec!V44)</f>
        <v>0</v>
      </c>
      <c r="W14" s="49">
        <f>IF(Employee!H$112=E$9,Employee!D$113+SUM(N14)+Dec!W44,SUM(N14)+Dec!W44)</f>
        <v>0</v>
      </c>
      <c r="X14" s="49">
        <f>IF(O14=" ",Dec!X44,O14+Dec!X44)</f>
        <v>0</v>
      </c>
      <c r="Y14" s="49">
        <f>IF(P14=" ",Dec!Y44,P14+Dec!Y44)</f>
        <v>0</v>
      </c>
      <c r="Z14" s="49">
        <f>IF(Q14=" ",Dec!Z44,Q14+Dec!Z44)</f>
        <v>0</v>
      </c>
      <c r="AA14" s="49">
        <f>IF(R14=" ",Dec!AA44,R14+Dec!AA44)</f>
        <v>0</v>
      </c>
      <c r="AC14" s="49">
        <f>IF(T14=" ",Dec!AC44,T14+Dec!AC44)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IF(T$9="Y",Dec!H45,0)</f>
        <v>0</v>
      </c>
      <c r="I15" s="245">
        <f>IF(T$9="Y",Dec!I45,0)</f>
        <v>0</v>
      </c>
      <c r="J15" s="245">
        <f>IF(T$9="Y",Dec!J45,0)</f>
        <v>0</v>
      </c>
      <c r="K15" s="245">
        <f>IF(T$9="Y",Dec!K45,I15*J15)</f>
        <v>0</v>
      </c>
      <c r="L15" s="246">
        <f>IF(T$9="Y",Dec!L45,0)</f>
        <v>0</v>
      </c>
      <c r="M15" s="111" t="str">
        <f>IF(E15=" "," ",IF(T$9="Y",Dec!M45,IF((H15+K15+L15)&gt;0,H15+K15+L15,"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IF(Employee!H$138=E$9,Employee!D$138+SUM(M15)+Dec!V45,SUM(M15)+Dec!V45)</f>
        <v>0</v>
      </c>
      <c r="W15" s="49">
        <f>IF(Employee!H$138=E$9,Employee!D$139+SUM(N15)+Dec!W45,SUM(N15)+Dec!W45)</f>
        <v>0</v>
      </c>
      <c r="X15" s="49">
        <f>IF(O15=" ",Dec!X45,O15+Dec!X45)</f>
        <v>0</v>
      </c>
      <c r="Y15" s="49">
        <f>IF(P15=" ",Dec!Y45,P15+Dec!Y45)</f>
        <v>0</v>
      </c>
      <c r="Z15" s="49">
        <f>IF(Q15=" ",Dec!Z45,Q15+Dec!Z45)</f>
        <v>0</v>
      </c>
      <c r="AA15" s="49">
        <f>IF(R15=" ",Dec!AA45,R15+Dec!AA45)</f>
        <v>0</v>
      </c>
      <c r="AC15" s="49">
        <f>IF(T15=" ",Dec!AC45,T15+Dec!AC45)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46153</v>
      </c>
      <c r="L19" s="203" t="s">
        <v>76</v>
      </c>
      <c r="M19" s="205">
        <f>K19+6</f>
        <v>46159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46160</v>
      </c>
      <c r="L29" s="203" t="s">
        <v>76</v>
      </c>
      <c r="M29" s="205">
        <f>K29+6</f>
        <v>46166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46167</v>
      </c>
      <c r="L39" s="203" t="s">
        <v>76</v>
      </c>
      <c r="M39" s="205">
        <f>K39+6</f>
        <v>46173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DATE(2026,1,1)</f>
        <v>46023</v>
      </c>
      <c r="L49" s="203" t="s">
        <v>76</v>
      </c>
      <c r="M49" s="205">
        <f>DATE(2026,1,31)</f>
        <v>46053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IF(T$49="Y",Dec!H51,0)</f>
        <v>0</v>
      </c>
      <c r="I51" s="89">
        <f>IF(T$49="Y",Dec!I51,0)</f>
        <v>0</v>
      </c>
      <c r="J51" s="89">
        <f>IF(T$49="Y",Dec!J51,0)</f>
        <v>0</v>
      </c>
      <c r="K51" s="89">
        <f>IF(T$49="Y",Dec!K51,I51*J51)</f>
        <v>0</v>
      </c>
      <c r="L51" s="110">
        <f>IF(T$49="Y",Dec!L51,0)</f>
        <v>0</v>
      </c>
      <c r="M51" s="99" t="str">
        <f>IF(E51=" "," ",IF(T$49="Y",Dec!M51,IF((H51+K51+L51)&gt;0,H51+K51+L51,"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IF(Employee!H$35=E$49,Employee!D$34+SUM(M51)+Dec!V51,SUM(M51)+Dec!V51)</f>
        <v>0</v>
      </c>
      <c r="W51" s="49">
        <f>IF(Employee!H$35=E$49,Employee!D$35+SUM(N51)+Dec!W51,SUM(N51)+Dec!W51)</f>
        <v>0</v>
      </c>
      <c r="X51" s="49">
        <f>IF(O51=" ",Dec!X51,O51+Dec!X51)</f>
        <v>0</v>
      </c>
      <c r="Y51" s="49">
        <f>IF(P51=" ",Dec!Y51,P51+Dec!Y51)</f>
        <v>0</v>
      </c>
      <c r="Z51" s="49">
        <f>IF(Q51=" ",Dec!Z51,Q51+Dec!Z51)</f>
        <v>0</v>
      </c>
      <c r="AA51" s="49">
        <f>IF(R51=" ",Dec!AA51,R51+Dec!AA51)</f>
        <v>0</v>
      </c>
      <c r="AC51" s="49">
        <f>IF(T51=" ",Dec!AC51,T51+Dec!AC51)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IF(T$49="Y",Dec!H52,0)</f>
        <v>0</v>
      </c>
      <c r="I52" s="92">
        <f>IF(T$49="Y",Dec!I52,0)</f>
        <v>0</v>
      </c>
      <c r="J52" s="92">
        <f>IF(T$49="Y",Dec!J52,0)</f>
        <v>0</v>
      </c>
      <c r="K52" s="92">
        <f>IF(T$49="Y",Dec!K52,I52*J52)</f>
        <v>0</v>
      </c>
      <c r="L52" s="111">
        <f>IF(T$49="Y",Dec!L52,0)</f>
        <v>0</v>
      </c>
      <c r="M52" s="100" t="str">
        <f>IF(E52=" "," ",IF(T$49="Y",Dec!M52,IF((H52+K52+L52)&gt;0,H52+K52+L52,"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IF(Employee!H$61=E$49,Employee!D$60+SUM(M52)+Dec!V52,SUM(M52)+Dec!V52)</f>
        <v>0</v>
      </c>
      <c r="W52" s="49">
        <f>IF(Employee!H$61=E$49,Employee!D$61+SUM(N52)+Dec!W52,SUM(N52)+Dec!W52)</f>
        <v>0</v>
      </c>
      <c r="X52" s="49">
        <f>IF(O52=" ",Dec!X52,O52+Dec!X52)</f>
        <v>0</v>
      </c>
      <c r="Y52" s="49">
        <f>IF(P52=" ",Dec!Y52,P52+Dec!Y52)</f>
        <v>0</v>
      </c>
      <c r="Z52" s="49">
        <f>IF(Q52=" ",Dec!Z52,Q52+Dec!Z52)</f>
        <v>0</v>
      </c>
      <c r="AA52" s="49">
        <f>IF(R52=" ",Dec!AA52,R52+Dec!AA52)</f>
        <v>0</v>
      </c>
      <c r="AC52" s="49">
        <f>IF(T52=" ",Dec!AC52,T52+Dec!AC52)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IF(T$49="Y",Dec!H53,0)</f>
        <v>0</v>
      </c>
      <c r="I53" s="92">
        <f>IF(T$49="Y",Dec!I53,0)</f>
        <v>0</v>
      </c>
      <c r="J53" s="92">
        <f>IF(T$49="Y",Dec!J53,0)</f>
        <v>0</v>
      </c>
      <c r="K53" s="92">
        <f>IF(T$49="Y",Dec!K53,I53*J53)</f>
        <v>0</v>
      </c>
      <c r="L53" s="111">
        <f>IF(T$49="Y",Dec!L53,0)</f>
        <v>0</v>
      </c>
      <c r="M53" s="100" t="str">
        <f>IF(E53=" "," ",IF(T$49="Y",Dec!M53,IF((H53+K53+L53)&gt;0,H53+K53+L53,"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IF(Employee!H$87=E$49,Employee!D$86+SUM(M53)+Dec!V53,SUM(M53)+Dec!V53)</f>
        <v>0</v>
      </c>
      <c r="W53" s="49">
        <f>IF(Employee!H$87=E$49,Employee!D$7+SUM(N53)+Dec!W53,SUM(N53)+Dec!W53)</f>
        <v>0</v>
      </c>
      <c r="X53" s="49">
        <f>IF(O53=" ",Dec!X53,O53+Dec!X53)</f>
        <v>0</v>
      </c>
      <c r="Y53" s="49">
        <f>IF(P53=" ",Dec!Y53,P53+Dec!Y53)</f>
        <v>0</v>
      </c>
      <c r="Z53" s="49">
        <f>IF(Q53=" ",Dec!Z53,Q53+Dec!Z53)</f>
        <v>0</v>
      </c>
      <c r="AA53" s="49">
        <f>IF(R53=" ",Dec!AA53,R53+Dec!AA53)</f>
        <v>0</v>
      </c>
      <c r="AC53" s="49">
        <f>IF(T53=" ",Dec!AC53,T53+Dec!AC53)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IF(T$49="Y",Dec!H54,0)</f>
        <v>0</v>
      </c>
      <c r="I54" s="92">
        <f>IF(T$49="Y",Dec!I54,0)</f>
        <v>0</v>
      </c>
      <c r="J54" s="92">
        <f>IF(T$49="Y",Dec!J54,0)</f>
        <v>0</v>
      </c>
      <c r="K54" s="92">
        <f>IF(T$49="Y",Dec!K54,I54*J54)</f>
        <v>0</v>
      </c>
      <c r="L54" s="111">
        <f>IF(T$49="Y",Dec!L54,0)</f>
        <v>0</v>
      </c>
      <c r="M54" s="100" t="str">
        <f>IF(E54=" "," ",IF(T$49="Y",Dec!M54,IF((H54+K54+L54)&gt;0,H54+K54+L54,"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IF(Employee!H$113=E$49,Employee!D$112+SUM(M54)+Dec!V54,SUM(M54)+Dec!V54)</f>
        <v>0</v>
      </c>
      <c r="W54" s="49">
        <f>IF(Employee!H$113=E$49,Employee!D$113+SUM(N54)+Dec!W54,SUM(N54)+Dec!W54)</f>
        <v>0</v>
      </c>
      <c r="X54" s="49">
        <f>IF(O54=" ",Dec!X54,O54+Dec!X54)</f>
        <v>0</v>
      </c>
      <c r="Y54" s="49">
        <f>IF(P54=" ",Dec!Y54,P54+Dec!Y54)</f>
        <v>0</v>
      </c>
      <c r="Z54" s="49">
        <f>IF(Q54=" ",Dec!Z54,Q54+Dec!Z54)</f>
        <v>0</v>
      </c>
      <c r="AA54" s="49">
        <f>IF(R54=" ",Dec!AA54,R54+Dec!AA54)</f>
        <v>0</v>
      </c>
      <c r="AC54" s="49">
        <f>IF(T54=" ",Dec!AC54,T54+Dec!AC54)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IF(T$49="Y",Dec!H55,0)</f>
        <v>0</v>
      </c>
      <c r="I55" s="245">
        <f>IF(T$49="Y",Dec!I55,0)</f>
        <v>0</v>
      </c>
      <c r="J55" s="245">
        <f>IF(T$49="Y",Dec!J55,0)</f>
        <v>0</v>
      </c>
      <c r="K55" s="245">
        <f>IF(T$49="Y",Dec!K55,I55*J55)</f>
        <v>0</v>
      </c>
      <c r="L55" s="246">
        <f>IF(T$49="Y",Dec!L55,0)</f>
        <v>0</v>
      </c>
      <c r="M55" s="100" t="str">
        <f>IF(E55=" "," ",IF(T$49="Y",Dec!M55,IF((H55+K55+L55)&gt;0,H55+K55+L55,"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IF(Employee!H$139=E$49,Employee!D$138+SUM(M55)+Dec!V55,SUM(M55)+Dec!V55)</f>
        <v>0</v>
      </c>
      <c r="W55" s="49">
        <f>IF(Employee!H$139=E$49,Employee!D$139+SUM(N55)+Dec!W55,SUM(N55)+Dec!W55)</f>
        <v>0</v>
      </c>
      <c r="X55" s="49">
        <f>IF(O55=" ",Dec!X55,O55+Dec!X55)</f>
        <v>0</v>
      </c>
      <c r="Y55" s="49">
        <f>IF(P55=" ",Dec!Y55,P55+Dec!Y55)</f>
        <v>0</v>
      </c>
      <c r="Z55" s="49">
        <f>IF(Q55=" ",Dec!Z55,Q55+Dec!Z55)</f>
        <v>0</v>
      </c>
      <c r="AA55" s="49">
        <f>IF(R55=" ",Dec!AA55,R55+Dec!AA55)</f>
        <v>0</v>
      </c>
      <c r="AC55" s="49">
        <f>IF(T55=" ",Dec!AC55,T55+Dec!AC55)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AD60+Dec!AD65</f>
        <v>0</v>
      </c>
      <c r="AE65" s="158">
        <f>AE60+Dec!AE65</f>
        <v>0</v>
      </c>
      <c r="AF65" s="158">
        <f>AF60+Dec!AF65</f>
        <v>0</v>
      </c>
      <c r="AG65" s="158">
        <f>AG60+Dec!AG65</f>
        <v>0</v>
      </c>
    </row>
    <row r="66" spans="6:33" ht="14" thickTop="1" x14ac:dyDescent="0.15"/>
    <row r="67" spans="6:33" x14ac:dyDescent="0.15">
      <c r="AD67" s="162"/>
      <c r="AE67" s="158">
        <f>AE62+Dec!AE67</f>
        <v>0</v>
      </c>
      <c r="AF67" s="158">
        <f>AF62+Dec!AF67</f>
        <v>0</v>
      </c>
      <c r="AG67" s="158">
        <f>AG62+Dec!AG67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Dec!H3:H6</f>
        <v>Statutory Pay</v>
      </c>
      <c r="I3" s="365" t="str">
        <f>Dec!I3:I6</f>
        <v>Basic hours</v>
      </c>
      <c r="J3" s="365" t="str">
        <f>Dec!J3:J6</f>
        <v>Hourly rate</v>
      </c>
      <c r="K3" s="365" t="str">
        <f>Dec!K3:K6</f>
        <v>Basic    wages</v>
      </c>
      <c r="L3" s="365" t="str">
        <f>Dec!L3:L6</f>
        <v>Overtime Bonus Gratuities</v>
      </c>
      <c r="M3" s="428" t="str">
        <f>Dec!M3:M6</f>
        <v>GROSS WAGES</v>
      </c>
      <c r="N3" s="365" t="str">
        <f>Dec!N3:N6</f>
        <v>Income Tax</v>
      </c>
      <c r="O3" s="365" t="str">
        <f>Dec!O3:O6</f>
        <v>Employees National Insurance</v>
      </c>
      <c r="P3" s="365" t="str">
        <f>Dec!P3:P6</f>
        <v>Student Loans</v>
      </c>
      <c r="Q3" s="365" t="str">
        <f>Dec!Q3:Q6</f>
        <v>Other Deductions</v>
      </c>
      <c r="R3" s="428" t="str">
        <f>Dec!R3:R6</f>
        <v>NET      PAY</v>
      </c>
      <c r="S3" s="42"/>
      <c r="T3" s="365" t="str">
        <f>Dec!T3:T6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Jan!M39+1</f>
        <v>46174</v>
      </c>
      <c r="L9" s="203" t="s">
        <v>76</v>
      </c>
      <c r="M9" s="205">
        <f>K9+6</f>
        <v>46180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46181</v>
      </c>
      <c r="L19" s="203" t="s">
        <v>76</v>
      </c>
      <c r="M19" s="205">
        <f>K19+6</f>
        <v>46187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46188</v>
      </c>
      <c r="L29" s="203" t="s">
        <v>76</v>
      </c>
      <c r="M29" s="205">
        <f>K29+6</f>
        <v>46194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46195</v>
      </c>
      <c r="L39" s="203" t="s">
        <v>76</v>
      </c>
      <c r="M39" s="205">
        <f>K39+6</f>
        <v>46201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46202</v>
      </c>
      <c r="L49" s="203" t="s">
        <v>76</v>
      </c>
      <c r="M49" s="205">
        <f>K49+6</f>
        <v>46208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DATE(2026,2,1)</f>
        <v>46054</v>
      </c>
      <c r="L59" s="203" t="s">
        <v>76</v>
      </c>
      <c r="M59" s="205">
        <f>DATE(2026,2,28)</f>
        <v>46081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IF(T$59="Y",Jan!H51,0)</f>
        <v>0</v>
      </c>
      <c r="I61" s="89">
        <f>IF(T$59="Y",Jan!I51,0)</f>
        <v>0</v>
      </c>
      <c r="J61" s="89">
        <f>IF(T$59="Y",Jan!J51,0)</f>
        <v>0</v>
      </c>
      <c r="K61" s="89">
        <f>IF(T$59="Y",Jan!K51,I61*J61)</f>
        <v>0</v>
      </c>
      <c r="L61" s="110">
        <f>IF(T$59="Y",Jan!L51,0)</f>
        <v>0</v>
      </c>
      <c r="M61" s="99" t="str">
        <f>IF(E61=" "," ",IF(T$59="Y",Jan!M51,IF((H61+K61+L61)&gt;0,H61+K61+L61,"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IF(Employee!H$35=E$59,Employee!D$34+SUM(M61)+Jan!V51,SUM(M61)+Jan!V51)</f>
        <v>0</v>
      </c>
      <c r="W61" s="49">
        <f>IF(Employee!H$35=E$59,Employee!D$35+SUM(N61)+Jan!W51,SUM(N61)+Jan!W51)</f>
        <v>0</v>
      </c>
      <c r="X61" s="49">
        <f>IF(O61=" ",Jan!X51,O61+Jan!X51)</f>
        <v>0</v>
      </c>
      <c r="Y61" s="49">
        <f>IF(P61=" ",Jan!Y51,P61+Jan!Y51)</f>
        <v>0</v>
      </c>
      <c r="Z61" s="49">
        <f>IF(Q61=" ",Jan!Z51,Q61+Jan!Z51)</f>
        <v>0</v>
      </c>
      <c r="AA61" s="49">
        <f>IF(R61=" ",Jan!AA51,R61+Jan!AA51)</f>
        <v>0</v>
      </c>
      <c r="AC61" s="49">
        <f>IF(T61=" ",Jan!AC51,T61+Jan!AC51)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IF(T$59="Y",Jan!H52,0)</f>
        <v>0</v>
      </c>
      <c r="I62" s="92">
        <f>IF(T$59="Y",Jan!I52,0)</f>
        <v>0</v>
      </c>
      <c r="J62" s="92">
        <f>IF(T$59="Y",Jan!J52,0)</f>
        <v>0</v>
      </c>
      <c r="K62" s="92">
        <f>IF(T$59="Y",Jan!K52,I62*J62)</f>
        <v>0</v>
      </c>
      <c r="L62" s="111">
        <f>IF(T$59="Y",Jan!L52,0)</f>
        <v>0</v>
      </c>
      <c r="M62" s="100" t="str">
        <f>IF(E62=" "," ",IF(T$59="Y",Jan!M52,IF((H62+K62+L62)&gt;0,H62+K62+L62,"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IF(Employee!H$61=E$59,Employee!D$60+SUM(M62)+Jan!V52,SUM(M62)+Jan!V52)</f>
        <v>0</v>
      </c>
      <c r="W62" s="49">
        <f>IF(Employee!H$61=E$59,Employee!D$61+SUM(N62)+Jan!W52,SUM(N62)+Jan!W52)</f>
        <v>0</v>
      </c>
      <c r="X62" s="49">
        <f>IF(O62=" ",Jan!X52,O62+Jan!X52)</f>
        <v>0</v>
      </c>
      <c r="Y62" s="49">
        <f>IF(P62=" ",Jan!Y52,P62+Jan!Y52)</f>
        <v>0</v>
      </c>
      <c r="Z62" s="49">
        <f>IF(Q62=" ",Jan!Z52,Q62+Jan!Z52)</f>
        <v>0</v>
      </c>
      <c r="AA62" s="49">
        <f>IF(R62=" ",Jan!AA52,R62+Jan!AA52)</f>
        <v>0</v>
      </c>
      <c r="AC62" s="49">
        <f>IF(T62=" ",Jan!AC52,T62+Jan!AC52)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IF(T$59="Y",Jan!H53,0)</f>
        <v>0</v>
      </c>
      <c r="I63" s="92">
        <f>IF(T$59="Y",Jan!I53,0)</f>
        <v>0</v>
      </c>
      <c r="J63" s="92">
        <f>IF(T$59="Y",Jan!J53,0)</f>
        <v>0</v>
      </c>
      <c r="K63" s="92">
        <f>IF(T$59="Y",Jan!K53,I63*J63)</f>
        <v>0</v>
      </c>
      <c r="L63" s="111">
        <f>IF(T$59="Y",Jan!L53,0)</f>
        <v>0</v>
      </c>
      <c r="M63" s="100" t="str">
        <f>IF(E63=" "," ",IF(T$59="Y",Jan!M53,IF((H63+K63+L63)&gt;0,H63+K63+L63,"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IF(Employee!H$87=E$59,Employee!D$86+SUM(M63)+Jan!V53,SUM(M63)+Jan!V53)</f>
        <v>0</v>
      </c>
      <c r="W63" s="49">
        <f>IF(Employee!H$87=E$59,Employee!D$87+SUM(N63)+Jan!W53,SUM(N63)+Jan!W53)</f>
        <v>0</v>
      </c>
      <c r="X63" s="49">
        <f>IF(O63=" ",Jan!X53,O63+Jan!X53)</f>
        <v>0</v>
      </c>
      <c r="Y63" s="49">
        <f>IF(P63=" ",Jan!Y53,P63+Jan!Y53)</f>
        <v>0</v>
      </c>
      <c r="Z63" s="49">
        <f>IF(Q63=" ",Jan!Z53,Q63+Jan!Z53)</f>
        <v>0</v>
      </c>
      <c r="AA63" s="49">
        <f>IF(R63=" ",Jan!AA53,R63+Jan!AA53)</f>
        <v>0</v>
      </c>
      <c r="AC63" s="49">
        <f>IF(T63=" ",Jan!AC53,T63+Jan!AC53)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IF(T$59="Y",Jan!H54,0)</f>
        <v>0</v>
      </c>
      <c r="I64" s="92">
        <f>IF(T$59="Y",Jan!I54,0)</f>
        <v>0</v>
      </c>
      <c r="J64" s="92">
        <f>IF(T$59="Y",Jan!J54,0)</f>
        <v>0</v>
      </c>
      <c r="K64" s="92">
        <f>IF(T$59="Y",Jan!K54,I64*J64)</f>
        <v>0</v>
      </c>
      <c r="L64" s="111">
        <f>IF(T$59="Y",Jan!L54,0)</f>
        <v>0</v>
      </c>
      <c r="M64" s="100" t="str">
        <f>IF(E64=" "," ",IF(T$59="Y",Jan!M54,IF((H64+K64+L64)&gt;0,H64+K64+L64,"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IF(Employee!H$113=E$59,Employee!D$112+SUM(M64)+Jan!V54,SUM(M64)+Jan!V54)</f>
        <v>0</v>
      </c>
      <c r="W64" s="49">
        <f>IF(Employee!H$113=E$59,Employee!D$113+SUM(N64)+Jan!W54,SUM(N64)+Jan!W54)</f>
        <v>0</v>
      </c>
      <c r="X64" s="49">
        <f>IF(O64=" ",Jan!X54,O64+Jan!X54)</f>
        <v>0</v>
      </c>
      <c r="Y64" s="49">
        <f>IF(P64=" ",Jan!Y54,P64+Jan!Y54)</f>
        <v>0</v>
      </c>
      <c r="Z64" s="49">
        <f>IF(Q64=" ",Jan!Z54,Q64+Jan!Z54)</f>
        <v>0</v>
      </c>
      <c r="AA64" s="49">
        <f>IF(R64=" ",Jan!AA54,R64+Jan!AA54)</f>
        <v>0</v>
      </c>
      <c r="AC64" s="49">
        <f>IF(T64=" ",Jan!AC54,T64+Jan!AC54)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IF(T$59="Y",Jan!H55,0)</f>
        <v>0</v>
      </c>
      <c r="I65" s="245">
        <f>IF(T$59="Y",Jan!I55,0)</f>
        <v>0</v>
      </c>
      <c r="J65" s="245">
        <f>IF(T$59="Y",Jan!J55,0)</f>
        <v>0</v>
      </c>
      <c r="K65" s="245">
        <f>IF(T$59="Y",Jan!K55,I65*J65)</f>
        <v>0</v>
      </c>
      <c r="L65" s="246">
        <f>IF(T$59="Y",Jan!L55,0)</f>
        <v>0</v>
      </c>
      <c r="M65" s="100" t="str">
        <f>IF(E65=" "," ",IF(T$59="Y",Jan!M55,IF((H65+K65+L65)&gt;0,H65+K65+L65,"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IF(Employee!H$139=E$59,Employee!D$138+SUM(M65)+Jan!V55,SUM(M65)+Jan!V55)</f>
        <v>0</v>
      </c>
      <c r="W65" s="49">
        <f>IF(Employee!H$139=E$59,Employee!D$139+SUM(N65)+Jan!W55,SUM(N65)+Jan!W55)</f>
        <v>0</v>
      </c>
      <c r="X65" s="49">
        <f>IF(O65=" ",Jan!X55,O65+Jan!X55)</f>
        <v>0</v>
      </c>
      <c r="Y65" s="49">
        <f>IF(P65=" ",Jan!Y55,P65+Jan!Y55)</f>
        <v>0</v>
      </c>
      <c r="Z65" s="49">
        <f>IF(Q65=" ",Jan!Z55,Q65+Jan!Z55)</f>
        <v>0</v>
      </c>
      <c r="AA65" s="49">
        <f>IF(R65=" ",Jan!AA55,R65+Jan!AA55)</f>
        <v>0</v>
      </c>
      <c r="AC65" s="49">
        <f>IF(T65=" ",Jan!AC55,T65+Jan!AC55)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AD70+Jan!AD65</f>
        <v>0</v>
      </c>
      <c r="AE75" s="158">
        <f>AE70+Jan!AE65</f>
        <v>0</v>
      </c>
      <c r="AF75" s="158">
        <f>AF70+Jan!AF65</f>
        <v>0</v>
      </c>
      <c r="AG75" s="158">
        <f>AG70+Jan!AG65</f>
        <v>0</v>
      </c>
    </row>
    <row r="76" spans="1:34" ht="14" thickTop="1" x14ac:dyDescent="0.15"/>
    <row r="77" spans="1:34" x14ac:dyDescent="0.15">
      <c r="AD77" s="162"/>
      <c r="AE77" s="158">
        <f>AE72+Jan!AE67</f>
        <v>0</v>
      </c>
      <c r="AF77" s="158">
        <f>AF72+Jan!AF67</f>
        <v>0</v>
      </c>
      <c r="AG77" s="158">
        <f>AG72+Jan!AG67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Dec!H3:H6</f>
        <v>Statutory Pay</v>
      </c>
      <c r="I3" s="365" t="str">
        <f>Dec!I3:I6</f>
        <v>Basic hours</v>
      </c>
      <c r="J3" s="365" t="str">
        <f>Dec!J3:J6</f>
        <v>Hourly rate</v>
      </c>
      <c r="K3" s="365" t="str">
        <f>Dec!K3:K6</f>
        <v>Basic    wages</v>
      </c>
      <c r="L3" s="365" t="str">
        <f>Dec!L3:L6</f>
        <v>Overtime Bonus Gratuities</v>
      </c>
      <c r="M3" s="428" t="str">
        <f>Dec!M3:M6</f>
        <v>GROSS WAGES</v>
      </c>
      <c r="N3" s="365" t="str">
        <f>Dec!N3:N6</f>
        <v>Income Tax</v>
      </c>
      <c r="O3" s="365" t="str">
        <f>Dec!O3:O6</f>
        <v>Employees National Insurance</v>
      </c>
      <c r="P3" s="365" t="str">
        <f>Dec!P3:P6</f>
        <v>Student Loans</v>
      </c>
      <c r="Q3" s="365" t="str">
        <f>Dec!Q3:Q6</f>
        <v>Other Deductions</v>
      </c>
      <c r="R3" s="428" t="str">
        <f>Dec!R3:R6</f>
        <v>NET      PAY</v>
      </c>
      <c r="S3" s="42"/>
      <c r="T3" s="365" t="str">
        <f>Dec!T3:T6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46207</v>
      </c>
      <c r="L9" s="203" t="s">
        <v>76</v>
      </c>
      <c r="M9" s="205">
        <f>K9+6</f>
        <v>46213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89">
        <f>IF(T$9="Y",Feb!L41,0)</f>
        <v>0</v>
      </c>
      <c r="M11" s="99" t="str">
        <f>IF(E11=" "," ",IF(T$9="Y",Feb!M41,IF((H11+K11+L11)&gt;0,H11+K11+L11,"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IF(Employee!H$34=E$9,Employee!D$34+SUM(M11)+Feb!V51,SUM(M11)+Feb!V51)</f>
        <v>0</v>
      </c>
      <c r="W11" s="49">
        <f>IF(Employee!H$34=E$9,Employee!D$35+SUM(N11)+Feb!W51,SUM(N11)+Feb!W51)</f>
        <v>0</v>
      </c>
      <c r="X11" s="49">
        <f>IF(O11=" ",Feb!X51,O11+Feb!X51)</f>
        <v>0</v>
      </c>
      <c r="Y11" s="49">
        <f>IF(P11=" ",Feb!Y51,P11+Feb!Y51)</f>
        <v>0</v>
      </c>
      <c r="Z11" s="49">
        <f>IF(Q11=" ",Feb!Z51,Q11+Feb!Z51)</f>
        <v>0</v>
      </c>
      <c r="AA11" s="49">
        <f>IF(R11=" ",Feb!AA51,R11+Feb!AA51)</f>
        <v>0</v>
      </c>
      <c r="AC11" s="49">
        <f>IF(T11=" ",Feb!AC51,T11+Feb!AC51)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92">
        <f>IF(T$9="Y",Feb!L42,0)</f>
        <v>0</v>
      </c>
      <c r="M12" s="100" t="str">
        <f>IF(E12=" "," ",IF(T$9="Y",Feb!M42,IF((H12+K12+L12)&gt;0,H12+K12+L12,"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IF(Employee!H$60=E$9,Employee!D$60+SUM(M12)+Feb!V52,SUM(M12)+Feb!V52)</f>
        <v>0</v>
      </c>
      <c r="W12" s="49">
        <f>IF(Employee!H$60=E$9,Employee!D$61+SUM(N12)+Feb!W52,SUM(N12)+Feb!W52)</f>
        <v>0</v>
      </c>
      <c r="X12" s="49">
        <f>IF(O12=" ",Feb!X52,O12+Feb!X52)</f>
        <v>0</v>
      </c>
      <c r="Y12" s="49">
        <f>IF(P12=" ",Feb!Y52,P12+Feb!Y52)</f>
        <v>0</v>
      </c>
      <c r="Z12" s="49">
        <f>IF(Q12=" ",Feb!Z52,Q12+Feb!Z52)</f>
        <v>0</v>
      </c>
      <c r="AA12" s="49">
        <f>IF(R12=" ",Feb!AA52,R12+Feb!AA52)</f>
        <v>0</v>
      </c>
      <c r="AC12" s="49">
        <f>IF(T12=" ",Feb!AC52,T12+Feb!AC52)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92">
        <f>IF(T$9="Y",Feb!L43,0)</f>
        <v>0</v>
      </c>
      <c r="M13" s="100" t="str">
        <f>IF(E13=" "," ",IF(T$9="Y",Feb!M43,IF((H13+K13+L13)&gt;0,H13+K13+L13,"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IF(Employee!H$86=E$9,Employee!D$86+SUM(M13)+Feb!V53,SUM(M13)+Feb!V53)</f>
        <v>0</v>
      </c>
      <c r="W13" s="49">
        <f>IF(Employee!H$86=E$9,Employee!D$87+SUM(N13)+Feb!W53,SUM(N13)+Feb!W53)</f>
        <v>0</v>
      </c>
      <c r="X13" s="49">
        <f>IF(O13=" ",Feb!X53,O13+Feb!X53)</f>
        <v>0</v>
      </c>
      <c r="Y13" s="49">
        <f>IF(P13=" ",Feb!Y53,P13+Feb!Y53)</f>
        <v>0</v>
      </c>
      <c r="Z13" s="49">
        <f>IF(Q13=" ",Feb!Z53,Q13+Feb!Z53)</f>
        <v>0</v>
      </c>
      <c r="AA13" s="49">
        <f>IF(R13=" ",Feb!AA53,R13+Feb!AA53)</f>
        <v>0</v>
      </c>
      <c r="AC13" s="49">
        <f>IF(T13=" ",Feb!AC53,T13+Feb!AC53)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92">
        <f>IF(T$9="Y",Feb!L44,0)</f>
        <v>0</v>
      </c>
      <c r="M14" s="100" t="str">
        <f>IF(E14=" "," ",IF(T$9="Y",Feb!M44,IF((H14+K14+L14)&gt;0,H14+K14+L14,"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IF(Employee!H$112=E$9,Employee!D$112+SUM(M14)+Feb!V54,SUM(M14)+Feb!V54)</f>
        <v>0</v>
      </c>
      <c r="W14" s="49">
        <f>IF(Employee!H$112=E$9,Employee!D$113+SUM(N14)+Feb!W54,SUM(N14)+Feb!W54)</f>
        <v>0</v>
      </c>
      <c r="X14" s="49">
        <f>IF(O14=" ",Feb!X54,O14+Feb!X54)</f>
        <v>0</v>
      </c>
      <c r="Y14" s="49">
        <f>IF(P14=" ",Feb!Y54,P14+Feb!Y54)</f>
        <v>0</v>
      </c>
      <c r="Z14" s="49">
        <f>IF(Q14=" ",Feb!Z54,Q14+Feb!Z54)</f>
        <v>0</v>
      </c>
      <c r="AA14" s="49">
        <f>IF(R14=" ",Feb!AA54,R14+Feb!AA54)</f>
        <v>0</v>
      </c>
      <c r="AC14" s="49">
        <f>IF(T14=" ",Feb!AC54,T14+Feb!AC54)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5">
        <f>IF(T$9="Y",Feb!L45,0)</f>
        <v>0</v>
      </c>
      <c r="M15" s="247" t="str">
        <f>IF(E15=" "," ",IF(T$9="Y",Feb!M45,IF((H15+K15+L15)&gt;0,H15+K15+L15,"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IF(Employee!H$138=E$9,Employee!D$138+SUM(M15)+Feb!V55,SUM(M15)+Feb!V55)</f>
        <v>0</v>
      </c>
      <c r="W15" s="49">
        <f>IF(Employee!H$138=E$9,Employee!D$139+SUM(N15)+Feb!W55,SUM(N15)+Feb!W55)</f>
        <v>0</v>
      </c>
      <c r="X15" s="49">
        <f>IF(O15=" ",Feb!X55,O15+Feb!X55)</f>
        <v>0</v>
      </c>
      <c r="Y15" s="49">
        <f>IF(P15=" ",Feb!Y55,P15+Feb!Y55)</f>
        <v>0</v>
      </c>
      <c r="Z15" s="49">
        <f>IF(Q15=" ",Feb!Z55,Q15+Feb!Z55)</f>
        <v>0</v>
      </c>
      <c r="AA15" s="49">
        <f>IF(R15=" ",Feb!AA55,R15+Feb!AA55)</f>
        <v>0</v>
      </c>
      <c r="AC15" s="49">
        <f>IF(T15=" ",Feb!AC55,T15+Feb!AC55)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46214</v>
      </c>
      <c r="L19" s="203" t="s">
        <v>76</v>
      </c>
      <c r="M19" s="205">
        <f>K19+6</f>
        <v>46220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46221</v>
      </c>
      <c r="L29" s="203" t="s">
        <v>76</v>
      </c>
      <c r="M29" s="205">
        <f>K29+6</f>
        <v>46227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46228</v>
      </c>
      <c r="L39" s="203" t="s">
        <v>76</v>
      </c>
      <c r="M39" s="205">
        <f>K39+6</f>
        <v>46234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DATE(2026,3,1)</f>
        <v>46082</v>
      </c>
      <c r="L49" s="203" t="s">
        <v>76</v>
      </c>
      <c r="M49" s="205">
        <f>DATE(2026,3,31)</f>
        <v>46112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IF(T$49="Y",Feb!H61,0)</f>
        <v>0</v>
      </c>
      <c r="I51" s="89">
        <f>IF(T$49="Y",Feb!I61,0)</f>
        <v>0</v>
      </c>
      <c r="J51" s="89">
        <f>IF(T$49="Y",Feb!J61,0)</f>
        <v>0</v>
      </c>
      <c r="K51" s="89">
        <f>IF(T$49="Y",Feb!K61,I51*J51)</f>
        <v>0</v>
      </c>
      <c r="L51" s="110">
        <f>IF(T$49="Y",Feb!L61,0)</f>
        <v>0</v>
      </c>
      <c r="M51" s="99" t="str">
        <f>IF(E51=" "," ",IF(T$49="Y",Feb!M61,IF((H51+K51+L51)&gt;0,H51+K51+L51,"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IF(Employee!H$35=E$49,Employee!D$34+SUM(M51)+Feb!V61,SUM(M51)+Feb!V61)</f>
        <v>0</v>
      </c>
      <c r="W51" s="49">
        <f>IF(Employee!H$35=E$49,Employee!D$35+SUM(N51)+Feb!W61,SUM(N51)+Feb!W61)</f>
        <v>0</v>
      </c>
      <c r="X51" s="49">
        <f>IF(O51=" ",Feb!X61,O51+Feb!X61)</f>
        <v>0</v>
      </c>
      <c r="Y51" s="49">
        <f>IF(P51=" ",Feb!Y61,P51+Feb!Y61)</f>
        <v>0</v>
      </c>
      <c r="Z51" s="49">
        <f>IF(Q51=" ",Feb!Z61,Q51+Feb!Z61)</f>
        <v>0</v>
      </c>
      <c r="AA51" s="49">
        <f>IF(R51=" ",Feb!AA61,R51+Feb!AA61)</f>
        <v>0</v>
      </c>
      <c r="AC51" s="49">
        <f>IF(T51=" ",Feb!AC61,T51+Feb!AC61)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IF(T$49="Y",Feb!H62,0)</f>
        <v>0</v>
      </c>
      <c r="I52" s="92">
        <f>IF(T$49="Y",Feb!I62,0)</f>
        <v>0</v>
      </c>
      <c r="J52" s="92">
        <f>IF(T$49="Y",Feb!J62,0)</f>
        <v>0</v>
      </c>
      <c r="K52" s="92">
        <f>IF(T$49="Y",Feb!K62,I52*J52)</f>
        <v>0</v>
      </c>
      <c r="L52" s="111">
        <f>IF(T$49="Y",Feb!L62,0)</f>
        <v>0</v>
      </c>
      <c r="M52" s="100" t="str">
        <f>IF(E52=" "," ",IF(T$49="Y",Feb!M62,IF((H52+K52+L52)&gt;0,H52+K52+L52,"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IF(Employee!H$61=E$49,Employee!D$60+SUM(M52)+Feb!V62,SUM(M52)+Feb!V62)</f>
        <v>0</v>
      </c>
      <c r="W52" s="49">
        <f>IF(Employee!H$61=E$49,Employee!D$61+SUM(N52)+Feb!W62,SUM(N52)+Feb!W62)</f>
        <v>0</v>
      </c>
      <c r="X52" s="49">
        <f>IF(O52=" ",Feb!X62,O52+Feb!X62)</f>
        <v>0</v>
      </c>
      <c r="Y52" s="49">
        <f>IF(P52=" ",Feb!Y62,P52+Feb!Y62)</f>
        <v>0</v>
      </c>
      <c r="Z52" s="49">
        <f>IF(Q52=" ",Feb!Z62,Q52+Feb!Z62)</f>
        <v>0</v>
      </c>
      <c r="AA52" s="49">
        <f>IF(R52=" ",Feb!AA62,R52+Feb!AA62)</f>
        <v>0</v>
      </c>
      <c r="AC52" s="49">
        <f>IF(T52=" ",Feb!AC62,T52+Feb!AC62)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IF(T$49="Y",Feb!H63,0)</f>
        <v>0</v>
      </c>
      <c r="I53" s="92">
        <f>IF(T$49="Y",Feb!I63,0)</f>
        <v>0</v>
      </c>
      <c r="J53" s="92">
        <f>IF(T$49="Y",Feb!J63,0)</f>
        <v>0</v>
      </c>
      <c r="K53" s="92">
        <f>IF(T$49="Y",Feb!K63,I53*J53)</f>
        <v>0</v>
      </c>
      <c r="L53" s="111">
        <f>IF(T$49="Y",Feb!L63,0)</f>
        <v>0</v>
      </c>
      <c r="M53" s="100" t="str">
        <f>IF(E53=" "," ",IF(T$49="Y",Feb!M63,IF((H53+K53+L53)&gt;0,H53+K53+L53,"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IF(Employee!H$87=E$49,Employee!D$86+SUM(M53)+Feb!V63,SUM(M53)+Feb!V63)</f>
        <v>0</v>
      </c>
      <c r="W53" s="49">
        <f>IF(Employee!H$87=E$49,Employee!D$87+SUM(N53)+Feb!W63,SUM(N53)+Feb!W63)</f>
        <v>0</v>
      </c>
      <c r="X53" s="49">
        <f>IF(O53=" ",Feb!X63,O53+Feb!X63)</f>
        <v>0</v>
      </c>
      <c r="Y53" s="49">
        <f>IF(P53=" ",Feb!Y63,P53+Feb!Y63)</f>
        <v>0</v>
      </c>
      <c r="Z53" s="49">
        <f>IF(Q53=" ",Feb!Z63,Q53+Feb!Z63)</f>
        <v>0</v>
      </c>
      <c r="AA53" s="49">
        <f>IF(R53=" ",Feb!AA63,R53+Feb!AA63)</f>
        <v>0</v>
      </c>
      <c r="AC53" s="49">
        <f>IF(T53=" ",Feb!AC63,T53+Feb!AC63)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IF(T$49="Y",Feb!H64,0)</f>
        <v>0</v>
      </c>
      <c r="I54" s="92">
        <f>IF(T$49="Y",Feb!I64,0)</f>
        <v>0</v>
      </c>
      <c r="J54" s="92">
        <f>IF(T$49="Y",Feb!J64,0)</f>
        <v>0</v>
      </c>
      <c r="K54" s="92">
        <f>IF(T$49="Y",Feb!K64,I54*J54)</f>
        <v>0</v>
      </c>
      <c r="L54" s="111">
        <f>IF(T$49="Y",Feb!L64,0)</f>
        <v>0</v>
      </c>
      <c r="M54" s="100" t="str">
        <f>IF(E54=" "," ",IF(T$49="Y",Feb!M64,IF((H54+K54+L54)&gt;0,H54+K54+L54,"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IF(Employee!H$113=E$49,Employee!D$112+SUM(M54)+Feb!V64,SUM(M54)+Feb!V64)</f>
        <v>0</v>
      </c>
      <c r="W54" s="49">
        <f>IF(Employee!H$113=E$49,Employee!D$113+SUM(N54)+Feb!W64,SUM(N54)+Feb!W64)</f>
        <v>0</v>
      </c>
      <c r="X54" s="49">
        <f>IF(O54=" ",Feb!X64,O54+Feb!X64)</f>
        <v>0</v>
      </c>
      <c r="Y54" s="49">
        <f>IF(P54=" ",Feb!Y64,P54+Feb!Y64)</f>
        <v>0</v>
      </c>
      <c r="Z54" s="49">
        <f>IF(Q54=" ",Feb!Z64,Q54+Feb!Z64)</f>
        <v>0</v>
      </c>
      <c r="AA54" s="49">
        <f>IF(R54=" ",Feb!AA64,R54+Feb!AA64)</f>
        <v>0</v>
      </c>
      <c r="AC54" s="49">
        <f>IF(T54=" ",Feb!AC64,T54+Feb!AC64)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IF(T$49="Y",Feb!H65,0)</f>
        <v>0</v>
      </c>
      <c r="I55" s="245">
        <f>IF(T$49="Y",Feb!I65,0)</f>
        <v>0</v>
      </c>
      <c r="J55" s="245">
        <f>IF(T$49="Y",Feb!J65,0)</f>
        <v>0</v>
      </c>
      <c r="K55" s="245">
        <f>IF(T$49="Y",Feb!K65,I55*J55)</f>
        <v>0</v>
      </c>
      <c r="L55" s="246">
        <f>IF(T$49="Y",Feb!L65,0)</f>
        <v>0</v>
      </c>
      <c r="M55" s="100" t="str">
        <f>IF(E55=" "," ",IF(T$49="Y",Feb!M65,IF((H55+K55+L55)&gt;0,H55+K55+L55,"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IF(Employee!H$139=E$49,Employee!D$138+SUM(M55)+Feb!V65,SUM(M55)+Feb!V65)</f>
        <v>0</v>
      </c>
      <c r="W55" s="49">
        <f>IF(Employee!H$139=E$49,Employee!D$139+SUM(N55)+Feb!W65,SUM(N55)+Feb!W65)</f>
        <v>0</v>
      </c>
      <c r="X55" s="49">
        <f>IF(O55=" ",Feb!X65,O55+Feb!X65)</f>
        <v>0</v>
      </c>
      <c r="Y55" s="49">
        <f>IF(P55=" ",Feb!Y65,P55+Feb!Y65)</f>
        <v>0</v>
      </c>
      <c r="Z55" s="49">
        <f>IF(Q55=" ",Feb!Z65,Q55+Feb!Z65)</f>
        <v>0</v>
      </c>
      <c r="AA55" s="49">
        <f>IF(R55=" ",Feb!AA65,R55+Feb!AA65)</f>
        <v>0</v>
      </c>
      <c r="AC55" s="49">
        <f>IF(T55=" ",Feb!AC65,T55+Feb!AC65)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AD60+Feb!AD75</f>
        <v>0</v>
      </c>
      <c r="AE65" s="158">
        <f>AE60+Feb!AE75</f>
        <v>0</v>
      </c>
      <c r="AF65" s="158">
        <f>AF60+Feb!AF75</f>
        <v>0</v>
      </c>
      <c r="AG65" s="158">
        <f>AG60+Feb!AG75</f>
        <v>0</v>
      </c>
    </row>
    <row r="66" spans="6:33" ht="14" thickTop="1" x14ac:dyDescent="0.15"/>
    <row r="67" spans="6:33" x14ac:dyDescent="0.15">
      <c r="AD67" s="162"/>
      <c r="AE67" s="158">
        <f>AE62+Feb!AE77</f>
        <v>0</v>
      </c>
      <c r="AF67" s="158">
        <f>AF62+Feb!AF77</f>
        <v>0</v>
      </c>
      <c r="AG67" s="158">
        <f>AG62+Feb!AG77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Dec!H3:H6</f>
        <v>Statutory Pay</v>
      </c>
      <c r="I3" s="365" t="str">
        <f>Dec!I3:I6</f>
        <v>Basic hours</v>
      </c>
      <c r="J3" s="365" t="str">
        <f>Dec!J3:J6</f>
        <v>Hourly rate</v>
      </c>
      <c r="K3" s="365" t="str">
        <f>Dec!K3:K6</f>
        <v>Basic    wages</v>
      </c>
      <c r="L3" s="365" t="str">
        <f>Dec!L3:L6</f>
        <v>Overtime Bonus Gratuities</v>
      </c>
      <c r="M3" s="428" t="str">
        <f>Dec!M3:M6</f>
        <v>GROSS WAGES</v>
      </c>
      <c r="N3" s="365" t="str">
        <f>Dec!N3:N6</f>
        <v>Income Tax</v>
      </c>
      <c r="O3" s="365" t="str">
        <f>Dec!O3:O6</f>
        <v>Employees National Insurance</v>
      </c>
      <c r="P3" s="365" t="str">
        <f>Dec!P3:P6</f>
        <v>Student Loans</v>
      </c>
      <c r="Q3" s="365" t="str">
        <f>Dec!Q3:Q6</f>
        <v>Other Deductions</v>
      </c>
      <c r="R3" s="428" t="str">
        <f>Dec!R3:R6</f>
        <v>NET      PAY</v>
      </c>
      <c r="S3" s="42"/>
      <c r="T3" s="365" t="str">
        <f>Dec!T3:T6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46235</v>
      </c>
      <c r="L9" s="203" t="s">
        <v>76</v>
      </c>
      <c r="M9" s="205">
        <f>K9+6</f>
        <v>46241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IF(T$9="Y",Mar!H41,0)</f>
        <v>0</v>
      </c>
      <c r="I11" s="89">
        <f>IF(T$9="Y",Mar!I41,0)</f>
        <v>0</v>
      </c>
      <c r="J11" s="89">
        <f>IF(T$9="Y",Mar!J41,0)</f>
        <v>0</v>
      </c>
      <c r="K11" s="89">
        <v>0</v>
      </c>
      <c r="L11" s="110">
        <f>IF(T$9="Y",Mar!L41,0)</f>
        <v>0</v>
      </c>
      <c r="M11" s="110" t="str">
        <f>IF(E11=" "," ",IF(T$9="Y",Mar!M41,IF((H11+K11+L11)&gt;0,H11+K11+L11,"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IF(Employee!H$34=E$9,Employee!D$34+SUM(M11)+Mar!V41,SUM(M11)+Mar!V41)</f>
        <v>0</v>
      </c>
      <c r="W11" s="49">
        <f>IF(Employee!H$34=E$9,Employee!D$35+SUM(N11)+Mar!W41,SUM(N11)+Mar!W41)</f>
        <v>0</v>
      </c>
      <c r="X11" s="49">
        <f>IF(O11=" ",Mar!X41,O11+Mar!X41)</f>
        <v>0</v>
      </c>
      <c r="Y11" s="49">
        <f>IF(P11=" ",Mar!Y41,P11+Mar!Y41)</f>
        <v>0</v>
      </c>
      <c r="Z11" s="49">
        <f>IF(Q11=" ",Mar!Z41,Q11+Mar!Z41)</f>
        <v>0</v>
      </c>
      <c r="AA11" s="49">
        <f>IF(R11=" ",Mar!AA41,R11+Mar!AA41)</f>
        <v>0</v>
      </c>
      <c r="AC11" s="49">
        <f>IF(T11=" ",Mar!AC41,T11+Mar!AC41)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IF(T$9="Y",Mar!H41,0)</f>
        <v>0</v>
      </c>
      <c r="I12" s="92">
        <f>IF(T$9="Y",Mar!I41,0)</f>
        <v>0</v>
      </c>
      <c r="J12" s="92">
        <f>IF(T$9="Y",Mar!J41,0)</f>
        <v>0</v>
      </c>
      <c r="K12" s="92">
        <f>IF(T$9="Y",Mar!K41,I12*J12)</f>
        <v>0</v>
      </c>
      <c r="L12" s="111">
        <f>IF(T$9="Y",Mar!L41,0)</f>
        <v>0</v>
      </c>
      <c r="M12" s="111" t="str">
        <f>IF(E12=" "," ",IF(T$9="Y",Mar!M41,IF((H12+K12+L12)&gt;0,H12+K12+L12,"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IF(Employee!H$60=E$9,Employee!D$60+SUM(M12)+Mar!V42,SUM(M12)+Mar!V42)</f>
        <v>0</v>
      </c>
      <c r="W12" s="49">
        <f>IF(Employee!H$60=E$9,Employee!D$61+SUM(N12)+Mar!W42,SUM(N12)+Mar!W42)</f>
        <v>0</v>
      </c>
      <c r="X12" s="49">
        <f>IF(O12=" ",Mar!X42,O12+Mar!X42)</f>
        <v>0</v>
      </c>
      <c r="Y12" s="49">
        <f>IF(P12=" ",Mar!Y42,P12+Mar!Y42)</f>
        <v>0</v>
      </c>
      <c r="Z12" s="49">
        <f>IF(Q12=" ",Mar!Z42,Q12+Mar!Z42)</f>
        <v>0</v>
      </c>
      <c r="AA12" s="49">
        <f>IF(R12=" ",Mar!AA42,R12+Mar!AA42)</f>
        <v>0</v>
      </c>
      <c r="AC12" s="49">
        <f>IF(T12=" ",Mar!AC42,T12+Mar!AC42)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IF(T$9="Y",Mar!H41,0)</f>
        <v>0</v>
      </c>
      <c r="I13" s="92">
        <f>IF(T$9="Y",Mar!I41,0)</f>
        <v>0</v>
      </c>
      <c r="J13" s="92">
        <f>IF(T$9="Y",Mar!J41,0)</f>
        <v>0</v>
      </c>
      <c r="K13" s="92">
        <f>IF(T$9="Y",Mar!K41,I13*J13)</f>
        <v>0</v>
      </c>
      <c r="L13" s="111">
        <f>IF(T$9="Y",Mar!L41,0)</f>
        <v>0</v>
      </c>
      <c r="M13" s="111" t="str">
        <f>IF(E13=" "," ",IF(T$9="Y",Mar!M41,IF((H13+K13+L13)&gt;0,H13+K13+L13,"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IF(Employee!H$86=E$9,Employee!D$86+SUM(M13)+Mar!V43,SUM(M13)+Mar!V43)</f>
        <v>0</v>
      </c>
      <c r="W13" s="49">
        <f>IF(Employee!H$86=E$9,Employee!D$87+SUM(N13)+Mar!W43,SUM(N13)+Mar!W43)</f>
        <v>0</v>
      </c>
      <c r="X13" s="49">
        <f>IF(O13=" ",Mar!X43,O13+Mar!X43)</f>
        <v>0</v>
      </c>
      <c r="Y13" s="49">
        <f>IF(P13=" ",Mar!Y43,P13+Mar!Y43)</f>
        <v>0</v>
      </c>
      <c r="Z13" s="49">
        <f>IF(Q13=" ",Mar!Z43,Q13+Mar!Z43)</f>
        <v>0</v>
      </c>
      <c r="AA13" s="49">
        <f>IF(R13=" ",Mar!AA43,R13+Mar!AA43)</f>
        <v>0</v>
      </c>
      <c r="AC13" s="49">
        <f>IF(T13=" ",Mar!AC43,T13+Mar!AC43)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IF(T$9="Y",Mar!H41,0)</f>
        <v>0</v>
      </c>
      <c r="I14" s="92">
        <f>IF(T$9="Y",Mar!I41,0)</f>
        <v>0</v>
      </c>
      <c r="J14" s="92">
        <f>IF(T$9="Y",Mar!J41,0)</f>
        <v>0</v>
      </c>
      <c r="K14" s="92">
        <f>IF(T$9="Y",Mar!K41,I14*J14)</f>
        <v>0</v>
      </c>
      <c r="L14" s="111">
        <f>IF(T$9="Y",Mar!L41,0)</f>
        <v>0</v>
      </c>
      <c r="M14" s="111" t="str">
        <f>IF(E14=" "," ",IF(T$9="Y",Mar!M41,IF((H14+K14+L14)&gt;0,H14+K14+L14,"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IF(Employee!H$112=E$9,Employee!D$112+SUM(M14)+Mar!V44,SUM(M14)+Mar!V44)</f>
        <v>0</v>
      </c>
      <c r="W14" s="49">
        <f>IF(Employee!H$112=E$9,Employee!D$113+SUM(N14)+Mar!W44,SUM(N14)+Mar!W44)</f>
        <v>0</v>
      </c>
      <c r="X14" s="49">
        <f>IF(O14=" ",Mar!X44,O14+Mar!X44)</f>
        <v>0</v>
      </c>
      <c r="Y14" s="49">
        <f>IF(P14=" ",Mar!Y44,P14+Mar!Y44)</f>
        <v>0</v>
      </c>
      <c r="Z14" s="49">
        <f>IF(Q14=" ",Mar!Z44,Q14+Mar!Z44)</f>
        <v>0</v>
      </c>
      <c r="AA14" s="49">
        <f>IF(R14=" ",Mar!AA44,R14+Mar!AA44)</f>
        <v>0</v>
      </c>
      <c r="AC14" s="49">
        <f>IF(T14=" ",Mar!AC44,T14+Mar!AC44)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IF(T$9="Y",Mar!H41,0)</f>
        <v>0</v>
      </c>
      <c r="I15" s="245">
        <f>IF(T$9="Y",Mar!I41,0)</f>
        <v>0</v>
      </c>
      <c r="J15" s="245">
        <f>IF(T$9="Y",Mar!J41,0)</f>
        <v>0</v>
      </c>
      <c r="K15" s="245">
        <f>IF(T$9="Y",Mar!K41,I15*J15)</f>
        <v>0</v>
      </c>
      <c r="L15" s="246">
        <f>IF(T$9="Y",Mar!L41,0)</f>
        <v>0</v>
      </c>
      <c r="M15" s="246" t="str">
        <f>IF(E15=" "," ",IF(T$9="Y",Mar!M41,IF((H15+K15+L15)&gt;0,H15+K15+L15,"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IF(Employee!H$138=E$9,Employee!D$138+SUM(M15)+Mar!V45,SUM(M15)+Mar!V45)</f>
        <v>0</v>
      </c>
      <c r="W15" s="49">
        <f>IF(Employee!H$138=E$9,Employee!D$139+SUM(N15)+Mar!W45,SUM(N15)+Mar!W45)</f>
        <v>0</v>
      </c>
      <c r="X15" s="49">
        <f>IF(O15=" ",Mar!X45,O15+Mar!X45)</f>
        <v>0</v>
      </c>
      <c r="Y15" s="49">
        <f>IF(P15=" ",Mar!Y45,P15+Mar!Y45)</f>
        <v>0</v>
      </c>
      <c r="Z15" s="49">
        <f>IF(Q15=" ",Mar!Z45,Q15+Mar!Z45)</f>
        <v>0</v>
      </c>
      <c r="AA15" s="49">
        <f>IF(R15=" ",Mar!AA45,R15+Mar!AA45)</f>
        <v>0</v>
      </c>
      <c r="AC15" s="49">
        <f>IF(T15=" ",Mar!AC45,T15+Mar!AC45)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46242</v>
      </c>
      <c r="L19" s="203" t="s">
        <v>76</v>
      </c>
      <c r="M19" s="205">
        <f>K19+6</f>
        <v>46248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46249</v>
      </c>
      <c r="L29" s="203" t="s">
        <v>76</v>
      </c>
      <c r="M29" s="205">
        <f>K29+6</f>
        <v>46255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46256</v>
      </c>
      <c r="L39" s="203" t="s">
        <v>76</v>
      </c>
      <c r="M39" s="205">
        <f>K39+6</f>
        <v>46262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DATE(2026,4,1)</f>
        <v>46113</v>
      </c>
      <c r="L49" s="203" t="s">
        <v>76</v>
      </c>
      <c r="M49" s="205">
        <f>DATE(2026,4,30)</f>
        <v>46142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IF(T$49="Y",Mar!H51,0)</f>
        <v>0</v>
      </c>
      <c r="I51" s="89">
        <f>IF(T$49="Y",Mar!I51,0)</f>
        <v>0</v>
      </c>
      <c r="J51" s="89">
        <f>IF(T$49="Y",Mar!J51,0)</f>
        <v>0</v>
      </c>
      <c r="K51" s="89">
        <f>IF(T$49="Y",Mar!K51,I51*J51)</f>
        <v>0</v>
      </c>
      <c r="L51" s="89">
        <f>IF(T$49="Y",Mar!L51,0)</f>
        <v>0</v>
      </c>
      <c r="M51" s="99" t="str">
        <f>IF(E51=" "," ",IF(T$49="Y",Mar!M51,IF((H51+K51+L51)&gt;0,H51+K51+L51,"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IF(Employee!H$35=E$49,Employee!D$34+SUM(M51)+Mar!V51,SUM(M51)+Mar!V51)</f>
        <v>0</v>
      </c>
      <c r="W51" s="49">
        <f>IF(Employee!H$35=E$49,Employee!D$35+SUM(N51)+Mar!W51,SUM(N51)+Mar!W51)</f>
        <v>0</v>
      </c>
      <c r="X51" s="49">
        <f>IF(O51=" ",Mar!X51,O51+Mar!X51)</f>
        <v>0</v>
      </c>
      <c r="Y51" s="49">
        <f>IF(P51=" ",Mar!Y51,P51+Mar!Y51)</f>
        <v>0</v>
      </c>
      <c r="Z51" s="49">
        <f>IF(Q51=" ",Mar!Z51,Q51+Mar!Z51)</f>
        <v>0</v>
      </c>
      <c r="AA51" s="49">
        <f>IF(R51=" ",Mar!AA51,R51+Mar!AA51)</f>
        <v>0</v>
      </c>
      <c r="AC51" s="49">
        <f>IF(T51=" ",Mar!AC51,T51+Mar!AC51)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IF(T$49="Y",Mar!H52,0)</f>
        <v>0</v>
      </c>
      <c r="I52" s="92">
        <f>IF(T$49="Y",Mar!I52,0)</f>
        <v>0</v>
      </c>
      <c r="J52" s="92">
        <f>IF(T$49="Y",Mar!J52,0)</f>
        <v>0</v>
      </c>
      <c r="K52" s="92">
        <f>IF(T$49="Y",Mar!K52,I52*J52)</f>
        <v>0</v>
      </c>
      <c r="L52" s="92">
        <f>IF(T$49="Y",Mar!L52,0)</f>
        <v>0</v>
      </c>
      <c r="M52" s="100" t="str">
        <f>IF(E52=" "," ",IF(T$49="Y",Mar!M52,IF((H52+K52+L52)&gt;0,H52+K52+L52,"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IF(Employee!H$61=E$49,Employee!D$60+SUM(M52)+Mar!V52,SUM(M52)+Mar!V52)</f>
        <v>0</v>
      </c>
      <c r="W52" s="49">
        <f>IF(Employee!H$61=E$49,Employee!D$61+SUM(N52)+Mar!W52,SUM(N52)+Mar!W52)</f>
        <v>0</v>
      </c>
      <c r="X52" s="49">
        <f>IF(O52=" ",Mar!X52,O52+Mar!X52)</f>
        <v>0</v>
      </c>
      <c r="Y52" s="49">
        <f>IF(P52=" ",Mar!Y52,P52+Mar!Y52)</f>
        <v>0</v>
      </c>
      <c r="Z52" s="49">
        <f>IF(Q52=" ",Mar!Z52,Q52+Mar!Z52)</f>
        <v>0</v>
      </c>
      <c r="AA52" s="49">
        <f>IF(R52=" ",Mar!AA52,R52+Mar!AA52)</f>
        <v>0</v>
      </c>
      <c r="AC52" s="49">
        <f>IF(T52=" ",Mar!AC52,T52+Mar!AC52)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IF(T$49="Y",Mar!H53,0)</f>
        <v>0</v>
      </c>
      <c r="I53" s="92">
        <f>IF(T$49="Y",Mar!I53,0)</f>
        <v>0</v>
      </c>
      <c r="J53" s="92">
        <f>IF(T$49="Y",Mar!J53,0)</f>
        <v>0</v>
      </c>
      <c r="K53" s="92">
        <f>IF(T$49="Y",Mar!K53,I53*J53)</f>
        <v>0</v>
      </c>
      <c r="L53" s="92">
        <f>IF(T$49="Y",Mar!L53,0)</f>
        <v>0</v>
      </c>
      <c r="M53" s="100" t="str">
        <f>IF(E53=" "," ",IF(T$49="Y",Mar!M53,IF((H53+K53+L53)&gt;0,H53+K53+L53,"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IF(Employee!H$87=E$49,Employee!D$86+SUM(M53)+Mar!V53,SUM(M53)+Mar!V53)</f>
        <v>0</v>
      </c>
      <c r="W53" s="49">
        <f>IF(Employee!H$87=E$49,Employee!D$87+SUM(N53)+Mar!W53,SUM(N53)+Mar!W53)</f>
        <v>0</v>
      </c>
      <c r="X53" s="49">
        <f>IF(O53=" ",Mar!X53,O53+Mar!X53)</f>
        <v>0</v>
      </c>
      <c r="Y53" s="49">
        <f>IF(P53=" ",Mar!Y53,P53+Mar!Y53)</f>
        <v>0</v>
      </c>
      <c r="Z53" s="49">
        <f>IF(Q53=" ",Mar!Z53,Q53+Mar!Z53)</f>
        <v>0</v>
      </c>
      <c r="AA53" s="49">
        <f>IF(R53=" ",Mar!AA53,R53+Mar!AA53)</f>
        <v>0</v>
      </c>
      <c r="AC53" s="49">
        <f>IF(T53=" ",Mar!AC53,T53+Mar!AC53)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IF(T$49="Y",Mar!H54,0)</f>
        <v>0</v>
      </c>
      <c r="I54" s="92">
        <f>IF(T$49="Y",Mar!I54,0)</f>
        <v>0</v>
      </c>
      <c r="J54" s="92">
        <f>IF(T$49="Y",Mar!J54,0)</f>
        <v>0</v>
      </c>
      <c r="K54" s="92">
        <f>IF(T$49="Y",Mar!K54,I54*J54)</f>
        <v>0</v>
      </c>
      <c r="L54" s="92">
        <f>IF(T$49="Y",Mar!L54,0)</f>
        <v>0</v>
      </c>
      <c r="M54" s="100" t="str">
        <f>IF(E54=" "," ",IF(T$49="Y",Mar!M54,IF((H54+K54+L54)&gt;0,H54+K54+L54,"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IF(Employee!H$113=E$49,Employee!D$112+SUM(M54)+Mar!V54,SUM(M54)+Mar!V54)</f>
        <v>0</v>
      </c>
      <c r="W54" s="49">
        <f>IF(Employee!H$113=E$49,Employee!D$113+SUM(N54)+Mar!W54,SUM(N54)+Mar!W54)</f>
        <v>0</v>
      </c>
      <c r="X54" s="49">
        <f>IF(O54=" ",Mar!X54,O54+Mar!X54)</f>
        <v>0</v>
      </c>
      <c r="Y54" s="49">
        <f>IF(P54=" ",Mar!Y54,P54+Mar!Y54)</f>
        <v>0</v>
      </c>
      <c r="Z54" s="49">
        <f>IF(Q54=" ",Mar!Z54,Q54+Mar!Z54)</f>
        <v>0</v>
      </c>
      <c r="AA54" s="49">
        <f>IF(R54=" ",Mar!AA54,R54+Mar!AA54)</f>
        <v>0</v>
      </c>
      <c r="AC54" s="49">
        <f>IF(T54=" ",Mar!AC54,T54+Mar!AC54)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IF(T$49="Y",Mar!H55,0)</f>
        <v>0</v>
      </c>
      <c r="I55" s="92">
        <f>IF(T$49="Y",Mar!I55,0)</f>
        <v>0</v>
      </c>
      <c r="J55" s="92">
        <f>IF(T$49="Y",Mar!J55,0)</f>
        <v>0</v>
      </c>
      <c r="K55" s="92">
        <f>IF(T$49="Y",Mar!K55,I55*J55)</f>
        <v>0</v>
      </c>
      <c r="L55" s="92">
        <f>IF(T$49="Y",Mar!L55,0)</f>
        <v>0</v>
      </c>
      <c r="M55" s="100" t="str">
        <f>IF(E55=" "," ",IF(T$49="Y",Mar!M55,IF((H55+K55+L55)&gt;0,H55+K55+L55,"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IF(Employee!H$139=E$49,Employee!D$138+SUM(M55)+Mar!V55,SUM(M55)+Mar!V55)</f>
        <v>0</v>
      </c>
      <c r="W55" s="49">
        <f>IF(Employee!H$139=E$49,Employee!D$139+SUM(N55)+Mar!W55,SUM(N55)+Mar!W55)</f>
        <v>0</v>
      </c>
      <c r="X55" s="49">
        <f>IF(O55=" ",Mar!X55,O55+Mar!X55)</f>
        <v>0</v>
      </c>
      <c r="Y55" s="49">
        <f>IF(P55=" ",Mar!Y55,P55+Mar!Y55)</f>
        <v>0</v>
      </c>
      <c r="Z55" s="49">
        <f>IF(Q55=" ",Mar!Z55,Q55+Mar!Z55)</f>
        <v>0</v>
      </c>
      <c r="AA55" s="49">
        <f>IF(R55=" ",Mar!AA55,R55+Mar!AA55)</f>
        <v>0</v>
      </c>
      <c r="AC55" s="49">
        <f>IF(T55=" ",Mar!AC55,T55+Mar!AC55)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AD60+Mar!AD65</f>
        <v>0</v>
      </c>
      <c r="AE65" s="158">
        <f>AE60+Mar!AE65</f>
        <v>0</v>
      </c>
      <c r="AF65" s="158">
        <f>AF60+Mar!AF65</f>
        <v>0</v>
      </c>
      <c r="AG65" s="158">
        <f>AG60+Mar!AG65</f>
        <v>0</v>
      </c>
    </row>
    <row r="66" spans="6:33" ht="14" thickTop="1" x14ac:dyDescent="0.15"/>
    <row r="67" spans="6:33" x14ac:dyDescent="0.15">
      <c r="AD67" s="162"/>
      <c r="AE67" s="158">
        <f>AE62+Mar!AE67</f>
        <v>0</v>
      </c>
      <c r="AF67" s="158">
        <f>AF62+Mar!AF67</f>
        <v>0</v>
      </c>
      <c r="AG67" s="158">
        <f>AG62+Mar!AG67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Dec!H3:H6</f>
        <v>Statutory Pay</v>
      </c>
      <c r="I3" s="365" t="str">
        <f>Dec!I3:I6</f>
        <v>Basic hours</v>
      </c>
      <c r="J3" s="365" t="str">
        <f>Dec!J3:J6</f>
        <v>Hourly rate</v>
      </c>
      <c r="K3" s="365" t="str">
        <f>Dec!K3:K6</f>
        <v>Basic    wages</v>
      </c>
      <c r="L3" s="365" t="str">
        <f>Dec!L3:L6</f>
        <v>Overtime Bonus Gratuities</v>
      </c>
      <c r="M3" s="428" t="str">
        <f>Dec!M3:M6</f>
        <v>GROSS WAGES</v>
      </c>
      <c r="N3" s="365" t="str">
        <f>Dec!N3:N6</f>
        <v>Income Tax</v>
      </c>
      <c r="O3" s="365" t="str">
        <f>Dec!O3:O6</f>
        <v>Employees National Insurance</v>
      </c>
      <c r="P3" s="365" t="str">
        <f>Dec!P3:P6</f>
        <v>Student Loans</v>
      </c>
      <c r="Q3" s="365" t="str">
        <f>Dec!Q3:Q6</f>
        <v>Other Deductions</v>
      </c>
      <c r="R3" s="428" t="str">
        <f>Dec!R3:R6</f>
        <v>NET      PAY</v>
      </c>
      <c r="S3" s="42"/>
      <c r="T3" s="365" t="str">
        <f>Dec!T3:T6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Apr!M39+1</f>
        <v>46263</v>
      </c>
      <c r="L9" s="203" t="s">
        <v>76</v>
      </c>
      <c r="M9" s="205">
        <f>K9+6</f>
        <v>46269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46270</v>
      </c>
      <c r="L19" s="203" t="s">
        <v>76</v>
      </c>
      <c r="M19" s="205">
        <f>K19+6</f>
        <v>46276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46277</v>
      </c>
      <c r="L29" s="203" t="s">
        <v>76</v>
      </c>
      <c r="M29" s="205">
        <f>K29+6</f>
        <v>46283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46284</v>
      </c>
      <c r="L39" s="203" t="s">
        <v>76</v>
      </c>
      <c r="M39" s="205">
        <f>K39+6</f>
        <v>46290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46291</v>
      </c>
      <c r="L49" s="203" t="s">
        <v>76</v>
      </c>
      <c r="M49" s="205">
        <f>K49+6</f>
        <v>46297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DATE(2026,5,1)</f>
        <v>46143</v>
      </c>
      <c r="L59" s="203" t="s">
        <v>76</v>
      </c>
      <c r="M59" s="205">
        <f>DATE(2026,5,31)</f>
        <v>46173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IF(T$59="Y",Apr!H51,0)</f>
        <v>0</v>
      </c>
      <c r="I61" s="89">
        <f>IF(T$59="Y",Apr!I51,0)</f>
        <v>0</v>
      </c>
      <c r="J61" s="89">
        <f>IF(T$59="Y",Apr!J51,0)</f>
        <v>0</v>
      </c>
      <c r="K61" s="89">
        <f>IF(T$59="Y",Apr!K51,I61*J61)</f>
        <v>0</v>
      </c>
      <c r="L61" s="110">
        <f>IF(T$59="Y",Apr!L51,0)</f>
        <v>0</v>
      </c>
      <c r="M61" s="99" t="str">
        <f>IF(E61=" "," ",IF(T$59="Y",Apr!M51,IF((H61+K61+L61)&gt;0,H61+K61+L61,"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IF(Employee!H$35=E$59,Employee!D$34+SUM(M61)+Apr!V51,SUM(M61)+Apr!V51)</f>
        <v>0</v>
      </c>
      <c r="W61" s="49">
        <f>IF(Employee!H$35=E$59,Employee!D$35+SUM(N61)+Apr!W51,SUM(N61)+Apr!W51)</f>
        <v>0</v>
      </c>
      <c r="X61" s="49">
        <f>IF(O61=" ",Apr!X51,O61+Apr!X51)</f>
        <v>0</v>
      </c>
      <c r="Y61" s="49">
        <f>IF(P61=" ",Apr!Y51,P61+Apr!Y51)</f>
        <v>0</v>
      </c>
      <c r="Z61" s="49">
        <f>IF(Q61=" ",Apr!Z51,Q61+Apr!Z51)</f>
        <v>0</v>
      </c>
      <c r="AA61" s="49">
        <f>IF(R61=" ",Apr!AA51,R61+Apr!AA51)</f>
        <v>0</v>
      </c>
      <c r="AC61" s="49">
        <f>IF(T61=" ",Apr!AC51,T61+Apr!AC51)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IF(T$59="Y",Apr!H52,0)</f>
        <v>0</v>
      </c>
      <c r="I62" s="92">
        <f>IF(T$59="Y",Apr!I52,0)</f>
        <v>0</v>
      </c>
      <c r="J62" s="92">
        <f>IF(T$59="Y",Apr!J52,0)</f>
        <v>0</v>
      </c>
      <c r="K62" s="92">
        <f>IF(T$59="Y",Apr!K52,I62*J62)</f>
        <v>0</v>
      </c>
      <c r="L62" s="111">
        <f>IF(T$59="Y",Apr!L52,0)</f>
        <v>0</v>
      </c>
      <c r="M62" s="100" t="str">
        <f>IF(E62=" "," ",IF(T$59="Y",Apr!M52,IF((H62+K62+L62)&gt;0,H62+K62+L62,"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IF(Employee!H$61=E$59,Employee!D$60+SUM(M62)+Apr!V52,SUM(M62)+Apr!V52)</f>
        <v>0</v>
      </c>
      <c r="W62" s="49">
        <f>IF(Employee!H$61=E$59,Employee!D$61+SUM(N62)+Apr!W52,SUM(N62)+Apr!W52)</f>
        <v>0</v>
      </c>
      <c r="X62" s="49">
        <f>IF(O62=" ",Apr!X52,O62+Apr!X52)</f>
        <v>0</v>
      </c>
      <c r="Y62" s="49">
        <f>IF(P62=" ",Apr!Y52,P62+Apr!Y52)</f>
        <v>0</v>
      </c>
      <c r="Z62" s="49">
        <f>IF(Q62=" ",Apr!Z52,Q62+Apr!Z52)</f>
        <v>0</v>
      </c>
      <c r="AA62" s="49">
        <f>IF(R62=" ",Apr!AA52,R62+Apr!AA52)</f>
        <v>0</v>
      </c>
      <c r="AC62" s="49">
        <f>IF(T62=" ",Apr!AC52,T62+Apr!AC52)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IF(T$59="Y",Apr!H53,0)</f>
        <v>0</v>
      </c>
      <c r="I63" s="92">
        <f>IF(T$59="Y",Apr!I53,0)</f>
        <v>0</v>
      </c>
      <c r="J63" s="92">
        <f>IF(T$59="Y",Apr!J53,0)</f>
        <v>0</v>
      </c>
      <c r="K63" s="92">
        <f>IF(T$59="Y",Apr!K53,I63*J63)</f>
        <v>0</v>
      </c>
      <c r="L63" s="111">
        <f>IF(T$59="Y",Apr!L53,0)</f>
        <v>0</v>
      </c>
      <c r="M63" s="100" t="str">
        <f>IF(E63=" "," ",IF(T$59="Y",Apr!M53,IF((H63+K63+L63)&gt;0,H63+K63+L63,"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IF(Employee!H$87=E$59,Employee!D$86+SUM(M63)+Apr!V53,SUM(M63)+Apr!V53)</f>
        <v>0</v>
      </c>
      <c r="W63" s="49">
        <f>IF(Employee!H$87=E$59,Employee!D$87+SUM(N63)+Apr!W53,SUM(N63)+Apr!W53)</f>
        <v>0</v>
      </c>
      <c r="X63" s="49">
        <f>IF(O63=" ",Apr!X53,O63+Apr!X53)</f>
        <v>0</v>
      </c>
      <c r="Y63" s="49">
        <f>IF(P63=" ",Apr!Y53,P63+Apr!Y53)</f>
        <v>0</v>
      </c>
      <c r="Z63" s="49">
        <f>IF(Q63=" ",Apr!Z53,Q63+Apr!Z53)</f>
        <v>0</v>
      </c>
      <c r="AA63" s="49">
        <f>IF(R63=" ",Apr!AA53,R63+Apr!AA53)</f>
        <v>0</v>
      </c>
      <c r="AC63" s="49">
        <f>IF(T63=" ",Apr!AC53,T63+Apr!AC53)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IF(T$59="Y",Apr!H54,0)</f>
        <v>0</v>
      </c>
      <c r="I64" s="92">
        <f>IF(T$59="Y",Apr!I54,0)</f>
        <v>0</v>
      </c>
      <c r="J64" s="92">
        <f>IF(T$59="Y",Apr!J54,0)</f>
        <v>0</v>
      </c>
      <c r="K64" s="92">
        <f>IF(T$59="Y",Apr!K54,I64*J64)</f>
        <v>0</v>
      </c>
      <c r="L64" s="111">
        <f>IF(T$59="Y",Apr!L54,0)</f>
        <v>0</v>
      </c>
      <c r="M64" s="100" t="str">
        <f>IF(E64=" "," ",IF(T$59="Y",Apr!M54,IF((H64+K64+L64)&gt;0,H64+K64+L64,"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IF(Employee!H$113=E$59,Employee!D$112+SUM(M64)+Apr!V54,SUM(M64)+Apr!V54)</f>
        <v>0</v>
      </c>
      <c r="W64" s="49">
        <f>IF(Employee!H$113=E$59,Employee!D$113+SUM(N64)+Apr!W54,SUM(N64)+Apr!W54)</f>
        <v>0</v>
      </c>
      <c r="X64" s="49">
        <f>IF(O64=" ",Apr!X54,O64+Apr!X54)</f>
        <v>0</v>
      </c>
      <c r="Y64" s="49">
        <f>IF(P64=" ",Apr!Y54,P64+Apr!Y54)</f>
        <v>0</v>
      </c>
      <c r="Z64" s="49">
        <f>IF(Q64=" ",Apr!Z54,Q64+Apr!Z54)</f>
        <v>0</v>
      </c>
      <c r="AA64" s="49">
        <f>IF(R64=" ",Apr!AA54,R64+Apr!AA54)</f>
        <v>0</v>
      </c>
      <c r="AC64" s="49">
        <f>IF(T64=" ",Apr!AC54,T64+Apr!AC54)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IF(T$59="Y",Apr!H55,0)</f>
        <v>0</v>
      </c>
      <c r="I65" s="245">
        <f>IF(T$59="Y",Apr!I55,0)</f>
        <v>0</v>
      </c>
      <c r="J65" s="245">
        <f>IF(T$59="Y",Apr!J55,0)</f>
        <v>0</v>
      </c>
      <c r="K65" s="245">
        <f>IF(T$59="Y",Apr!K55,I65*J65)</f>
        <v>0</v>
      </c>
      <c r="L65" s="246">
        <f>IF(T$59="Y",Apr!L55,0)</f>
        <v>0</v>
      </c>
      <c r="M65" s="100" t="str">
        <f>IF(E65=" "," ",IF(T$59="Y",Apr!M55,IF((H65+K65+L65)&gt;0,H65+K65+L65,"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IF(Employee!H$139=E$59,Employee!D$138+SUM(M65)+Apr!V55,SUM(M65)+Apr!V55)</f>
        <v>0</v>
      </c>
      <c r="W65" s="49">
        <f>IF(Employee!H$139=E$59,Employee!D$139+SUM(N65)+Apr!W55,SUM(N65)+Apr!W55)</f>
        <v>0</v>
      </c>
      <c r="X65" s="49">
        <f>IF(O65=" ",Apr!X55,O65+Apr!X55)</f>
        <v>0</v>
      </c>
      <c r="Y65" s="49">
        <f>IF(P65=" ",Apr!Y55,P65+Apr!Y55)</f>
        <v>0</v>
      </c>
      <c r="Z65" s="49">
        <f>IF(Q65=" ",Apr!Z55,Q65+Apr!Z55)</f>
        <v>0</v>
      </c>
      <c r="AA65" s="49">
        <f>IF(R65=" ",Apr!AA55,R65+Apr!AA55)</f>
        <v>0</v>
      </c>
      <c r="AC65" s="49">
        <f>IF(T65=" ",Apr!AC55,T65+Apr!AC55)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AD70+Apr!AD65</f>
        <v>0</v>
      </c>
      <c r="AE75" s="158">
        <f>AE70+Apr!AE65</f>
        <v>0</v>
      </c>
      <c r="AF75" s="158">
        <f>AF70+Apr!AF65</f>
        <v>0</v>
      </c>
      <c r="AG75" s="158">
        <f>AG70+Apr!AG65</f>
        <v>0</v>
      </c>
    </row>
    <row r="76" spans="1:34" ht="14" thickTop="1" x14ac:dyDescent="0.15"/>
    <row r="77" spans="1:34" x14ac:dyDescent="0.15">
      <c r="AD77" s="162"/>
      <c r="AE77" s="158">
        <f>AE72+Apr!AE67</f>
        <v>0</v>
      </c>
      <c r="AF77" s="158">
        <f>AF72+Apr!AF67</f>
        <v>0</v>
      </c>
      <c r="AG77" s="158">
        <f>AG72+Apr!AG67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Dec!H3:H6</f>
        <v>Statutory Pay</v>
      </c>
      <c r="I3" s="365" t="str">
        <f>Dec!I3:I6</f>
        <v>Basic hours</v>
      </c>
      <c r="J3" s="365" t="str">
        <f>Dec!J3:J6</f>
        <v>Hourly rate</v>
      </c>
      <c r="K3" s="365" t="str">
        <f>Dec!K3:K6</f>
        <v>Basic    wages</v>
      </c>
      <c r="L3" s="365" t="str">
        <f>Dec!L3:L6</f>
        <v>Overtime Bonus Gratuities</v>
      </c>
      <c r="M3" s="428" t="str">
        <f>Dec!M3:M6</f>
        <v>GROSS WAGES</v>
      </c>
      <c r="N3" s="365" t="str">
        <f>Dec!N3:N6</f>
        <v>Income Tax</v>
      </c>
      <c r="O3" s="365" t="str">
        <f>Dec!O3:O6</f>
        <v>Employees National Insurance</v>
      </c>
      <c r="P3" s="365" t="str">
        <f>Dec!P3:P6</f>
        <v>Student Loans</v>
      </c>
      <c r="Q3" s="365" t="str">
        <f>Dec!Q3:Q6</f>
        <v>Other Deductions</v>
      </c>
      <c r="R3" s="428" t="str">
        <f>Dec!R3:R6</f>
        <v>NET      PAY</v>
      </c>
      <c r="S3" s="42"/>
      <c r="T3" s="365" t="str">
        <f>Dec!T3:T6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46298</v>
      </c>
      <c r="L9" s="203" t="s">
        <v>76</v>
      </c>
      <c r="M9" s="205">
        <f>Admin!B188</f>
        <v>46304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IF(T$9="Y",May!H51,0)</f>
        <v>0</v>
      </c>
      <c r="I11" s="89">
        <f>IF(T$9="Y",May!I51,0)</f>
        <v>0</v>
      </c>
      <c r="J11" s="89">
        <f>IF(T$9="Y",May!J51,0)</f>
        <v>0</v>
      </c>
      <c r="K11" s="89">
        <f>IF(T$9="Y",May!K51,I11*J11)</f>
        <v>0</v>
      </c>
      <c r="L11" s="110">
        <f>IF(T$9="Y",May!L51,0)</f>
        <v>0</v>
      </c>
      <c r="M11" s="99" t="str">
        <f>IF(E11=" "," ",IF(T$9="Y",May!M51,IF((H11+K11+L11)&gt;0,H11+K11+L11,"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IF(Employee!H$34=E$9,Employee!D$34+SUM(M11)+May!V51,SUM(M11)+May!V51)</f>
        <v>0</v>
      </c>
      <c r="W11" s="49">
        <f>IF(Employee!H$34=E$9,Employee!D$35+SUM(N11)+May!W51,SUM(N11)+May!W51)</f>
        <v>0</v>
      </c>
      <c r="X11" s="49">
        <f>IF(O11=" ",May!X51,O11+May!X51)</f>
        <v>0</v>
      </c>
      <c r="Y11" s="49">
        <f>IF(P11=" ",May!Y51,P11+May!Y51)</f>
        <v>0</v>
      </c>
      <c r="Z11" s="49">
        <f>IF(Q11=" ",May!Z51,Q11+May!Z51)</f>
        <v>0</v>
      </c>
      <c r="AA11" s="49">
        <f>IF(R11=" ",May!AA51,R11+May!AA51)</f>
        <v>0</v>
      </c>
      <c r="AC11" s="49">
        <f>IF(T11=" ",May!AC51,T11+May!AC51)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IF(T$9="Y",May!H52,0)</f>
        <v>0</v>
      </c>
      <c r="I12" s="92">
        <f>IF(T$9="Y",May!I52,0)</f>
        <v>0</v>
      </c>
      <c r="J12" s="92">
        <f>IF(T$9="Y",May!J52,0)</f>
        <v>0</v>
      </c>
      <c r="K12" s="92">
        <f>IF(T$9="Y",May!K52,I12*J12)</f>
        <v>0</v>
      </c>
      <c r="L12" s="111">
        <f>IF(T$9="Y",May!L52,0)</f>
        <v>0</v>
      </c>
      <c r="M12" s="100" t="str">
        <f>IF(E12=" "," ",IF(T$9="Y",May!M52,IF((H12+K12+L12)&gt;0,H12+K12+L12,"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IF(Employee!H$60=E$9,Employee!D$60+SUM(M12)+May!V52,SUM(M12)+May!V52)</f>
        <v>0</v>
      </c>
      <c r="W12" s="49">
        <f>IF(Employee!H$60=E$9,Employee!D$61+SUM(N12)+May!W52,SUM(N12)+May!W52)</f>
        <v>0</v>
      </c>
      <c r="X12" s="49">
        <f>IF(O12=" ",May!X52,O12+May!X52)</f>
        <v>0</v>
      </c>
      <c r="Y12" s="49">
        <f>IF(P12=" ",May!Y52,P12+May!Y52)</f>
        <v>0</v>
      </c>
      <c r="Z12" s="49">
        <f>IF(Q12=" ",May!Z52,Q12+May!Z52)</f>
        <v>0</v>
      </c>
      <c r="AA12" s="49">
        <f>IF(R12=" ",May!AA52,R12+May!AA52)</f>
        <v>0</v>
      </c>
      <c r="AC12" s="49">
        <f>IF(T12=" ",May!AC52,T12+May!AC52)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IF(T$9="Y",May!H53,0)</f>
        <v>0</v>
      </c>
      <c r="I13" s="92">
        <f>IF(T$9="Y",May!I53,0)</f>
        <v>0</v>
      </c>
      <c r="J13" s="92">
        <f>IF(T$9="Y",May!J53,0)</f>
        <v>0</v>
      </c>
      <c r="K13" s="92">
        <f>IF(T$9="Y",May!K53,I13*J13)</f>
        <v>0</v>
      </c>
      <c r="L13" s="111">
        <f>IF(T$9="Y",May!L53,0)</f>
        <v>0</v>
      </c>
      <c r="M13" s="100" t="str">
        <f>IF(E13=" "," ",IF(T$9="Y",May!M53,IF((H13+K13+L13)&gt;0,H13+K13+L13,"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IF(Employee!H$86=E$9,Employee!D$86+SUM(M13)+May!V53,SUM(M13)+May!V53)</f>
        <v>0</v>
      </c>
      <c r="W13" s="49">
        <f>IF(Employee!H$86=E$9,Employee!D$87+SUM(N13)+May!W53,SUM(N13)+May!W53)</f>
        <v>0</v>
      </c>
      <c r="X13" s="49">
        <f>IF(O13=" ",May!X53,O13+May!X53)</f>
        <v>0</v>
      </c>
      <c r="Y13" s="49">
        <f>IF(P13=" ",May!Y53,P13+May!Y53)</f>
        <v>0</v>
      </c>
      <c r="Z13" s="49">
        <f>IF(Q13=" ",May!Z53,Q13+May!Z53)</f>
        <v>0</v>
      </c>
      <c r="AA13" s="49">
        <f>IF(R13=" ",May!AA53,R13+May!AA53)</f>
        <v>0</v>
      </c>
      <c r="AC13" s="49">
        <f>IF(T13=" ",May!AC53,T13+May!AC53)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IF(T$9="Y",May!H54,0)</f>
        <v>0</v>
      </c>
      <c r="I14" s="92">
        <f>IF(T$9="Y",May!I54,0)</f>
        <v>0</v>
      </c>
      <c r="J14" s="92">
        <f>IF(T$9="Y",May!J54,0)</f>
        <v>0</v>
      </c>
      <c r="K14" s="92">
        <f>IF(T$9="Y",May!K54,I14*J14)</f>
        <v>0</v>
      </c>
      <c r="L14" s="111">
        <f>IF(T$9="Y",May!L54,0)</f>
        <v>0</v>
      </c>
      <c r="M14" s="100" t="str">
        <f>IF(E14=" "," ",IF(T$9="Y",May!M54,IF((H14+K14+L14)&gt;0,H14+K14+L14,"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IF(Employee!H$112=E$9,Employee!D$112+SUM(M14)+May!V54,SUM(M14)+May!V54)</f>
        <v>0</v>
      </c>
      <c r="W14" s="49">
        <f>IF(Employee!H$112=E$9,Employee!D$113+SUM(N14)+May!W54,SUM(N14)+May!W54)</f>
        <v>0</v>
      </c>
      <c r="X14" s="49">
        <f>IF(O14=" ",May!X54,O14+May!X54)</f>
        <v>0</v>
      </c>
      <c r="Y14" s="49">
        <f>IF(P14=" ",May!Y54,P14+May!Y54)</f>
        <v>0</v>
      </c>
      <c r="Z14" s="49">
        <f>IF(Q14=" ",May!Z54,Q14+May!Z54)</f>
        <v>0</v>
      </c>
      <c r="AA14" s="49">
        <f>IF(R14=" ",May!AA54,R14+May!AA54)</f>
        <v>0</v>
      </c>
      <c r="AC14" s="49">
        <f>IF(T14=" ",May!AC54,T14+May!AC54)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IF(T$9="Y",May!H55,0)</f>
        <v>0</v>
      </c>
      <c r="I15" s="245">
        <f>IF(T$9="Y",May!I55,0)</f>
        <v>0</v>
      </c>
      <c r="J15" s="245">
        <f>IF(T$9="Y",May!J55,0)</f>
        <v>0</v>
      </c>
      <c r="K15" s="245">
        <f>IF(T$9="Y",May!K55,I15*J15)</f>
        <v>0</v>
      </c>
      <c r="L15" s="246">
        <f>IF(T$9="Y",May!L55,0)</f>
        <v>0</v>
      </c>
      <c r="M15" s="247" t="str">
        <f>IF(E15=" "," ",IF(T$9="Y",May!M55,IF((H15+K15+L15)&gt;0,H15+K15+L15,"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IF(Employee!H$138=E$9,Employee!D$138+SUM(M15)+May!V55,SUM(M15)+May!V55)</f>
        <v>0</v>
      </c>
      <c r="W15" s="49">
        <f>IF(Employee!H$138=E$9,Employee!D$139+SUM(N15)+May!W55,SUM(N15)+May!W55)</f>
        <v>0</v>
      </c>
      <c r="X15" s="49">
        <f>IF(O15=" ",May!X55,O15+May!X55)</f>
        <v>0</v>
      </c>
      <c r="Y15" s="49">
        <f>IF(P15=" ",May!Y55,P15+May!Y55)</f>
        <v>0</v>
      </c>
      <c r="Z15" s="49">
        <f>IF(Q15=" ",May!Z55,Q15+May!Z55)</f>
        <v>0</v>
      </c>
      <c r="AA15" s="49">
        <f>IF(R15=" ",May!AA55,R15+May!AA55)</f>
        <v>0</v>
      </c>
      <c r="AC15" s="49">
        <f>IF(T15=" ",May!AC55,T15+May!AC55)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46305</v>
      </c>
      <c r="L19" s="203" t="s">
        <v>76</v>
      </c>
      <c r="M19" s="205">
        <f>K19+6</f>
        <v>46311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46312</v>
      </c>
      <c r="L29" s="203" t="s">
        <v>76</v>
      </c>
      <c r="M29" s="205">
        <f>K29+6</f>
        <v>46318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46319</v>
      </c>
      <c r="L39" s="203" t="s">
        <v>76</v>
      </c>
      <c r="M39" s="205">
        <f>K39+6</f>
        <v>46325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DATE(2026,6,1)</f>
        <v>46174</v>
      </c>
      <c r="L49" s="203" t="s">
        <v>76</v>
      </c>
      <c r="M49" s="205">
        <f>DATE(2026,6,30)</f>
        <v>46203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IF(T$49="Y",May!H61,0)</f>
        <v>0</v>
      </c>
      <c r="I51" s="89">
        <f>IF(T$49="Y",May!I61,0)</f>
        <v>0</v>
      </c>
      <c r="J51" s="89">
        <f>IF(T$49="Y",May!J61,0)</f>
        <v>0</v>
      </c>
      <c r="K51" s="89">
        <f>IF(T$49="Y",May!K61,I51*J51)</f>
        <v>0</v>
      </c>
      <c r="L51" s="110">
        <f>IF(T$49="Y",May!L61,0)</f>
        <v>0</v>
      </c>
      <c r="M51" s="99" t="str">
        <f>IF(E51=" "," ",IF(T$49="Y",May!M61,IF((H51+K51+L51)&gt;0,H51+K51+L51,"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IF(Employee!H$35=E$49,Employee!D$34+SUM(M51)+May!V61,SUM(M51)+May!V61)</f>
        <v>0</v>
      </c>
      <c r="W51" s="49">
        <f>IF(Employee!H$35=E$49,Employee!D$35+SUM(N51)+May!W61,SUM(N51)+May!W61)</f>
        <v>0</v>
      </c>
      <c r="X51" s="49">
        <f>IF(O51=" ",May!X61,O51+May!X61)</f>
        <v>0</v>
      </c>
      <c r="Y51" s="49">
        <f>IF(P51=" ",May!Y61,P51+May!Y61)</f>
        <v>0</v>
      </c>
      <c r="Z51" s="49">
        <f>IF(Q51=" ",May!Z61,Q51+May!Z61)</f>
        <v>0</v>
      </c>
      <c r="AA51" s="49">
        <f>IF(R51=" ",May!AA61,R51+May!AA61)</f>
        <v>0</v>
      </c>
      <c r="AC51" s="49">
        <f>IF(T51=" ",May!AC61,T51+May!AC61)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IF(T$49="Y",May!H62,0)</f>
        <v>0</v>
      </c>
      <c r="I52" s="92">
        <f>IF(T$49="Y",May!I62,0)</f>
        <v>0</v>
      </c>
      <c r="J52" s="92">
        <f>IF(T$49="Y",May!J62,0)</f>
        <v>0</v>
      </c>
      <c r="K52" s="92">
        <f>IF(T$49="Y",May!K62,I52*J52)</f>
        <v>0</v>
      </c>
      <c r="L52" s="111">
        <f>IF(T$49="Y",May!L62,0)</f>
        <v>0</v>
      </c>
      <c r="M52" s="100" t="str">
        <f>IF(E52=" "," ",IF(T$49="Y",May!M62,IF((H52+K52+L52)&gt;0,H52+K52+L52,"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IF(Employee!H$61=E$49,Employee!D$60+SUM(M52)+May!V62,SUM(M52)+May!V62)</f>
        <v>0</v>
      </c>
      <c r="W52" s="49">
        <f>IF(Employee!H$61=E$49,Employee!D$61+SUM(N52)+May!W62,SUM(N52)+May!W62)</f>
        <v>0</v>
      </c>
      <c r="X52" s="49">
        <f>IF(O52=" ",May!X62,O52+May!X62)</f>
        <v>0</v>
      </c>
      <c r="Y52" s="49">
        <f>IF(P52=" ",May!Y62,P52+May!Y62)</f>
        <v>0</v>
      </c>
      <c r="Z52" s="49">
        <f>IF(Q52=" ",May!Z62,Q52+May!Z62)</f>
        <v>0</v>
      </c>
      <c r="AA52" s="49">
        <f>IF(R52=" ",May!AA62,R52+May!AA62)</f>
        <v>0</v>
      </c>
      <c r="AC52" s="49">
        <f>IF(T52=" ",May!AC62,T52+May!AC62)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IF(T$49="Y",May!H63,0)</f>
        <v>0</v>
      </c>
      <c r="I53" s="92">
        <f>IF(T$49="Y",May!I63,0)</f>
        <v>0</v>
      </c>
      <c r="J53" s="92">
        <f>IF(T$49="Y",May!J63,0)</f>
        <v>0</v>
      </c>
      <c r="K53" s="92">
        <f>IF(T$49="Y",May!K63,I53*J53)</f>
        <v>0</v>
      </c>
      <c r="L53" s="111">
        <f>IF(T$49="Y",May!L63,0)</f>
        <v>0</v>
      </c>
      <c r="M53" s="100" t="str">
        <f>IF(E53=" "," ",IF(T$49="Y",May!M63,IF((H53+K53+L53)&gt;0,H53+K53+L53,"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IF(Employee!H$87=E$49,Employee!D$86+SUM(M53)+May!V63,SUM(M53)+May!V63)</f>
        <v>0</v>
      </c>
      <c r="W53" s="49">
        <f>IF(Employee!H$87=E$49,Employee!D$87+SUM(N53)+May!W63,SUM(N53)+May!W63)</f>
        <v>0</v>
      </c>
      <c r="X53" s="49">
        <f>IF(O53=" ",May!X63,O53+May!X63)</f>
        <v>0</v>
      </c>
      <c r="Y53" s="49">
        <f>IF(P53=" ",May!Y63,P53+May!Y63)</f>
        <v>0</v>
      </c>
      <c r="Z53" s="49">
        <f>IF(Q53=" ",May!Z63,Q53+May!Z63)</f>
        <v>0</v>
      </c>
      <c r="AA53" s="49">
        <f>IF(R53=" ",May!AA63,R53+May!AA63)</f>
        <v>0</v>
      </c>
      <c r="AC53" s="49">
        <f>IF(T53=" ",May!AC63,T53+May!AC63)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IF(T$49="Y",May!H64,0)</f>
        <v>0</v>
      </c>
      <c r="I54" s="92">
        <f>IF(T$49="Y",May!I64,0)</f>
        <v>0</v>
      </c>
      <c r="J54" s="92">
        <f>IF(T$49="Y",May!J64,0)</f>
        <v>0</v>
      </c>
      <c r="K54" s="92">
        <f>IF(T$49="Y",May!K64,I54*J54)</f>
        <v>0</v>
      </c>
      <c r="L54" s="111">
        <f>IF(T$49="Y",May!L64,0)</f>
        <v>0</v>
      </c>
      <c r="M54" s="100" t="str">
        <f>IF(E54=" "," ",IF(T$49="Y",May!M64,IF((H54+K54+L54)&gt;0,H54+K54+L54,"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IF(Employee!H$113=E$49,Employee!D$112+SUM(M54)+May!V64,SUM(M54)+May!V64)</f>
        <v>0</v>
      </c>
      <c r="W54" s="49">
        <f>IF(Employee!H$113=E$49,Employee!D$113+SUM(N54)+May!W64,SUM(N54)+May!W64)</f>
        <v>0</v>
      </c>
      <c r="X54" s="49">
        <f>IF(O54=" ",May!X64,O54+May!X64)</f>
        <v>0</v>
      </c>
      <c r="Y54" s="49">
        <f>IF(P54=" ",May!Y64,P54+May!Y64)</f>
        <v>0</v>
      </c>
      <c r="Z54" s="49">
        <f>IF(Q54=" ",May!Z64,Q54+May!Z64)</f>
        <v>0</v>
      </c>
      <c r="AA54" s="49">
        <f>IF(R54=" ",May!AA64,R54+May!AA64)</f>
        <v>0</v>
      </c>
      <c r="AC54" s="49">
        <f>IF(T54=" ",May!AC64,T54+May!AC64)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IF(T$49="Y",May!H65,0)</f>
        <v>0</v>
      </c>
      <c r="I55" s="245">
        <f>IF(T$49="Y",May!I65,0)</f>
        <v>0</v>
      </c>
      <c r="J55" s="245">
        <f>IF(T$49="Y",May!J65,0)</f>
        <v>0</v>
      </c>
      <c r="K55" s="245">
        <f>IF(T$49="Y",May!K65,I55*J55)</f>
        <v>0</v>
      </c>
      <c r="L55" s="246">
        <f>IF(T$49="Y",May!L65,0)</f>
        <v>0</v>
      </c>
      <c r="M55" s="100" t="str">
        <f>IF(E55=" "," ",IF(T$49="Y",May!M65,IF((H55+K55+L55)&gt;0,H55+K55+L55,"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IF(Employee!H$139=E$49,Employee!D$138+SUM(M55)+May!V65,SUM(M55)+May!V65)</f>
        <v>0</v>
      </c>
      <c r="W55" s="49">
        <f>IF(Employee!H$139=E$49,Employee!D$139+SUM(N55)+May!W65,SUM(N55)+May!W65)</f>
        <v>0</v>
      </c>
      <c r="X55" s="49">
        <f>IF(O55=" ",May!X65,O55+May!X65)</f>
        <v>0</v>
      </c>
      <c r="Y55" s="49">
        <f>IF(P55=" ",May!Y65,P55+May!Y65)</f>
        <v>0</v>
      </c>
      <c r="Z55" s="49">
        <f>IF(Q55=" ",May!Z65,Q55+May!Z65)</f>
        <v>0</v>
      </c>
      <c r="AA55" s="49">
        <f>IF(R55=" ",May!AA65,R55+May!AA65)</f>
        <v>0</v>
      </c>
      <c r="AC55" s="49">
        <f>IF(T55=" ",May!AC65,T55+May!AC65)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AD60+May!AD75</f>
        <v>0</v>
      </c>
      <c r="AE65" s="158">
        <f>AE60+May!AE75</f>
        <v>0</v>
      </c>
      <c r="AF65" s="158">
        <f>AF60+May!AF75</f>
        <v>0</v>
      </c>
      <c r="AG65" s="158">
        <f>AG60+May!AG75</f>
        <v>0</v>
      </c>
    </row>
    <row r="66" spans="6:33" ht="14" thickTop="1" x14ac:dyDescent="0.15"/>
    <row r="67" spans="6:33" x14ac:dyDescent="0.15">
      <c r="AD67" s="162"/>
      <c r="AE67" s="158">
        <f>AE62+May!AE77</f>
        <v>0</v>
      </c>
      <c r="AF67" s="158">
        <f>AF62+May!AF77</f>
        <v>0</v>
      </c>
      <c r="AG67" s="158">
        <f>AG62+May!AG77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Dec!H3:H6</f>
        <v>Statutory Pay</v>
      </c>
      <c r="I3" s="365" t="str">
        <f>Dec!I3:I6</f>
        <v>Basic hours</v>
      </c>
      <c r="J3" s="365" t="str">
        <f>Dec!J3:J6</f>
        <v>Hourly rate</v>
      </c>
      <c r="K3" s="365" t="str">
        <f>Dec!K3:K6</f>
        <v>Basic    wages</v>
      </c>
      <c r="L3" s="365" t="str">
        <f>Dec!L3:L6</f>
        <v>Overtime Bonus Gratuities</v>
      </c>
      <c r="M3" s="428" t="str">
        <f>Dec!M3:M6</f>
        <v>GROSS WAGES</v>
      </c>
      <c r="N3" s="365" t="str">
        <f>Dec!N3:N6</f>
        <v>Income Tax</v>
      </c>
      <c r="O3" s="365" t="str">
        <f>Dec!O3:O6</f>
        <v>Employees National Insurance</v>
      </c>
      <c r="P3" s="365" t="str">
        <f>Dec!P3:P6</f>
        <v>Student Loans</v>
      </c>
      <c r="Q3" s="365" t="str">
        <f>Dec!Q3:Q6</f>
        <v>Other Deductions</v>
      </c>
      <c r="R3" s="428" t="str">
        <f>Dec!R3:R6</f>
        <v>NET      PAY</v>
      </c>
      <c r="S3" s="42"/>
      <c r="T3" s="365" t="str">
        <f>Dec!T3:T6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46326</v>
      </c>
      <c r="L9" s="203" t="s">
        <v>76</v>
      </c>
      <c r="M9" s="205">
        <f>K9+6</f>
        <v>46332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110">
        <f>IF(T$9="Y",Jun!L41,0)</f>
        <v>0</v>
      </c>
      <c r="M11" s="99" t="str">
        <f>IF(E11=" "," ",IF(T$9="Y",Jun!M41,IF((H11+K11+L11)&gt;0,H11+K11+L11,"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IF(Employee!H$34=E$9,Employee!D$34+SUM(M11)+Jun!V41,SUM(M11)+Jun!V41)</f>
        <v>0</v>
      </c>
      <c r="W11" s="49">
        <f>IF(Employee!H$34=E$9,Employee!D$35+SUM(N11)+Jun!W41,SUM(N11)+Jun!W41)</f>
        <v>0</v>
      </c>
      <c r="X11" s="49">
        <f>IF(O11=" ",Jun!X41,O11+Jun!X41)</f>
        <v>0</v>
      </c>
      <c r="Y11" s="49">
        <f>IF(P11=" ",Jun!Y41,P11+Jun!Y41)</f>
        <v>0</v>
      </c>
      <c r="Z11" s="49">
        <f>IF(Q11=" ",Jun!Z41,Q11+Jun!Z41)</f>
        <v>0</v>
      </c>
      <c r="AA11" s="49">
        <f>IF(R11=" ",Jun!AA41,R11+Jun!AA41)</f>
        <v>0</v>
      </c>
      <c r="AC11" s="49">
        <f>IF(T11=" ",Jun!AC41,T11+Jun!AC41)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111">
        <f>IF(T$9="Y",Jun!L42,0)</f>
        <v>0</v>
      </c>
      <c r="M12" s="100" t="str">
        <f>IF(E12=" "," ",IF(T$9="Y",Jun!M42,IF((H12+K12+L12)&gt;0,H12+K12+L12,"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IF(Employee!H$60=E$9,Employee!D$60+SUM(M12)+Jun!V42,SUM(M12)+Jun!V42)</f>
        <v>0</v>
      </c>
      <c r="W12" s="49">
        <f>IF(Employee!H$60=E$9,Employee!D$61+SUM(N12)+Jun!W42,SUM(N12)+Jun!W42)</f>
        <v>0</v>
      </c>
      <c r="X12" s="49">
        <f>IF(O12=" ",Jun!X42,O12+Jun!X42)</f>
        <v>0</v>
      </c>
      <c r="Y12" s="49">
        <f>IF(P12=" ",Jun!Y42,P12+Jun!Y42)</f>
        <v>0</v>
      </c>
      <c r="Z12" s="49">
        <f>IF(Q12=" ",Jun!Z42,Q12+Jun!Z42)</f>
        <v>0</v>
      </c>
      <c r="AA12" s="49">
        <f>IF(R12=" ",Jun!AA42,R12+Jun!AA42)</f>
        <v>0</v>
      </c>
      <c r="AC12" s="49">
        <f>IF(T12=" ",Jun!AC42,T12+Jun!AC42)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111">
        <f>IF(T$9="Y",Jun!L43,0)</f>
        <v>0</v>
      </c>
      <c r="M13" s="100" t="str">
        <f>IF(E13=" "," ",IF(T$9="Y",Jun!M43,IF((H13+K13+L13)&gt;0,H13+K13+L13,"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IF(Employee!H$86=E$9,Employee!D$86+SUM(M13)+Jun!V43,SUM(M13)+Jun!V43)</f>
        <v>0</v>
      </c>
      <c r="W13" s="49">
        <f>IF(Employee!H$86=E$9,Employee!D$87+SUM(N13)+Jun!W43,SUM(N13)+Jun!W43)</f>
        <v>0</v>
      </c>
      <c r="X13" s="49">
        <f>IF(O13=" ",Jun!X43,O13+Jun!X43)</f>
        <v>0</v>
      </c>
      <c r="Y13" s="49">
        <f>IF(P13=" ",Jun!Y43,P13+Jun!Y43)</f>
        <v>0</v>
      </c>
      <c r="Z13" s="49">
        <f>IF(Q13=" ",Jun!Z43,Q13+Jun!Z43)</f>
        <v>0</v>
      </c>
      <c r="AA13" s="49">
        <f>IF(R13=" ",Jun!AA43,R13+Jun!AA43)</f>
        <v>0</v>
      </c>
      <c r="AC13" s="49">
        <f>IF(T13=" ",Jun!AC43,T13+Jun!AC43)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111">
        <f>IF(T$9="Y",Jun!L44,0)</f>
        <v>0</v>
      </c>
      <c r="M14" s="100" t="str">
        <f>IF(E14=" "," ",IF(T$9="Y",Jun!M44,IF((H14+K14+L14)&gt;0,H14+K14+L14,"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IF(Employee!H$112=E$9,Employee!D$112+SUM(M14)+Jun!V44,SUM(M14)+Jun!V44)</f>
        <v>0</v>
      </c>
      <c r="W14" s="49">
        <f>IF(Employee!H$112=E$9,Employee!D$113+SUM(N14)+Jun!W44,SUM(N14)+Jun!W44)</f>
        <v>0</v>
      </c>
      <c r="X14" s="49">
        <f>IF(O14=" ",Jun!X44,O14+Jun!X44)</f>
        <v>0</v>
      </c>
      <c r="Y14" s="49">
        <f>IF(P14=" ",Jun!Y44,P14+Jun!Y44)</f>
        <v>0</v>
      </c>
      <c r="Z14" s="49">
        <f>IF(Q14=" ",Jun!Z44,Q14+Jun!Z44)</f>
        <v>0</v>
      </c>
      <c r="AA14" s="49">
        <f>IF(R14=" ",Jun!AA44,R14+Jun!AA44)</f>
        <v>0</v>
      </c>
      <c r="AC14" s="49">
        <f>IF(T14=" ",Jun!AC44,T14+Jun!AC44)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6">
        <f>IF(T$9="Y",Jun!L45,0)</f>
        <v>0</v>
      </c>
      <c r="M15" s="247" t="str">
        <f>IF(E15=" "," ",IF(T$9="Y",Jun!M45,IF((H15+K15+L15)&gt;0,H15+K15+L15,"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IF(Employee!H$138=E$9,Employee!D$138+SUM(M15)+Jun!V45,SUM(M15)+Jun!V45)</f>
        <v>0</v>
      </c>
      <c r="W15" s="49">
        <f>IF(Employee!H$138=E$9,Employee!D$139+SUM(N15)+Jun!W45,SUM(N15)+Jun!W45)</f>
        <v>0</v>
      </c>
      <c r="X15" s="49">
        <f>IF(O15=" ",Jun!X45,O15+Jun!X45)</f>
        <v>0</v>
      </c>
      <c r="Y15" s="49">
        <f>IF(P15=" ",Jun!Y45,P15+Jun!Y45)</f>
        <v>0</v>
      </c>
      <c r="Z15" s="49">
        <f>IF(Q15=" ",Jun!Z45,Q15+Jun!Z45)</f>
        <v>0</v>
      </c>
      <c r="AA15" s="49">
        <f>IF(R15=" ",Jun!AA45,R15+Jun!AA45)</f>
        <v>0</v>
      </c>
      <c r="AC15" s="49">
        <f>IF(T15=" ",Jun!AC45,T15+Jun!AC45)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46333</v>
      </c>
      <c r="L19" s="203" t="s">
        <v>76</v>
      </c>
      <c r="M19" s="205">
        <f>K19+6</f>
        <v>46339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46340</v>
      </c>
      <c r="L29" s="203" t="s">
        <v>76</v>
      </c>
      <c r="M29" s="205">
        <f>K29+6</f>
        <v>46346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46347</v>
      </c>
      <c r="L39" s="203" t="s">
        <v>76</v>
      </c>
      <c r="M39" s="205">
        <f>K39+6</f>
        <v>46353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DATE(2026,7,1)</f>
        <v>46204</v>
      </c>
      <c r="L49" s="203" t="s">
        <v>76</v>
      </c>
      <c r="M49" s="205">
        <f>DATE(2026,7,31)</f>
        <v>46234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IF(T$49="Y",Jun!H51,0)</f>
        <v>0</v>
      </c>
      <c r="I51" s="89">
        <f>IF(T$49="Y",Jun!I51,0)</f>
        <v>0</v>
      </c>
      <c r="J51" s="89">
        <f>IF(T$49="Y",Jun!J51,0)</f>
        <v>0</v>
      </c>
      <c r="K51" s="89">
        <f>IF(T$49="Y",Jun!K51,I51*J51)</f>
        <v>0</v>
      </c>
      <c r="L51" s="110">
        <f>IF(T$49="Y",Jun!L51,0)</f>
        <v>0</v>
      </c>
      <c r="M51" s="99" t="str">
        <f>IF(E51=" "," ",IF(T$49="Y",Jun!M51,IF((H51+K51+L51)&gt;0,H51+K51+L51,"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IF(Employee!H$35=E$49,Employee!D$34+SUM(M51)+Jun!V51,SUM(M51)+Jun!V51)</f>
        <v>0</v>
      </c>
      <c r="W51" s="49">
        <f>IF(Employee!H$35=E$49,Employee!D$35+SUM(N51)+Jun!W51,SUM(N51)+Jun!W51)</f>
        <v>0</v>
      </c>
      <c r="X51" s="49">
        <f>IF(O51=" ",Jun!X51,O51+Jun!X51)</f>
        <v>0</v>
      </c>
      <c r="Y51" s="49">
        <f>IF(P51=" ",Jun!Y51,P51+Jun!Y51)</f>
        <v>0</v>
      </c>
      <c r="Z51" s="49">
        <f>IF(Q51=" ",Jun!Z51,Q51+Jun!Z51)</f>
        <v>0</v>
      </c>
      <c r="AA51" s="49">
        <f>IF(R51=" ",Jun!AA51,R51+Jun!AA51)</f>
        <v>0</v>
      </c>
      <c r="AC51" s="49">
        <f>IF(T51=" ",Jun!AC51,T51+Jun!AC51)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IF(T$49="Y",Jun!H52,0)</f>
        <v>0</v>
      </c>
      <c r="I52" s="92">
        <f>IF(T$49="Y",Jun!I52,0)</f>
        <v>0</v>
      </c>
      <c r="J52" s="92">
        <f>IF(T$49="Y",Jun!J52,0)</f>
        <v>0</v>
      </c>
      <c r="K52" s="92">
        <f>IF(T$49="Y",Jun!K52,I52*J52)</f>
        <v>0</v>
      </c>
      <c r="L52" s="111">
        <f>IF(T$49="Y",Jun!L52,0)</f>
        <v>0</v>
      </c>
      <c r="M52" s="100" t="str">
        <f>IF(E52=" "," ",IF(T$49="Y",Jun!M52,IF((H52+K52+L52)&gt;0,H52+K52+L52,"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IF(Employee!H$61=E$49,Employee!D$60+SUM(M52)+Jun!V52,SUM(M52)+Jun!V52)</f>
        <v>0</v>
      </c>
      <c r="W52" s="49">
        <f>IF(Employee!H$61=E$49,Employee!D$61+SUM(N52)+Jun!W52,SUM(N52)+Jun!W52)</f>
        <v>0</v>
      </c>
      <c r="X52" s="49">
        <f>IF(O52=" ",Jun!X52,O52+Jun!X52)</f>
        <v>0</v>
      </c>
      <c r="Y52" s="49">
        <f>IF(P52=" ",Jun!Y52,P52+Jun!Y52)</f>
        <v>0</v>
      </c>
      <c r="Z52" s="49">
        <f>IF(Q52=" ",Jun!Z52,Q52+Jun!Z52)</f>
        <v>0</v>
      </c>
      <c r="AA52" s="49">
        <f>IF(R52=" ",Jun!AA52,R52+Jun!AA52)</f>
        <v>0</v>
      </c>
      <c r="AC52" s="49">
        <f>IF(T52=" ",Jun!AC52,T52+Jun!AC52)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IF(T$49="Y",Jun!H53,0)</f>
        <v>0</v>
      </c>
      <c r="I53" s="92">
        <f>IF(T$49="Y",Jun!I53,0)</f>
        <v>0</v>
      </c>
      <c r="J53" s="92">
        <f>IF(T$49="Y",Jun!J53,0)</f>
        <v>0</v>
      </c>
      <c r="K53" s="92">
        <f>IF(T$49="Y",Jun!K53,I53*J53)</f>
        <v>0</v>
      </c>
      <c r="L53" s="111">
        <f>IF(T$49="Y",Jun!L53,0)</f>
        <v>0</v>
      </c>
      <c r="M53" s="100" t="str">
        <f>IF(E53=" "," ",IF(T$49="Y",Jun!M53,IF((H53+K53+L53)&gt;0,H53+K53+L53,"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IF(Employee!H$87=E$49,Employee!D$86+SUM(M53)+Jun!V53,SUM(M53)+Jun!V53)</f>
        <v>0</v>
      </c>
      <c r="W53" s="49">
        <f>IF(Employee!H$87=E$49,Employee!D$87+SUM(N53)+Jun!W53,SUM(N53)+Jun!W53)</f>
        <v>0</v>
      </c>
      <c r="X53" s="49">
        <f>IF(O53=" ",Jun!X53,O53+Jun!X53)</f>
        <v>0</v>
      </c>
      <c r="Y53" s="49">
        <f>IF(P53=" ",Jun!Y53,P53+Jun!Y53)</f>
        <v>0</v>
      </c>
      <c r="Z53" s="49">
        <f>IF(Q53=" ",Jun!Z53,Q53+Jun!Z53)</f>
        <v>0</v>
      </c>
      <c r="AA53" s="49">
        <f>IF(R53=" ",Jun!AA53,R53+Jun!AA53)</f>
        <v>0</v>
      </c>
      <c r="AC53" s="49">
        <f>IF(T53=" ",Jun!AC53,T53+Jun!AC53)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IF(T$49="Y",Jun!H54,0)</f>
        <v>0</v>
      </c>
      <c r="I54" s="92">
        <f>IF(T$49="Y",Jun!I54,0)</f>
        <v>0</v>
      </c>
      <c r="J54" s="92">
        <f>IF(T$49="Y",Jun!J54,0)</f>
        <v>0</v>
      </c>
      <c r="K54" s="92">
        <f>IF(T$49="Y",Jun!K54,I54*J54)</f>
        <v>0</v>
      </c>
      <c r="L54" s="111">
        <f>IF(T$49="Y",Jun!L54,0)</f>
        <v>0</v>
      </c>
      <c r="M54" s="100" t="str">
        <f>IF(E54=" "," ",IF(T$49="Y",Jun!M54,IF((H54+K54+L54)&gt;0,H54+K54+L54,"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IF(Employee!H$113=E$49,Employee!D$112+SUM(M54)+Jun!V54,SUM(M54)+Jun!V54)</f>
        <v>0</v>
      </c>
      <c r="W54" s="49">
        <f>IF(Employee!H$113=E$49,Employee!D$113+SUM(N54)+Jun!W54,SUM(N54)+Jun!W54)</f>
        <v>0</v>
      </c>
      <c r="X54" s="49">
        <f>IF(O54=" ",Jun!X54,O54+Jun!X54)</f>
        <v>0</v>
      </c>
      <c r="Y54" s="49">
        <f>IF(P54=" ",Jun!Y54,P54+Jun!Y54)</f>
        <v>0</v>
      </c>
      <c r="Z54" s="49">
        <f>IF(Q54=" ",Jun!Z54,Q54+Jun!Z54)</f>
        <v>0</v>
      </c>
      <c r="AA54" s="49">
        <f>IF(R54=" ",Jun!AA54,R54+Jun!AA54)</f>
        <v>0</v>
      </c>
      <c r="AC54" s="49">
        <f>IF(T54=" ",Jun!AC54,T54+Jun!AC54)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IF(T$49="Y",Jun!H55,0)</f>
        <v>0</v>
      </c>
      <c r="I55" s="245">
        <f>IF(T$49="Y",Jun!I55,0)</f>
        <v>0</v>
      </c>
      <c r="J55" s="245">
        <f>IF(T$49="Y",Jun!J55,0)</f>
        <v>0</v>
      </c>
      <c r="K55" s="245">
        <f>IF(T$49="Y",Jun!K55,I55*J55)</f>
        <v>0</v>
      </c>
      <c r="L55" s="246">
        <f>IF(T$49="Y",Jun!L55,0)</f>
        <v>0</v>
      </c>
      <c r="M55" s="100" t="str">
        <f>IF(E55=" "," ",IF(T$49="Y",Jun!M55,IF((H55+K55+L55)&gt;0,H55+K55+L55,"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IF(Employee!H$139=E$49,Employee!D$138+SUM(M55)+Jun!V55,SUM(M55)+Jun!V55)</f>
        <v>0</v>
      </c>
      <c r="W55" s="49">
        <f>IF(Employee!H$139=E$49,Employee!D$139+SUM(N55)+Jun!W55,SUM(N55)+Jun!W55)</f>
        <v>0</v>
      </c>
      <c r="X55" s="49">
        <f>IF(O55=" ",Jun!X55,O55+Jun!X55)</f>
        <v>0</v>
      </c>
      <c r="Y55" s="49">
        <f>IF(P55=" ",Jun!Y55,P55+Jun!Y55)</f>
        <v>0</v>
      </c>
      <c r="Z55" s="49">
        <f>IF(Q55=" ",Jun!Z55,Q55+Jun!Z55)</f>
        <v>0</v>
      </c>
      <c r="AA55" s="49">
        <f>IF(R55=" ",Jun!AA55,R55+Jun!AA55)</f>
        <v>0</v>
      </c>
      <c r="AC55" s="49">
        <f>IF(T55=" ",Jun!AC55,T55+Jun!AC55)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AD60+Jun!AD65</f>
        <v>0</v>
      </c>
      <c r="AE65" s="158">
        <f>AE60+Jun!AE65</f>
        <v>0</v>
      </c>
      <c r="AF65" s="158">
        <f>AF60+Jun!AF65</f>
        <v>0</v>
      </c>
      <c r="AG65" s="158">
        <f>AG60+Jun!AG65</f>
        <v>0</v>
      </c>
    </row>
    <row r="66" spans="6:33" ht="14" thickTop="1" x14ac:dyDescent="0.15"/>
    <row r="67" spans="6:33" x14ac:dyDescent="0.15">
      <c r="AD67" s="162"/>
      <c r="AE67" s="158">
        <f>AE62+Jun!AE67</f>
        <v>0</v>
      </c>
      <c r="AF67" s="158">
        <f>AF62+Jun!AF67</f>
        <v>0</v>
      </c>
      <c r="AG67" s="158">
        <f>AG62+Jun!AG67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Dec!H3:H6</f>
        <v>Statutory Pay</v>
      </c>
      <c r="I3" s="365" t="str">
        <f>Dec!I3:I6</f>
        <v>Basic hours</v>
      </c>
      <c r="J3" s="365" t="str">
        <f>Dec!J3:J6</f>
        <v>Hourly rate</v>
      </c>
      <c r="K3" s="365" t="str">
        <f>Dec!K3:K6</f>
        <v>Basic    wages</v>
      </c>
      <c r="L3" s="365" t="str">
        <f>Dec!L3:L6</f>
        <v>Overtime Bonus Gratuities</v>
      </c>
      <c r="M3" s="428" t="str">
        <f>Dec!M3:M6</f>
        <v>GROSS WAGES</v>
      </c>
      <c r="N3" s="365" t="str">
        <f>Dec!N3:N6</f>
        <v>Income Tax</v>
      </c>
      <c r="O3" s="365" t="str">
        <f>Dec!O3:O6</f>
        <v>Employees National Insurance</v>
      </c>
      <c r="P3" s="365" t="str">
        <f>Dec!P3:P6</f>
        <v>Student Loans</v>
      </c>
      <c r="Q3" s="365" t="str">
        <f>Dec!Q3:Q6</f>
        <v>Other Deductions</v>
      </c>
      <c r="R3" s="428" t="str">
        <f>Dec!R3:R6</f>
        <v>NET      PAY</v>
      </c>
      <c r="S3" s="42"/>
      <c r="T3" s="365" t="str">
        <f>Dec!T3:T6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Jul!M39+1</f>
        <v>46354</v>
      </c>
      <c r="L9" s="203" t="s">
        <v>76</v>
      </c>
      <c r="M9" s="205">
        <f>K9+6</f>
        <v>46360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IF(T$9="Y",Jul!H41,0)</f>
        <v>0</v>
      </c>
      <c r="I11" s="89">
        <f>IF(T$9="Y",Jul!I41,0)</f>
        <v>0</v>
      </c>
      <c r="J11" s="89">
        <f>IF(T$9="Y",Jul!J41,0)</f>
        <v>0</v>
      </c>
      <c r="K11" s="89">
        <f>IF(T$9="Y",Jul!K41,I11*J11)</f>
        <v>0</v>
      </c>
      <c r="L11" s="110">
        <f>IF(T$9="Y",Jul!L41,0)</f>
        <v>0</v>
      </c>
      <c r="M11" s="110" t="str">
        <f>IF(E11=" "," ",IF(T$9="Y",Jul!M41,IF((H11+K11+L11)&gt;0,H11+K11+L11,"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IF(T$9="Y",Jul!H42,0)</f>
        <v>0</v>
      </c>
      <c r="I12" s="92">
        <f>IF(T$9="Y",Jul!I42,0)</f>
        <v>0</v>
      </c>
      <c r="J12" s="92">
        <f>IF(T$9="Y",Jul!J42,0)</f>
        <v>0</v>
      </c>
      <c r="K12" s="92">
        <f>IF(T$9="Y",Jul!K42,I12*J12)</f>
        <v>0</v>
      </c>
      <c r="L12" s="111">
        <f>IF(T$9="Y",Jul!L42,0)</f>
        <v>0</v>
      </c>
      <c r="M12" s="111" t="str">
        <f>IF(E12=" "," ",IF(T$9="Y",Jul!M42,IF((H12+K12+L12)&gt;0,H12+K12+L12,"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IF(T$9="Y",Jul!H43,0)</f>
        <v>0</v>
      </c>
      <c r="I13" s="92">
        <f>IF(T$9="Y",Jul!I43,0)</f>
        <v>0</v>
      </c>
      <c r="J13" s="92">
        <f>IF(T$9="Y",Jul!J43,0)</f>
        <v>0</v>
      </c>
      <c r="K13" s="92">
        <f>IF(T$9="Y",Jul!K43,I13*J13)</f>
        <v>0</v>
      </c>
      <c r="L13" s="111">
        <f>IF(T$9="Y",Jul!L43,0)</f>
        <v>0</v>
      </c>
      <c r="M13" s="111" t="str">
        <f>IF(E13=" "," ",IF(T$9="Y",Jul!M43,IF((H13+K13+L13)&gt;0,H13+K13+L13,"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IF(T$9="Y",Jul!H44,0)</f>
        <v>0</v>
      </c>
      <c r="I14" s="92">
        <f>IF(T$9="Y",Jul!I44,0)</f>
        <v>0</v>
      </c>
      <c r="J14" s="92">
        <f>IF(T$9="Y",Jul!J44,0)</f>
        <v>0</v>
      </c>
      <c r="K14" s="92">
        <f>IF(T$9="Y",Jul!K44,I14*J14)</f>
        <v>0</v>
      </c>
      <c r="L14" s="111">
        <f>IF(T$9="Y",Jul!L44,0)</f>
        <v>0</v>
      </c>
      <c r="M14" s="111" t="str">
        <f>IF(E14=" "," ",IF(T$9="Y",Jul!M44,IF((H14+K14+L14)&gt;0,H14+K14+L14,"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IF(T$9="Y",Jul!H45,0)</f>
        <v>0</v>
      </c>
      <c r="I15" s="245">
        <f>IF(T$9="Y",Jul!I45,0)</f>
        <v>0</v>
      </c>
      <c r="J15" s="245">
        <f>IF(T$9="Y",Jul!J45,0)</f>
        <v>0</v>
      </c>
      <c r="K15" s="245">
        <f>IF(T$9="Y",Jul!K45,I15*J15)</f>
        <v>0</v>
      </c>
      <c r="L15" s="246">
        <f>IF(T$9="Y",Jul!L45,0)</f>
        <v>0</v>
      </c>
      <c r="M15" s="111" t="str">
        <f>IF(E15=" "," ",IF(T$9="Y",Jul!M45,IF((H15+K15+L15)&gt;0,H15+K15+L15,"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46361</v>
      </c>
      <c r="L19" s="203" t="s">
        <v>76</v>
      </c>
      <c r="M19" s="205">
        <f>K19+6</f>
        <v>46367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46368</v>
      </c>
      <c r="L29" s="203" t="s">
        <v>76</v>
      </c>
      <c r="M29" s="205">
        <f>K29+6</f>
        <v>46374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46375</v>
      </c>
      <c r="L39" s="203" t="s">
        <v>76</v>
      </c>
      <c r="M39" s="205">
        <f>K39+6</f>
        <v>46381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46382</v>
      </c>
      <c r="L49" s="203" t="s">
        <v>76</v>
      </c>
      <c r="M49" s="205">
        <f>K49+6</f>
        <v>46388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DATE(2026,8,1)</f>
        <v>46235</v>
      </c>
      <c r="L59" s="203" t="s">
        <v>76</v>
      </c>
      <c r="M59" s="205">
        <f>DATE(2026,8,31)</f>
        <v>46265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IF(T$59="Y",Jul!H51,0)</f>
        <v>0</v>
      </c>
      <c r="I61" s="89">
        <f>IF(T$59="Y",Jul!I51,0)</f>
        <v>0</v>
      </c>
      <c r="J61" s="89">
        <f>IF(T$59="Y",Jul!J51,0)</f>
        <v>0</v>
      </c>
      <c r="K61" s="89">
        <f>IF(T$59="Y",Jul!K51,I61*J61)</f>
        <v>0</v>
      </c>
      <c r="L61" s="110">
        <f>IF(T$59="Y",Jul!L51,0)</f>
        <v>0</v>
      </c>
      <c r="M61" s="99" t="str">
        <f>IF(E61=" "," ",IF(T$59="Y",Jul!M51,IF((H61+K61+L61)&gt;0,H61+K61+L61,"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IF(Employee!H$35=E$59,Employee!D$34+SUM(M61)+Jul!V51,SUM(M61)+Jul!V51)</f>
        <v>0</v>
      </c>
      <c r="W61" s="49">
        <f>IF(Employee!H$35=E$59,Employee!D$35+SUM(N61)+Jul!W51,SUM(N61)+Jul!W51)</f>
        <v>0</v>
      </c>
      <c r="X61" s="49">
        <f>IF(O61=" ",Jul!X51,O61+Jul!X51)</f>
        <v>0</v>
      </c>
      <c r="Y61" s="49">
        <f>IF(P61=" ",Jul!Y51,P61+Jul!Y51)</f>
        <v>0</v>
      </c>
      <c r="Z61" s="49">
        <f>IF(Q61=" ",Jul!Z51,Q61+Jul!Z51)</f>
        <v>0</v>
      </c>
      <c r="AA61" s="49">
        <f>IF(R61=" ",Jul!AA51,R61+Jul!AA51)</f>
        <v>0</v>
      </c>
      <c r="AC61" s="49">
        <f>IF(T61=" ",Jul!AC51,T61+Jul!AC51)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IF(T$59="Y",Jul!H52,0)</f>
        <v>0</v>
      </c>
      <c r="I62" s="92">
        <f>IF(T$59="Y",Jul!I52,0)</f>
        <v>0</v>
      </c>
      <c r="J62" s="92">
        <f>IF(T$59="Y",Jul!J52,0)</f>
        <v>0</v>
      </c>
      <c r="K62" s="92">
        <f>IF(T$59="Y",Jul!K52,I62*J62)</f>
        <v>0</v>
      </c>
      <c r="L62" s="111">
        <f>IF(T$59="Y",Jul!L52,0)</f>
        <v>0</v>
      </c>
      <c r="M62" s="100" t="str">
        <f>IF(E62=" "," ",IF(T$59="Y",Jul!M52,IF((H62+K62+L62)&gt;0,H62+K62+L62,"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IF(Employee!H$61=E$59,Employee!D$60+SUM(M62)+Jul!V52,SUM(M62)+Jul!V52)</f>
        <v>0</v>
      </c>
      <c r="W62" s="49">
        <f>IF(Employee!H$61=E$59,Employee!D$61+SUM(N62)+Jul!W52,SUM(N62)+Jul!W52)</f>
        <v>0</v>
      </c>
      <c r="X62" s="49">
        <f>IF(O62=" ",Jul!X52,O62+Jul!X52)</f>
        <v>0</v>
      </c>
      <c r="Y62" s="49">
        <f>IF(P62=" ",Jul!Y52,P62+Jul!Y52)</f>
        <v>0</v>
      </c>
      <c r="Z62" s="49">
        <f>IF(Q62=" ",Jul!Z52,Q62+Jul!Z52)</f>
        <v>0</v>
      </c>
      <c r="AA62" s="49">
        <f>IF(R62=" ",Jul!AA52,R62+Jul!AA52)</f>
        <v>0</v>
      </c>
      <c r="AC62" s="49">
        <f>IF(T62=" ",Jul!AC52,T62+Jul!AC52)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IF(T$59="Y",Jul!H53,0)</f>
        <v>0</v>
      </c>
      <c r="I63" s="92">
        <f>IF(T$59="Y",Jul!I53,0)</f>
        <v>0</v>
      </c>
      <c r="J63" s="92">
        <f>IF(T$59="Y",Jul!J53,0)</f>
        <v>0</v>
      </c>
      <c r="K63" s="92">
        <f>IF(T$59="Y",Jul!K53,I63*J63)</f>
        <v>0</v>
      </c>
      <c r="L63" s="111">
        <f>IF(T$59="Y",Jul!L53,0)</f>
        <v>0</v>
      </c>
      <c r="M63" s="100" t="str">
        <f>IF(E63=" "," ",IF(T$59="Y",Jul!M53,IF((H63+K63+L63)&gt;0,H63+K63+L63,"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IF(Employee!H$87=E$59,Employee!D$86+SUM(M63)+Jul!V53,SUM(M63)+Jul!V53)</f>
        <v>0</v>
      </c>
      <c r="W63" s="49">
        <f>IF(Employee!H$87=E$59,Employee!D$87+SUM(N63)+Jul!W53,SUM(N63)+Jul!W53)</f>
        <v>0</v>
      </c>
      <c r="X63" s="49">
        <f>IF(O63=" ",Jul!X53,O63+Jul!X53)</f>
        <v>0</v>
      </c>
      <c r="Y63" s="49">
        <f>IF(P63=" ",Jul!Y53,P63+Jul!Y53)</f>
        <v>0</v>
      </c>
      <c r="Z63" s="49">
        <f>IF(Q63=" ",Jul!Z53,Q63+Jul!Z53)</f>
        <v>0</v>
      </c>
      <c r="AA63" s="49">
        <f>IF(R63=" ",Jul!AA53,R63+Jul!AA53)</f>
        <v>0</v>
      </c>
      <c r="AC63" s="49">
        <f>IF(T63=" ",Jul!AC53,T63+Jul!AC53)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IF(T$59="Y",Jul!H54,0)</f>
        <v>0</v>
      </c>
      <c r="I64" s="92">
        <f>IF(T$59="Y",Jul!I54,0)</f>
        <v>0</v>
      </c>
      <c r="J64" s="92">
        <f>IF(T$59="Y",Jul!J54,0)</f>
        <v>0</v>
      </c>
      <c r="K64" s="92">
        <f>IF(T$59="Y",Jul!K54,I64*J64)</f>
        <v>0</v>
      </c>
      <c r="L64" s="111">
        <f>IF(T$59="Y",Jul!L54,0)</f>
        <v>0</v>
      </c>
      <c r="M64" s="100" t="str">
        <f>IF(E64=" "," ",IF(T$59="Y",Jul!M54,IF((H64+K64+L64)&gt;0,H64+K64+L64,"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IF(Employee!H$113=E$59,Employee!D$112+SUM(M64)+Jul!V54,SUM(M64)+Jul!V54)</f>
        <v>0</v>
      </c>
      <c r="W64" s="49">
        <f>IF(Employee!H$113=E$59,Employee!D$113+SUM(N64)+Jul!W54,SUM(N64)+Jul!W54)</f>
        <v>0</v>
      </c>
      <c r="X64" s="49">
        <f>IF(O64=" ",Jul!X54,O64+Jul!X54)</f>
        <v>0</v>
      </c>
      <c r="Y64" s="49">
        <f>IF(P64=" ",Jul!Y54,P64+Jul!Y54)</f>
        <v>0</v>
      </c>
      <c r="Z64" s="49">
        <f>IF(Q64=" ",Jul!Z54,Q64+Jul!Z54)</f>
        <v>0</v>
      </c>
      <c r="AA64" s="49">
        <f>IF(R64=" ",Jul!AA54,R64+Jul!AA54)</f>
        <v>0</v>
      </c>
      <c r="AC64" s="49">
        <f>IF(T64=" ",Jul!AC54,T64+Jul!AC54)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IF(T$59="Y",Jul!H55,0)</f>
        <v>0</v>
      </c>
      <c r="I65" s="245">
        <f>IF(T$59="Y",Jul!I55,0)</f>
        <v>0</v>
      </c>
      <c r="J65" s="245">
        <f>IF(T$59="Y",Jul!J55,0)</f>
        <v>0</v>
      </c>
      <c r="K65" s="245">
        <f>IF(T$59="Y",Jul!K55,I65*J65)</f>
        <v>0</v>
      </c>
      <c r="L65" s="246">
        <f>IF(T$59="Y",Jul!L55,0)</f>
        <v>0</v>
      </c>
      <c r="M65" s="100" t="str">
        <f>IF(E65=" "," ",IF(T$59="Y",Jul!M55,IF((H65+K65+L65)&gt;0,H65+K65+L65,"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IF(Employee!H$139=E$59,Employee!D$138+SUM(M65)+Jul!V55,SUM(M65)+Jul!V55)</f>
        <v>0</v>
      </c>
      <c r="W65" s="49">
        <f>IF(Employee!H$139=E$59,Employee!D$139+SUM(N65)+Jul!W55,SUM(N65)+Jul!W55)</f>
        <v>0</v>
      </c>
      <c r="X65" s="49">
        <f>IF(O65=" ",Jul!X55,O65+Jul!X55)</f>
        <v>0</v>
      </c>
      <c r="Y65" s="49">
        <f>IF(P65=" ",Jul!Y55,P65+Jul!Y55)</f>
        <v>0</v>
      </c>
      <c r="Z65" s="49">
        <f>IF(Q65=" ",Jul!Z55,Q65+Jul!Z55)</f>
        <v>0</v>
      </c>
      <c r="AA65" s="49">
        <f>IF(R65=" ",Jul!AA55,R65+Jul!AA55)</f>
        <v>0</v>
      </c>
      <c r="AC65" s="49">
        <f>IF(T65=" ",Jul!AC55,T65+Jul!AC55)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AD70+Jul!AD65</f>
        <v>0</v>
      </c>
      <c r="AE75" s="158">
        <f>AE70+Jul!AE65</f>
        <v>0</v>
      </c>
      <c r="AF75" s="158">
        <f>AF70+Jul!AF65</f>
        <v>0</v>
      </c>
      <c r="AG75" s="158">
        <f>AG70+Jul!AG65</f>
        <v>0</v>
      </c>
    </row>
    <row r="76" spans="1:34" ht="14" thickTop="1" x14ac:dyDescent="0.15"/>
    <row r="77" spans="1:34" x14ac:dyDescent="0.15">
      <c r="AD77" s="162"/>
      <c r="AE77" s="158">
        <f>AE72+Jul!AE67</f>
        <v>0</v>
      </c>
      <c r="AF77" s="158">
        <f>AF72+Jul!AF67</f>
        <v>0</v>
      </c>
      <c r="AG77" s="158">
        <f>AG72+Jul!AG67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Dec!H3:H6</f>
        <v>Statutory Pay</v>
      </c>
      <c r="I3" s="365" t="str">
        <f>Dec!I3:I6</f>
        <v>Basic hours</v>
      </c>
      <c r="J3" s="365" t="str">
        <f>Dec!J3:J6</f>
        <v>Hourly rate</v>
      </c>
      <c r="K3" s="365" t="str">
        <f>Dec!K3:K6</f>
        <v>Basic    wages</v>
      </c>
      <c r="L3" s="365" t="str">
        <f>Dec!L3:L6</f>
        <v>Overtime Bonus Gratuities</v>
      </c>
      <c r="M3" s="428" t="str">
        <f>Dec!M3:M6</f>
        <v>GROSS WAGES</v>
      </c>
      <c r="N3" s="365" t="str">
        <f>Dec!N3:N6</f>
        <v>Income Tax</v>
      </c>
      <c r="O3" s="365" t="str">
        <f>Dec!O3:O6</f>
        <v>Employees National Insurance</v>
      </c>
      <c r="P3" s="365" t="str">
        <f>Dec!P3:P6</f>
        <v>Student Loans</v>
      </c>
      <c r="Q3" s="365" t="str">
        <f>Dec!Q3:Q6</f>
        <v>Other Deductions</v>
      </c>
      <c r="R3" s="428" t="str">
        <f>Dec!R3:R6</f>
        <v>NET      PAY</v>
      </c>
      <c r="S3" s="42"/>
      <c r="T3" s="365" t="str">
        <f>Dec!T3:T6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Aug!M49+1</f>
        <v>46389</v>
      </c>
      <c r="L9" s="203" t="s">
        <v>76</v>
      </c>
      <c r="M9" s="205">
        <f>K9+6</f>
        <v>46395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IF(T$9="Y",Aug!H51,0)</f>
        <v>0</v>
      </c>
      <c r="I11" s="89">
        <f>IF(T$9="Y",Aug!I51,0)</f>
        <v>0</v>
      </c>
      <c r="J11" s="89">
        <f>IF(T$9="Y",Aug!J51,0)</f>
        <v>0</v>
      </c>
      <c r="K11" s="89">
        <f>IF(T$9="Y",Aug!K51,I11*J11)</f>
        <v>0</v>
      </c>
      <c r="L11" s="110">
        <f>IF(T$9="Y",Aug!L51,0)</f>
        <v>0</v>
      </c>
      <c r="M11" s="110" t="str">
        <f>IF(E11=" "," ",IF(T$9="Y",Aug!M51,IF((H11+K11+L11)&gt;0,H11+K11+L11,"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IF(Employee!H$34=E$9,Employee!D$34+SUM(M11)+Aug!V51,SUM(M11)+Aug!V51)</f>
        <v>0</v>
      </c>
      <c r="W11" s="49">
        <f>IF(Employee!H$34=E$9,Employee!D$35+SUM(N11)+Aug!W51,SUM(N11)+Aug!W51)</f>
        <v>0</v>
      </c>
      <c r="X11" s="49">
        <f>IF(O11=" ",Aug!X51,O11+Aug!X51)</f>
        <v>0</v>
      </c>
      <c r="Y11" s="49">
        <f>IF(P11=" ",Aug!Y51,P11+Aug!Y51)</f>
        <v>0</v>
      </c>
      <c r="Z11" s="49">
        <f>IF(Q11=" ",Aug!Z51,Q11+Aug!Z51)</f>
        <v>0</v>
      </c>
      <c r="AA11" s="49">
        <f>IF(R11=" ",Aug!AA51,R11+Aug!AA51)</f>
        <v>0</v>
      </c>
      <c r="AC11" s="49">
        <f>IF(T11=" ",Aug!AC51,T11+Aug!AC51)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IF(T$9="Y",Aug!H52,0)</f>
        <v>0</v>
      </c>
      <c r="I12" s="92">
        <f>IF(T$9="Y",Aug!I52,0)</f>
        <v>0</v>
      </c>
      <c r="J12" s="92">
        <f>IF(T$9="Y",Aug!J52,0)</f>
        <v>0</v>
      </c>
      <c r="K12" s="92">
        <f>IF(T$9="Y",Aug!K52,I12*J12)</f>
        <v>0</v>
      </c>
      <c r="L12" s="111">
        <f>IF(T$9="Y",Aug!L52,0)</f>
        <v>0</v>
      </c>
      <c r="M12" s="111" t="str">
        <f>IF(E12=" "," ",IF(T$9="Y",Aug!M52,IF((H12+K12+L12)&gt;0,H12+K12+L12,"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IF(Employee!H$60=E$9,Employee!D$60+SUM(M12)+Aug!V52,SUM(M12)+Aug!V52)</f>
        <v>0</v>
      </c>
      <c r="W12" s="49">
        <f>IF(Employee!H$60=E$9,Employee!D$61+SUM(N12)+Aug!W52,SUM(N12)+Aug!W52)</f>
        <v>0</v>
      </c>
      <c r="X12" s="49">
        <f>IF(O12=" ",Aug!X52,O12+Aug!X52)</f>
        <v>0</v>
      </c>
      <c r="Y12" s="49">
        <f>IF(P12=" ",Aug!Y52,P12+Aug!Y52)</f>
        <v>0</v>
      </c>
      <c r="Z12" s="49">
        <f>IF(Q12=" ",Aug!Z52,Q12+Aug!Z52)</f>
        <v>0</v>
      </c>
      <c r="AA12" s="49">
        <f>IF(R12=" ",Aug!AA52,R12+Aug!AA52)</f>
        <v>0</v>
      </c>
      <c r="AC12" s="49">
        <f>IF(T12=" ",Aug!AC52,T12+Aug!AC52)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IF(T$9="Y",Aug!H53,0)</f>
        <v>0</v>
      </c>
      <c r="I13" s="92">
        <f>IF(T$9="Y",Aug!I53,0)</f>
        <v>0</v>
      </c>
      <c r="J13" s="92">
        <f>IF(T$9="Y",Aug!J53,0)</f>
        <v>0</v>
      </c>
      <c r="K13" s="92">
        <f>IF(T$9="Y",Aug!K53,I13*J13)</f>
        <v>0</v>
      </c>
      <c r="L13" s="111">
        <f>IF(T$9="Y",Aug!L53,0)</f>
        <v>0</v>
      </c>
      <c r="M13" s="111" t="str">
        <f>IF(E13=" "," ",IF(T$9="Y",Aug!M53,IF((H13+K13+L13)&gt;0,H13+K13+L13,"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IF(Employee!H$86=E$9,Employee!D$86+SUM(M13)+Aug!V53,SUM(M13)+Aug!V53)</f>
        <v>0</v>
      </c>
      <c r="W13" s="49">
        <f>IF(Employee!H$86=E$9,Employee!D$87+SUM(N13)+Aug!W53,SUM(N13)+Aug!W53)</f>
        <v>0</v>
      </c>
      <c r="X13" s="49">
        <f>IF(O13=" ",Aug!X53,O13+Aug!X53)</f>
        <v>0</v>
      </c>
      <c r="Y13" s="49">
        <f>IF(P13=" ",Aug!Y53,P13+Aug!Y53)</f>
        <v>0</v>
      </c>
      <c r="Z13" s="49">
        <f>IF(Q13=" ",Aug!Z53,Q13+Aug!Z53)</f>
        <v>0</v>
      </c>
      <c r="AA13" s="49">
        <f>IF(R13=" ",Aug!AA53,R13+Aug!AA53)</f>
        <v>0</v>
      </c>
      <c r="AC13" s="49">
        <f>IF(T13=" ",Aug!AC53,T13+Aug!AC53)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IF(T$9="Y",Aug!H54,0)</f>
        <v>0</v>
      </c>
      <c r="I14" s="92">
        <f>IF(T$9="Y",Aug!I54,0)</f>
        <v>0</v>
      </c>
      <c r="J14" s="92">
        <f>IF(T$9="Y",Aug!J54,0)</f>
        <v>0</v>
      </c>
      <c r="K14" s="92">
        <f>IF(T$9="Y",Aug!K54,I14*J14)</f>
        <v>0</v>
      </c>
      <c r="L14" s="111">
        <f>IF(T$9="Y",Aug!L54,0)</f>
        <v>0</v>
      </c>
      <c r="M14" s="111" t="str">
        <f>IF(E14=" "," ",IF(T$9="Y",Aug!M54,IF((H14+K14+L14)&gt;0,H14+K14+L14,"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IF(Employee!H$112=E$9,Employee!D$112+SUM(M14)+Aug!V54,SUM(M14)+Aug!V54)</f>
        <v>0</v>
      </c>
      <c r="W14" s="49">
        <f>IF(Employee!H$112=E$9,Employee!D$113+SUM(N14)+Aug!W54,SUM(N14)+Aug!W54)</f>
        <v>0</v>
      </c>
      <c r="X14" s="49">
        <f>IF(O14=" ",Aug!X54,O14+Aug!X54)</f>
        <v>0</v>
      </c>
      <c r="Y14" s="49">
        <f>IF(P14=" ",Aug!Y54,P14+Aug!Y54)</f>
        <v>0</v>
      </c>
      <c r="Z14" s="49">
        <f>IF(Q14=" ",Aug!Z54,Q14+Aug!Z54)</f>
        <v>0</v>
      </c>
      <c r="AA14" s="49">
        <f>IF(R14=" ",Aug!AA54,R14+Aug!AA54)</f>
        <v>0</v>
      </c>
      <c r="AC14" s="49">
        <f>IF(T14=" ",Aug!AC54,T14+Aug!AC54)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IF(T$9="Y",Aug!H55,0)</f>
        <v>0</v>
      </c>
      <c r="I15" s="245">
        <f>IF(T$9="Y",Aug!I55,0)</f>
        <v>0</v>
      </c>
      <c r="J15" s="245">
        <f>IF(T$9="Y",Aug!J55,0)</f>
        <v>0</v>
      </c>
      <c r="K15" s="245">
        <f>IF(T$9="Y",Aug!K55,I15*J15)</f>
        <v>0</v>
      </c>
      <c r="L15" s="246">
        <f>IF(T$9="Y",Aug!L55,0)</f>
        <v>0</v>
      </c>
      <c r="M15" s="111" t="str">
        <f>IF(E15=" "," ",IF(T$9="Y",Aug!M55,IF((H15+K15+L15)&gt;0,H15+K15+L15,"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IF(Employee!H$138=E$9,Employee!D$138+SUM(M15)+Aug!V55,SUM(M15)+Aug!V55)</f>
        <v>0</v>
      </c>
      <c r="W15" s="49">
        <f>IF(Employee!H$138=E$9,Employee!D$139+SUM(N15)+Aug!W55,SUM(N15)+Aug!W55)</f>
        <v>0</v>
      </c>
      <c r="X15" s="49">
        <f>IF(O15=" ",Aug!X55,O15+Aug!X55)</f>
        <v>0</v>
      </c>
      <c r="Y15" s="49">
        <f>IF(P15=" ",Aug!Y55,P15+Aug!Y55)</f>
        <v>0</v>
      </c>
      <c r="Z15" s="49">
        <f>IF(Q15=" ",Aug!Z55,Q15+Aug!Z55)</f>
        <v>0</v>
      </c>
      <c r="AA15" s="49">
        <f>IF(R15=" ",Aug!AA55,R15+Aug!AA55)</f>
        <v>0</v>
      </c>
      <c r="AC15" s="49">
        <f>IF(T15=" ",Aug!AC55,T15+Aug!AC55)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46396</v>
      </c>
      <c r="L19" s="203" t="s">
        <v>76</v>
      </c>
      <c r="M19" s="205">
        <f>K19+6</f>
        <v>46402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46403</v>
      </c>
      <c r="L29" s="203" t="s">
        <v>76</v>
      </c>
      <c r="M29" s="205">
        <f>K29+6</f>
        <v>46409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46410</v>
      </c>
      <c r="L39" s="203" t="s">
        <v>76</v>
      </c>
      <c r="M39" s="205">
        <f>K39+6</f>
        <v>46416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DATE(2026,9,1)</f>
        <v>46266</v>
      </c>
      <c r="L49" s="203" t="s">
        <v>76</v>
      </c>
      <c r="M49" s="205">
        <f>DATE(2026,9,30)</f>
        <v>46295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IF(T$49="Y",Aug!H61,0)</f>
        <v>0</v>
      </c>
      <c r="I51" s="89">
        <f>IF(T$49="Y",Aug!I61,0)</f>
        <v>0</v>
      </c>
      <c r="J51" s="89">
        <f>IF(T$49="Y",Aug!J61,0)</f>
        <v>0</v>
      </c>
      <c r="K51" s="89">
        <f>IF(T$49="Y",Aug!K61,I51*J51)</f>
        <v>0</v>
      </c>
      <c r="L51" s="110">
        <f>IF(T$49="Y",Aug!L61,0)</f>
        <v>0</v>
      </c>
      <c r="M51" s="99" t="str">
        <f>IF(E51=" "," ",IF(T$49="Y",Aug!M61,IF((H51+K51+L51)&gt;0,H51+K51+L51,"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IF(Employee!H$35=E$49,Employee!D$34+SUM(M51)+Aug!V61,SUM(M51)+Aug!V61)</f>
        <v>0</v>
      </c>
      <c r="W51" s="49">
        <f>IF(Employee!H$35=E$49,Employee!D$35+SUM(N51)+Aug!W61,SUM(N51)+Aug!W61)</f>
        <v>0</v>
      </c>
      <c r="X51" s="49">
        <f>IF(O51=" ",Aug!X61,O51+Aug!X61)</f>
        <v>0</v>
      </c>
      <c r="Y51" s="49">
        <f>IF(P51=" ",Aug!Y61,P51+Aug!Y61)</f>
        <v>0</v>
      </c>
      <c r="Z51" s="49">
        <f>IF(Q51=" ",Aug!Z61,Q51+Aug!Z61)</f>
        <v>0</v>
      </c>
      <c r="AA51" s="49">
        <f>IF(R51=" ",Aug!AA61,R51+Aug!AA61)</f>
        <v>0</v>
      </c>
      <c r="AC51" s="49">
        <f>IF(T51=" ",Aug!AC61,T51+Aug!AC61)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IF(T$49="Y",Aug!H62,0)</f>
        <v>0</v>
      </c>
      <c r="I52" s="92">
        <f>IF(T$49="Y",Aug!I62,0)</f>
        <v>0</v>
      </c>
      <c r="J52" s="92">
        <f>IF(T$49="Y",Aug!J62,0)</f>
        <v>0</v>
      </c>
      <c r="K52" s="92">
        <f>IF(T$49="Y",Aug!K62,I52*J52)</f>
        <v>0</v>
      </c>
      <c r="L52" s="111">
        <f>IF(T$49="Y",Aug!L62,0)</f>
        <v>0</v>
      </c>
      <c r="M52" s="100" t="str">
        <f>IF(E52=" "," ",IF(T$49="Y",Aug!M62,IF((H52+K52+L52)&gt;0,H52+K52+L52,"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IF(Employee!H$61=E$49,Employee!D$60+SUM(M52)+Aug!V62,SUM(M52)+Aug!V62)</f>
        <v>0</v>
      </c>
      <c r="W52" s="49">
        <f>IF(Employee!H$61=E$49,Employee!D$61+SUM(N52)+Aug!W62,SUM(N52)+Aug!W62)</f>
        <v>0</v>
      </c>
      <c r="X52" s="49">
        <f>IF(O52=" ",Aug!X62,O52+Aug!X62)</f>
        <v>0</v>
      </c>
      <c r="Y52" s="49">
        <f>IF(P52=" ",Aug!Y62,P52+Aug!Y62)</f>
        <v>0</v>
      </c>
      <c r="Z52" s="49">
        <f>IF(Q52=" ",Aug!Z62,Q52+Aug!Z62)</f>
        <v>0</v>
      </c>
      <c r="AA52" s="49">
        <f>IF(R52=" ",Aug!AA62,R52+Aug!AA62)</f>
        <v>0</v>
      </c>
      <c r="AC52" s="49">
        <f>IF(T52=" ",Aug!AC62,T52+Aug!AC62)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IF(T$49="Y",Aug!H63,0)</f>
        <v>0</v>
      </c>
      <c r="I53" s="92">
        <f>IF(T$49="Y",Aug!I63,0)</f>
        <v>0</v>
      </c>
      <c r="J53" s="92">
        <f>IF(T$49="Y",Aug!J63,0)</f>
        <v>0</v>
      </c>
      <c r="K53" s="92">
        <f>IF(T$49="Y",Aug!K63,I53*J53)</f>
        <v>0</v>
      </c>
      <c r="L53" s="111">
        <f>IF(T$49="Y",Aug!L63,0)</f>
        <v>0</v>
      </c>
      <c r="M53" s="100" t="str">
        <f>IF(E53=" "," ",IF(T$49="Y",Aug!M63,IF((H53+K53+L53)&gt;0,H53+K53+L53,"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IF(Employee!H$87=E$49,Employee!D$86+SUM(M53)+Aug!V63,SUM(M53)+Aug!V63)</f>
        <v>0</v>
      </c>
      <c r="W53" s="49">
        <f>IF(Employee!H$87=E$49,Employee!D$87+SUM(N53)+Aug!W63,SUM(N53)+Aug!W63)</f>
        <v>0</v>
      </c>
      <c r="X53" s="49">
        <f>IF(O53=" ",Aug!X63,O53+Aug!X63)</f>
        <v>0</v>
      </c>
      <c r="Y53" s="49">
        <f>IF(P53=" ",Aug!Y63,P53+Aug!Y63)</f>
        <v>0</v>
      </c>
      <c r="Z53" s="49">
        <f>IF(Q53=" ",Aug!Z63,Q53+Aug!Z63)</f>
        <v>0</v>
      </c>
      <c r="AA53" s="49">
        <f>IF(R53=" ",Aug!AA63,R53+Aug!AA63)</f>
        <v>0</v>
      </c>
      <c r="AC53" s="49">
        <f>IF(T53=" ",Aug!AC63,T53+Aug!AC63)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IF(T$49="Y",Aug!H64,0)</f>
        <v>0</v>
      </c>
      <c r="I54" s="92">
        <f>IF(T$49="Y",Aug!I64,0)</f>
        <v>0</v>
      </c>
      <c r="J54" s="92">
        <f>IF(T$49="Y",Aug!J64,0)</f>
        <v>0</v>
      </c>
      <c r="K54" s="92">
        <f>IF(T$49="Y",Aug!K64,I54*J54)</f>
        <v>0</v>
      </c>
      <c r="L54" s="111">
        <f>IF(T$49="Y",Aug!L64,0)</f>
        <v>0</v>
      </c>
      <c r="M54" s="100" t="str">
        <f>IF(E54=" "," ",IF(T$49="Y",Aug!M64,IF((H54+K54+L54)&gt;0,H54+K54+L54,"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IF(Employee!H$113=E$49,Employee!D$112+SUM(M54)+Aug!V64,SUM(M54)+Aug!V64)</f>
        <v>0</v>
      </c>
      <c r="W54" s="49">
        <f>IF(Employee!H$113=E$49,Employee!D$113+SUM(N54)+Aug!W64,SUM(N54)+Aug!W64)</f>
        <v>0</v>
      </c>
      <c r="X54" s="49">
        <f>IF(O54=" ",Aug!X64,O54+Aug!X64)</f>
        <v>0</v>
      </c>
      <c r="Y54" s="49">
        <f>IF(P54=" ",Aug!Y64,P54+Aug!Y64)</f>
        <v>0</v>
      </c>
      <c r="Z54" s="49">
        <f>IF(Q54=" ",Aug!Z64,Q54+Aug!Z64)</f>
        <v>0</v>
      </c>
      <c r="AA54" s="49">
        <f>IF(R54=" ",Aug!AA64,R54+Aug!AA64)</f>
        <v>0</v>
      </c>
      <c r="AC54" s="49">
        <f>IF(T54=" ",Aug!AC64,T54+Aug!AC64)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IF(T$49="Y",Aug!H65,0)</f>
        <v>0</v>
      </c>
      <c r="I55" s="245">
        <f>IF(T$49="Y",Aug!I65,0)</f>
        <v>0</v>
      </c>
      <c r="J55" s="245">
        <f>IF(T$49="Y",Aug!J65,0)</f>
        <v>0</v>
      </c>
      <c r="K55" s="245">
        <f>IF(T$49="Y",Aug!K65,I55*J55)</f>
        <v>0</v>
      </c>
      <c r="L55" s="246">
        <f>IF(T$49="Y",Aug!L65,0)</f>
        <v>0</v>
      </c>
      <c r="M55" s="100" t="str">
        <f>IF(E55=" "," ",IF(T$49="Y",Aug!M65,IF((H55+K55+L55)&gt;0,H55+K55+L55,"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IF(Employee!H$139=E$49,Employee!D$138+SUM(M55)+Aug!V65,SUM(M55)+Aug!V65)</f>
        <v>0</v>
      </c>
      <c r="W55" s="49">
        <f>IF(Employee!H$139=E$49,Employee!D$139+SUM(N55)+Aug!W65,SUM(N55)+Aug!W65)</f>
        <v>0</v>
      </c>
      <c r="X55" s="49">
        <f>IF(O55=" ",Aug!X65,O55+Aug!X65)</f>
        <v>0</v>
      </c>
      <c r="Y55" s="49">
        <f>IF(P55=" ",Aug!Y65,P55+Aug!Y65)</f>
        <v>0</v>
      </c>
      <c r="Z55" s="49">
        <f>IF(Q55=" ",Aug!Z65,Q55+Aug!Z65)</f>
        <v>0</v>
      </c>
      <c r="AA55" s="49">
        <f>IF(R55=" ",Aug!AA65,R55+Aug!AA65)</f>
        <v>0</v>
      </c>
      <c r="AC55" s="49">
        <f>IF(T55=" ",Aug!AC65,T55+Aug!AC65)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AD60+Aug!AD75</f>
        <v>0</v>
      </c>
      <c r="AE65" s="158">
        <f>AE60+Aug!AE75</f>
        <v>0</v>
      </c>
      <c r="AF65" s="158">
        <f>AF60+Aug!AF75</f>
        <v>0</v>
      </c>
      <c r="AG65" s="158">
        <f>AG60+Aug!AG75</f>
        <v>0</v>
      </c>
    </row>
    <row r="66" spans="6:33" ht="14" thickTop="1" x14ac:dyDescent="0.15"/>
    <row r="67" spans="6:33" x14ac:dyDescent="0.15">
      <c r="AD67" s="162"/>
      <c r="AE67" s="158">
        <f>AE62+Aug!AE77</f>
        <v>0</v>
      </c>
      <c r="AF67" s="158">
        <f>AF62+Aug!AF77</f>
        <v>0</v>
      </c>
      <c r="AG67" s="158">
        <f>AG62+Aug!AG77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Dec!H3:H6</f>
        <v>Statutory Pay</v>
      </c>
      <c r="I3" s="365" t="str">
        <f>Dec!I3:I6</f>
        <v>Basic hours</v>
      </c>
      <c r="J3" s="365" t="str">
        <f>Dec!J3:J6</f>
        <v>Hourly rate</v>
      </c>
      <c r="K3" s="365" t="str">
        <f>Dec!K3:K6</f>
        <v>Basic    wages</v>
      </c>
      <c r="L3" s="365" t="str">
        <f>Dec!L3:L6</f>
        <v>Overtime Bonus Gratuities</v>
      </c>
      <c r="M3" s="428" t="str">
        <f>Dec!M3:M6</f>
        <v>GROSS WAGES</v>
      </c>
      <c r="N3" s="365" t="str">
        <f>Dec!N3:N6</f>
        <v>Income Tax</v>
      </c>
      <c r="O3" s="365" t="str">
        <f>Dec!O3:O6</f>
        <v>Employees National Insurance</v>
      </c>
      <c r="P3" s="365" t="str">
        <f>Dec!P3:P6</f>
        <v>Student Loans</v>
      </c>
      <c r="Q3" s="365" t="str">
        <f>Dec!Q3:Q6</f>
        <v>Other Deductions</v>
      </c>
      <c r="R3" s="428" t="str">
        <f>Dec!R3:R6</f>
        <v>NET      PAY</v>
      </c>
      <c r="S3" s="42"/>
      <c r="T3" s="365" t="str">
        <f>Dec!T3:T6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Sep!M39+1</f>
        <v>46417</v>
      </c>
      <c r="L9" s="203" t="s">
        <v>76</v>
      </c>
      <c r="M9" s="205">
        <f>K9+6</f>
        <v>46423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IF(T$9="Y",Sep!H41,0)</f>
        <v>0</v>
      </c>
      <c r="I11" s="89">
        <f>IF(T$9="Y",Sep!I41,0)</f>
        <v>0</v>
      </c>
      <c r="J11" s="89">
        <f>IF(T$9="Y",Sep!J41,0)</f>
        <v>0</v>
      </c>
      <c r="K11" s="89">
        <f>IF(T$9="Y",Sep!K41,I11*J11)</f>
        <v>0</v>
      </c>
      <c r="L11" s="110">
        <f>IF(T$9="Y",Sep!L41,0)</f>
        <v>0</v>
      </c>
      <c r="M11" s="110" t="str">
        <f>IF(E11=" "," ",IF(T$9="Y",Sep!M41,IF((H11+K11+L11)&gt;0,H11+K11+L11,"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IF(Employee!H$34=E$9,Employee!D$34+SUM(M11)+Sep!V41,SUM(M11)+Sep!V41)</f>
        <v>0</v>
      </c>
      <c r="W11" s="49">
        <f>IF(Employee!H$34=E$9,Employee!D$35+SUM(N11)+Sep!W41,SUM(N11)+Sep!W41)</f>
        <v>0</v>
      </c>
      <c r="X11" s="49">
        <f>IF(O11=" ",Sep!X41,O11+Sep!X41)</f>
        <v>0</v>
      </c>
      <c r="Y11" s="49">
        <f>IF(P11=" ",Sep!Y41,P11+Sep!Y41)</f>
        <v>0</v>
      </c>
      <c r="Z11" s="49">
        <f>IF(Q11=" ",Sep!Z41,Q11+Sep!Z41)</f>
        <v>0</v>
      </c>
      <c r="AA11" s="49">
        <f>IF(R11=" ",Sep!AA41,R11+Sep!AA41)</f>
        <v>0</v>
      </c>
      <c r="AC11" s="49">
        <f>IF(T11=" ",Sep!AC41,T11+Sep!AC41)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IF(T$9="Y",Sep!H42,0)</f>
        <v>0</v>
      </c>
      <c r="I12" s="92">
        <f>IF(T$9="Y",Sep!I42,0)</f>
        <v>0</v>
      </c>
      <c r="J12" s="92">
        <f>IF(T$9="Y",Sep!J42,0)</f>
        <v>0</v>
      </c>
      <c r="K12" s="92">
        <f>IF(T$9="Y",Sep!K42,I12*J12)</f>
        <v>0</v>
      </c>
      <c r="L12" s="111">
        <f>IF(T$9="Y",Sep!L42,0)</f>
        <v>0</v>
      </c>
      <c r="M12" s="111" t="str">
        <f>IF(E12=" "," ",IF(T$9="Y",Sep!M42,IF((H12+K12+L12)&gt;0,H12+K12+L12,"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IF(Employee!H$60=E$9,Employee!D$60+SUM(M12)+Sep!V42,SUM(M12)+Sep!V42)</f>
        <v>0</v>
      </c>
      <c r="W12" s="49">
        <f>IF(Employee!H$60=E$9,Employee!D$61+SUM(N12)+Sep!W42,SUM(N12)+Sep!W42)</f>
        <v>0</v>
      </c>
      <c r="X12" s="49">
        <f>IF(O12=" ",Sep!X42,O12+Sep!X42)</f>
        <v>0</v>
      </c>
      <c r="Y12" s="49">
        <f>IF(P12=" ",Sep!Y42,P12+Sep!Y42)</f>
        <v>0</v>
      </c>
      <c r="Z12" s="49">
        <f>IF(Q12=" ",Sep!Z42,Q12+Sep!Z42)</f>
        <v>0</v>
      </c>
      <c r="AA12" s="49">
        <f>IF(R12=" ",Sep!AA42,R12+Sep!AA42)</f>
        <v>0</v>
      </c>
      <c r="AC12" s="49">
        <f>IF(T12=" ",Sep!AC42,T12+Sep!AC42)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IF(T$9="Y",Sep!H43,0)</f>
        <v>0</v>
      </c>
      <c r="I13" s="92">
        <f>IF(T$9="Y",Sep!I43,0)</f>
        <v>0</v>
      </c>
      <c r="J13" s="92">
        <f>IF(T$9="Y",Sep!J43,0)</f>
        <v>0</v>
      </c>
      <c r="K13" s="92">
        <f>IF(T$9="Y",Sep!K43,I13*J13)</f>
        <v>0</v>
      </c>
      <c r="L13" s="111">
        <f>IF(T$9="Y",Sep!L43,0)</f>
        <v>0</v>
      </c>
      <c r="M13" s="111" t="str">
        <f>IF(E13=" "," ",IF(T$9="Y",Sep!M43,IF((H13+K13+L13)&gt;0,H13+K13+L13,"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IF(Employee!H$86=E$9,Employee!D$86+SUM(M13)+Sep!V43,SUM(M13)+Sep!V43)</f>
        <v>0</v>
      </c>
      <c r="W13" s="49">
        <f>IF(Employee!H$86=E$9,Employee!D$87+SUM(N13)+Sep!W43,SUM(N13)+Sep!W43)</f>
        <v>0</v>
      </c>
      <c r="X13" s="49">
        <f>IF(O13=" ",Sep!X43,O13+Sep!X43)</f>
        <v>0</v>
      </c>
      <c r="Y13" s="49">
        <f>IF(P13=" ",Sep!Y43,P13+Sep!Y43)</f>
        <v>0</v>
      </c>
      <c r="Z13" s="49">
        <f>IF(Q13=" ",Sep!Z43,Q13+Sep!Z43)</f>
        <v>0</v>
      </c>
      <c r="AA13" s="49">
        <f>IF(R13=" ",Sep!AA43,R13+Sep!AA43)</f>
        <v>0</v>
      </c>
      <c r="AC13" s="49">
        <f>IF(T13=" ",Sep!AC43,T13+Sep!AC43)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IF(T$9="Y",Sep!H44,0)</f>
        <v>0</v>
      </c>
      <c r="I14" s="92">
        <f>IF(T$9="Y",Sep!I44,0)</f>
        <v>0</v>
      </c>
      <c r="J14" s="92">
        <f>IF(T$9="Y",Sep!J44,0)</f>
        <v>0</v>
      </c>
      <c r="K14" s="92">
        <f>IF(T$9="Y",Sep!K44,I14*J14)</f>
        <v>0</v>
      </c>
      <c r="L14" s="111">
        <f>IF(T$9="Y",Sep!L44,0)</f>
        <v>0</v>
      </c>
      <c r="M14" s="111" t="str">
        <f>IF(E14=" "," ",IF(T$9="Y",Sep!M44,IF((H14+K14+L14)&gt;0,H14+K14+L14,"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IF(Employee!H$112=E$9,Employee!D$112+SUM(M14)+Sep!V44,SUM(M14)+Sep!V44)</f>
        <v>0</v>
      </c>
      <c r="W14" s="49">
        <f>IF(Employee!H$112=E$9,Employee!D$113+SUM(N14)+Sep!W44,SUM(N14)+Sep!W44)</f>
        <v>0</v>
      </c>
      <c r="X14" s="49">
        <f>IF(O14=" ",Sep!X44,O14+Sep!X44)</f>
        <v>0</v>
      </c>
      <c r="Y14" s="49">
        <f>IF(P14=" ",Sep!Y44,P14+Sep!Y44)</f>
        <v>0</v>
      </c>
      <c r="Z14" s="49">
        <f>IF(Q14=" ",Sep!Z44,Q14+Sep!Z44)</f>
        <v>0</v>
      </c>
      <c r="AA14" s="49">
        <f>IF(R14=" ",Sep!AA44,R14+Sep!AA44)</f>
        <v>0</v>
      </c>
      <c r="AC14" s="49">
        <f>IF(T14=" ",Sep!AC44,T14+Sep!AC44)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IF(T$9="Y",Sep!H45,0)</f>
        <v>0</v>
      </c>
      <c r="I15" s="245">
        <f>IF(T$9="Y",Sep!I45,0)</f>
        <v>0</v>
      </c>
      <c r="J15" s="245">
        <f>IF(T$9="Y",Sep!J45,0)</f>
        <v>0</v>
      </c>
      <c r="K15" s="245">
        <f>IF(T$9="Y",Sep!K45,I15*J15)</f>
        <v>0</v>
      </c>
      <c r="L15" s="246">
        <f>IF(T$19="Y",Sep!L45,0)</f>
        <v>0</v>
      </c>
      <c r="M15" s="111" t="str">
        <f>IF(E15=" "," ",IF(T$9="Y",Sep!M45,IF((H15+K15+L15)&gt;0,H15+K15+L15,"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IF(Employee!H$138=E$9,Employee!D$138+SUM(M15)+Sep!V45,SUM(M15)+Sep!V45)</f>
        <v>0</v>
      </c>
      <c r="W15" s="49">
        <f>IF(Employee!H$138=E$9,Employee!D$139+SUM(N15)+Sep!W45,SUM(N15)+Sep!W45)</f>
        <v>0</v>
      </c>
      <c r="X15" s="49">
        <f>IF(O15=" ",Sep!X45,O15+Sep!X45)</f>
        <v>0</v>
      </c>
      <c r="Y15" s="49">
        <f>IF(P15=" ",Sep!Y45,P15+Sep!Y45)</f>
        <v>0</v>
      </c>
      <c r="Z15" s="49">
        <f>IF(Q15=" ",Sep!Z45,Q15+Sep!Z45)</f>
        <v>0</v>
      </c>
      <c r="AA15" s="49">
        <f>IF(R15=" ",Sep!AA45,R15+Sep!AA45)</f>
        <v>0</v>
      </c>
      <c r="AC15" s="49">
        <f>IF(T15=" ",Sep!AC45,T15+Sep!AC45)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46424</v>
      </c>
      <c r="L19" s="203" t="s">
        <v>76</v>
      </c>
      <c r="M19" s="205">
        <f>K19+6</f>
        <v>46430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46431</v>
      </c>
      <c r="L29" s="203" t="s">
        <v>76</v>
      </c>
      <c r="M29" s="205">
        <f>K29+6</f>
        <v>46437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46438</v>
      </c>
      <c r="L39" s="203" t="s">
        <v>76</v>
      </c>
      <c r="M39" s="205">
        <f>K39+6</f>
        <v>46444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DATE(2026,10,1)</f>
        <v>46296</v>
      </c>
      <c r="L49" s="203" t="s">
        <v>76</v>
      </c>
      <c r="M49" s="205">
        <f>DATE(2026,10,31)</f>
        <v>46326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IF(T$49="Y",Sep!H51,0)</f>
        <v>0</v>
      </c>
      <c r="I51" s="89">
        <f>IF(T$49="Y",Sep!I51,0)</f>
        <v>0</v>
      </c>
      <c r="J51" s="89">
        <f>IF(T$49="Y",Sep!J51,0)</f>
        <v>0</v>
      </c>
      <c r="K51" s="89">
        <f>IF(T$49="Y",Sep!K51,I51*J51)</f>
        <v>0</v>
      </c>
      <c r="L51" s="110">
        <f>IF(T$49="Y",Sep!L51,0)</f>
        <v>0</v>
      </c>
      <c r="M51" s="99" t="str">
        <f>IF(E51=" "," ",IF(T$49="Y",Sep!M51,IF((H51+K51+L51)&gt;0,H51+K51+L51,"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IF(Employee!H$35=E$49,Employee!D$34+SUM(M51)+Sep!V51,SUM(M51)+Sep!V51)</f>
        <v>0</v>
      </c>
      <c r="W51" s="49">
        <f>IF(Employee!H$35=E$49,Employee!D$35+SUM(N51)+Sep!W51,SUM(N51)+Sep!W51)</f>
        <v>0</v>
      </c>
      <c r="X51" s="49">
        <f>IF(O51=" ",Sep!X51,O51+Sep!X51)</f>
        <v>0</v>
      </c>
      <c r="Y51" s="49">
        <f>IF(P51=" ",Sep!Y51,P51+Sep!Y51)</f>
        <v>0</v>
      </c>
      <c r="Z51" s="49">
        <f>IF(Q51=" ",Sep!Z51,Q51+Sep!Z51)</f>
        <v>0</v>
      </c>
      <c r="AA51" s="49">
        <f>IF(R51=" ",Sep!AA51,R51+Sep!AA51)</f>
        <v>0</v>
      </c>
      <c r="AC51" s="49">
        <f>IF(T51=" ",Sep!AC51,T51+Sep!AC51)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IF(T$49="Y",Sep!H52,0)</f>
        <v>0</v>
      </c>
      <c r="I52" s="92">
        <f>IF(T$49="Y",Sep!I52,0)</f>
        <v>0</v>
      </c>
      <c r="J52" s="92">
        <f>IF(T$49="Y",Sep!J52,0)</f>
        <v>0</v>
      </c>
      <c r="K52" s="92">
        <f>IF(T$49="Y",Sep!K52,I52*J52)</f>
        <v>0</v>
      </c>
      <c r="L52" s="111">
        <f>IF(T$49="Y",Sep!L52,0)</f>
        <v>0</v>
      </c>
      <c r="M52" s="100" t="str">
        <f>IF(E52=" "," ",IF(T$49="Y",Sep!M52,IF((H52+K52+L52)&gt;0,H52+K52+L52,"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IF(Employee!H$61=E$49,Employee!D$60+SUM(M52)+Sep!V52,SUM(M52)+Sep!V52)</f>
        <v>0</v>
      </c>
      <c r="W52" s="49">
        <f>IF(Employee!H$61=E$49,Employee!D$61+SUM(N52)+Sep!W52,SUM(N52)+Sep!W52)</f>
        <v>0</v>
      </c>
      <c r="X52" s="49">
        <f>IF(O52=" ",Sep!X52,O52+Sep!X52)</f>
        <v>0</v>
      </c>
      <c r="Y52" s="49">
        <f>IF(P52=" ",Sep!Y52,P52+Sep!Y52)</f>
        <v>0</v>
      </c>
      <c r="Z52" s="49">
        <f>IF(Q52=" ",Sep!Z52,Q52+Sep!Z52)</f>
        <v>0</v>
      </c>
      <c r="AA52" s="49">
        <f>IF(R52=" ",Sep!AA52,R52+Sep!AA52)</f>
        <v>0</v>
      </c>
      <c r="AC52" s="49">
        <f>IF(T52=" ",Sep!AC52,T52+Sep!AC52)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IF(T$49="Y",Sep!H53,0)</f>
        <v>0</v>
      </c>
      <c r="I53" s="92">
        <f>IF(T$49="Y",Sep!I53,0)</f>
        <v>0</v>
      </c>
      <c r="J53" s="92">
        <f>IF(T$49="Y",Sep!J53,0)</f>
        <v>0</v>
      </c>
      <c r="K53" s="92">
        <f>IF(T$49="Y",Sep!K53,I53*J53)</f>
        <v>0</v>
      </c>
      <c r="L53" s="111">
        <f>IF(T$49="Y",Sep!L53,0)</f>
        <v>0</v>
      </c>
      <c r="M53" s="100" t="str">
        <f>IF(E53=" "," ",IF(T$49="Y",Sep!M53,IF((H53+K53+L53)&gt;0,H53+K53+L53,"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IF(Employee!H$87=E$49,Employee!D$86+SUM(M53)+Sep!V53,SUM(M53)+Sep!V53)</f>
        <v>0</v>
      </c>
      <c r="W53" s="49">
        <f>IF(Employee!H$87=E$49,Employee!D$87+SUM(N53)+Sep!W53,SUM(N53)+Sep!W53)</f>
        <v>0</v>
      </c>
      <c r="X53" s="49">
        <f>IF(O53=" ",Sep!X53,O53+Sep!X53)</f>
        <v>0</v>
      </c>
      <c r="Y53" s="49">
        <f>IF(P53=" ",Sep!Y53,P53+Sep!Y53)</f>
        <v>0</v>
      </c>
      <c r="Z53" s="49">
        <f>IF(Q53=" ",Sep!Z53,Q53+Sep!Z53)</f>
        <v>0</v>
      </c>
      <c r="AA53" s="49">
        <f>IF(R53=" ",Sep!AA53,R53+Sep!AA53)</f>
        <v>0</v>
      </c>
      <c r="AC53" s="49">
        <f>IF(T53=" ",Sep!AC53,T53+Sep!AC53)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IF(T$49="Y",Sep!H54,0)</f>
        <v>0</v>
      </c>
      <c r="I54" s="92">
        <f>IF(T$49="Y",Sep!I54,0)</f>
        <v>0</v>
      </c>
      <c r="J54" s="92">
        <f>IF(T$49="Y",Sep!J54,0)</f>
        <v>0</v>
      </c>
      <c r="K54" s="92">
        <f>IF(T$49="Y",Sep!K54,I54*J54)</f>
        <v>0</v>
      </c>
      <c r="L54" s="111">
        <f>IF(T$49="Y",Sep!L54,0)</f>
        <v>0</v>
      </c>
      <c r="M54" s="100" t="str">
        <f>IF(E54=" "," ",IF(T$49="Y",Sep!M54,IF((H54+K54+L54)&gt;0,H54+K54+L54,"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IF(Employee!H$113=E$49,Employee!D$112+SUM(M54)+Sep!V54,SUM(M54)+Sep!V54)</f>
        <v>0</v>
      </c>
      <c r="W54" s="49">
        <f>IF(Employee!H$113=E$49,Employee!D$113+SUM(N54)+Sep!W54,SUM(N54)+Sep!W54)</f>
        <v>0</v>
      </c>
      <c r="X54" s="49">
        <f>IF(O54=" ",Sep!X54,O54+Sep!X54)</f>
        <v>0</v>
      </c>
      <c r="Y54" s="49">
        <f>IF(P54=" ",Sep!Y54,P54+Sep!Y54)</f>
        <v>0</v>
      </c>
      <c r="Z54" s="49">
        <f>IF(Q54=" ",Sep!Z54,Q54+Sep!Z54)</f>
        <v>0</v>
      </c>
      <c r="AA54" s="49">
        <f>IF(R54=" ",Sep!AA54,R54+Sep!AA54)</f>
        <v>0</v>
      </c>
      <c r="AC54" s="49">
        <f>IF(T54=" ",Sep!AC54,T54+Sep!AC54)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IF(T$49="Y",Sep!H55,0)</f>
        <v>0</v>
      </c>
      <c r="I55" s="245">
        <f>IF(T$49="Y",Sep!I55,0)</f>
        <v>0</v>
      </c>
      <c r="J55" s="245">
        <f>IF(T$49="Y",Sep!J55,0)</f>
        <v>0</v>
      </c>
      <c r="K55" s="245">
        <f>IF(T$49="Y",Sep!K55,I55*J55)</f>
        <v>0</v>
      </c>
      <c r="L55" s="246">
        <f>IF(T$49="Y",Sep!L55,0)</f>
        <v>0</v>
      </c>
      <c r="M55" s="100" t="str">
        <f>IF(E55=" "," ",IF(T$49="Y",Sep!M55,IF((H55+K55+L55)&gt;0,H55+K55+L55,"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IF(Employee!H$139=E$49,Employee!D$138+SUM(M55)+Sep!V55,SUM(M55)+Sep!V55)</f>
        <v>0</v>
      </c>
      <c r="W55" s="49">
        <f>IF(Employee!H$139=E$49,Employee!D$139+SUM(N55)+Sep!W55,SUM(N55)+Sep!W55)</f>
        <v>0</v>
      </c>
      <c r="X55" s="49">
        <f>IF(O55=" ",Sep!X55,O55+Sep!X55)</f>
        <v>0</v>
      </c>
      <c r="Y55" s="49">
        <f>IF(P55=" ",Sep!Y55,P55+Sep!Y55)</f>
        <v>0</v>
      </c>
      <c r="Z55" s="49">
        <f>IF(Q55=" ",Sep!Z55,Q55+Sep!Z55)</f>
        <v>0</v>
      </c>
      <c r="AA55" s="49">
        <f>IF(R55=" ",Sep!AA55,R55+Sep!AA55)</f>
        <v>0</v>
      </c>
      <c r="AC55" s="49">
        <f>IF(T55=" ",Sep!AC55,T55+Sep!AC55)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AD60+Sep!AD65</f>
        <v>0</v>
      </c>
      <c r="AE65" s="158">
        <f>AE60+Sep!AE65</f>
        <v>0</v>
      </c>
      <c r="AF65" s="158">
        <f>AF60+Sep!AF65</f>
        <v>0</v>
      </c>
      <c r="AG65" s="158">
        <f>AG60+Sep!AG65</f>
        <v>0</v>
      </c>
    </row>
    <row r="66" spans="6:33" ht="14" thickTop="1" x14ac:dyDescent="0.15"/>
    <row r="67" spans="6:33" x14ac:dyDescent="0.15">
      <c r="AD67" s="162"/>
      <c r="AE67" s="158">
        <f>AE62+Sep!AE67</f>
        <v>0</v>
      </c>
      <c r="AF67" s="158">
        <f>AF62+Sep!AF67</f>
        <v>0</v>
      </c>
      <c r="AG67" s="158">
        <f>AG62+Sep!AG67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Dec!H3:H6</f>
        <v>Statutory Pay</v>
      </c>
      <c r="I3" s="365" t="str">
        <f>Dec!I3:I6</f>
        <v>Basic hours</v>
      </c>
      <c r="J3" s="365" t="str">
        <f>Dec!J3:J6</f>
        <v>Hourly rate</v>
      </c>
      <c r="K3" s="365" t="str">
        <f>Dec!K3:K6</f>
        <v>Basic    wages</v>
      </c>
      <c r="L3" s="365" t="str">
        <f>Dec!L3:L6</f>
        <v>Overtime Bonus Gratuities</v>
      </c>
      <c r="M3" s="428" t="str">
        <f>Dec!M3:M6</f>
        <v>GROSS WAGES</v>
      </c>
      <c r="N3" s="365" t="str">
        <f>Dec!N3:N6</f>
        <v>Income Tax</v>
      </c>
      <c r="O3" s="365" t="str">
        <f>Dec!O3:O6</f>
        <v>Employees National Insurance</v>
      </c>
      <c r="P3" s="365" t="str">
        <f>Dec!P3:P6</f>
        <v>Student Loans</v>
      </c>
      <c r="Q3" s="365" t="str">
        <f>Dec!Q3:Q6</f>
        <v>Other Deductions</v>
      </c>
      <c r="R3" s="428" t="str">
        <f>Dec!R3:R6</f>
        <v>NET      PAY</v>
      </c>
      <c r="S3" s="42"/>
      <c r="T3" s="365" t="str">
        <f>Dec!T3:T6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Oct!M39+1</f>
        <v>46445</v>
      </c>
      <c r="L9" s="203" t="s">
        <v>76</v>
      </c>
      <c r="M9" s="205">
        <f>K9+6</f>
        <v>46451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110" t="str">
        <f>IF(E11=" "," ",IF(T$9="Y",Oct!M41,IF((H11+K11+L11)&gt;0,H11+K11+L11,"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11" t="str">
        <f>IF(E12=" "," ",IF(T$9="Y",Oct!M42,IF((H12+K12+L12)&gt;0,H12+K12+L12,"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11" t="str">
        <f>IF(E13=" "," ",IF(T$9="Y",Oct!M43,IF((H13+K13+L13)&gt;0,H13+K13+L13,"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11" t="str">
        <f>IF(E14=" "," ",IF(T$9="Y",Oct!M44,IF((H14+K14+L14)&gt;0,H14+K14+L14,"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111" t="str">
        <f>IF(E15=" "," ",IF(T$9="Y",Oct!M45,IF((H15+K15+L15)&gt;0,H15+K15+L15,"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46452</v>
      </c>
      <c r="L19" s="203" t="s">
        <v>76</v>
      </c>
      <c r="M19" s="205">
        <f>K19+6</f>
        <v>46458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46459</v>
      </c>
      <c r="L29" s="203" t="s">
        <v>76</v>
      </c>
      <c r="M29" s="205">
        <f>K29+6</f>
        <v>46465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46466</v>
      </c>
      <c r="L39" s="203" t="s">
        <v>76</v>
      </c>
      <c r="M39" s="205">
        <f>K39+6</f>
        <v>46472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46473</v>
      </c>
      <c r="L49" s="203" t="s">
        <v>76</v>
      </c>
      <c r="M49" s="205">
        <f>K49+6</f>
        <v>46479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46480</v>
      </c>
      <c r="L59" s="203" t="s">
        <v>76</v>
      </c>
      <c r="M59" s="205">
        <f>K59+4</f>
        <v>46484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DATE(2026,11,1)</f>
        <v>46327</v>
      </c>
      <c r="L69" s="203" t="s">
        <v>76</v>
      </c>
      <c r="M69" s="205">
        <f>DATE(2026,11,30)</f>
        <v>46356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IF(T$69="Y",Oct!H51,0)</f>
        <v>0</v>
      </c>
      <c r="I71" s="89">
        <f>IF(T$69="Y",Oct!I51,0)</f>
        <v>0</v>
      </c>
      <c r="J71" s="89">
        <f>IF(T$69="Y",Oct!J51,0)</f>
        <v>0</v>
      </c>
      <c r="K71" s="89">
        <f>IF(T$69="Y",Oct!K51,I71*J71)</f>
        <v>0</v>
      </c>
      <c r="L71" s="110">
        <f>IF(T$69="Y",Oct!L51,0)</f>
        <v>0</v>
      </c>
      <c r="M71" s="99" t="str">
        <f>IF(E71=" "," ",IF(T$69="Y",Oct!M51,IF((H71+K71+L71)&gt;0,H71+K71+L71,"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IF(Employee!H$35=E$69,Employee!D$34+SUM(M71)+Oct!V51,SUM(M71)+Oct!V51)</f>
        <v>0</v>
      </c>
      <c r="W71" s="49">
        <f>IF(Employee!H$35=E$69,Employee!D$35+SUM(N71)+Oct!W51,SUM(N71)+Oct!W51)</f>
        <v>0</v>
      </c>
      <c r="X71" s="49">
        <f>IF(O71=" ",Oct!X51,O71+Oct!X51)</f>
        <v>0</v>
      </c>
      <c r="Y71" s="49">
        <f>IF(P71=" ",Oct!Y51,P71+Oct!Y51)</f>
        <v>0</v>
      </c>
      <c r="Z71" s="49">
        <f>IF(Q71=" ",Oct!Z51,Q71+Oct!Z51)</f>
        <v>0</v>
      </c>
      <c r="AA71" s="49">
        <f>IF(R71=" ",Oct!AA51,R71+Oct!AA51)</f>
        <v>0</v>
      </c>
      <c r="AC71" s="49">
        <f>IF(T71=" ",Oct!AC51,T71+Oct!AC51)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IF(T$69="Y",Oct!H52,0)</f>
        <v>0</v>
      </c>
      <c r="I72" s="92">
        <f>IF(T$69="Y",Oct!I52,0)</f>
        <v>0</v>
      </c>
      <c r="J72" s="92">
        <f>IF(T$69="Y",Oct!J52,0)</f>
        <v>0</v>
      </c>
      <c r="K72" s="92">
        <f>IF(T$69="Y",Oct!K52,I72*J72)</f>
        <v>0</v>
      </c>
      <c r="L72" s="111">
        <f>IF(T$69="Y",Oct!L52,0)</f>
        <v>0</v>
      </c>
      <c r="M72" s="100" t="str">
        <f>IF(E72=" "," ",IF(T$69="Y",Oct!M52,IF((H72+K72+L72)&gt;0,H72+K72+L72,"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IF(Employee!H$61=E$69,Employee!D$60+SUM(M72)+Oct!V52,SUM(M72)+Oct!V52)</f>
        <v>0</v>
      </c>
      <c r="W72" s="49">
        <f>IF(Employee!H$61=E$69,Employee!D$61+SUM(N72)+Oct!W52,SUM(N72)+Oct!W52)</f>
        <v>0</v>
      </c>
      <c r="X72" s="49">
        <f>IF(O72=" ",Oct!X52,O72+Oct!X52)</f>
        <v>0</v>
      </c>
      <c r="Y72" s="49">
        <f>IF(P72=" ",Oct!Y52,P72+Oct!Y52)</f>
        <v>0</v>
      </c>
      <c r="Z72" s="49">
        <f>IF(Q72=" ",Oct!Z52,Q72+Oct!Z52)</f>
        <v>0</v>
      </c>
      <c r="AA72" s="49">
        <f>IF(R72=" ",Oct!AA52,R72+Oct!AA52)</f>
        <v>0</v>
      </c>
      <c r="AC72" s="49">
        <f>IF(T72=" ",Oct!AC52,T72+Oct!AC52)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IF(T$69="Y",Oct!H53,0)</f>
        <v>0</v>
      </c>
      <c r="I73" s="92">
        <f>IF(T$69="Y",Oct!I53,0)</f>
        <v>0</v>
      </c>
      <c r="J73" s="92">
        <f>IF(T$69="Y",Oct!J53,0)</f>
        <v>0</v>
      </c>
      <c r="K73" s="92">
        <f>IF(T$69="Y",Oct!K53,I73*J73)</f>
        <v>0</v>
      </c>
      <c r="L73" s="111">
        <f>IF(T$69="Y",Oct!L53,0)</f>
        <v>0</v>
      </c>
      <c r="M73" s="100" t="str">
        <f>IF(E73=" "," ",IF(T$69="Y",Oct!M53,IF((H73+K73+L73)&gt;0,H73+K73+L73,"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IF(Employee!H$87=E$69,Employee!D$86+SUM(M73)+Oct!V53,SUM(M73)+Oct!V53)</f>
        <v>0</v>
      </c>
      <c r="W73" s="49">
        <f>IF(Employee!H$87=E$69,Employee!D$87+SUM(N73)+Oct!W53,SUM(N73)+Oct!W53)</f>
        <v>0</v>
      </c>
      <c r="X73" s="49">
        <f>IF(O73=" ",Oct!X53,O73+Oct!X53)</f>
        <v>0</v>
      </c>
      <c r="Y73" s="49">
        <f>IF(P73=" ",Oct!Y53,P73+Oct!Y53)</f>
        <v>0</v>
      </c>
      <c r="Z73" s="49">
        <f>IF(Q73=" ",Oct!Z53,Q73+Oct!Z53)</f>
        <v>0</v>
      </c>
      <c r="AA73" s="49">
        <f>IF(R73=" ",Oct!AA53,R73+Oct!AA53)</f>
        <v>0</v>
      </c>
      <c r="AC73" s="49">
        <f>IF(T73=" ",Oct!AC53,T73+Oct!AC53)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IF(T$69="Y",Oct!H54,0)</f>
        <v>0</v>
      </c>
      <c r="I74" s="92">
        <f>IF(T$69="Y",Oct!I54,0)</f>
        <v>0</v>
      </c>
      <c r="J74" s="92">
        <f>IF(T$69="Y",Oct!J54,0)</f>
        <v>0</v>
      </c>
      <c r="K74" s="92">
        <f>IF(T$69="Y",Oct!K54,I74*J74)</f>
        <v>0</v>
      </c>
      <c r="L74" s="111">
        <f>IF(T$69="Y",Oct!L54,0)</f>
        <v>0</v>
      </c>
      <c r="M74" s="100" t="str">
        <f>IF(E74=" "," ",IF(T$69="Y",Oct!M54,IF((H74+K74+L74)&gt;0,H74+K74+L74,"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IF(Employee!H$113=E$69,Employee!D$112+SUM(M74)+Oct!V54,SUM(M74)+Oct!V54)</f>
        <v>0</v>
      </c>
      <c r="W74" s="49">
        <f>IF(Employee!H$113=E$69,Employee!D$113+SUM(N74)+Oct!W54,SUM(N74)+Oct!W54)</f>
        <v>0</v>
      </c>
      <c r="X74" s="49">
        <f>IF(O74=" ",Oct!X54,O74+Oct!X54)</f>
        <v>0</v>
      </c>
      <c r="Y74" s="49">
        <f>IF(P74=" ",Oct!Y54,P74+Oct!Y54)</f>
        <v>0</v>
      </c>
      <c r="Z74" s="49">
        <f>IF(Q74=" ",Oct!Z54,Q74+Oct!Z54)</f>
        <v>0</v>
      </c>
      <c r="AA74" s="49">
        <f>IF(R74=" ",Oct!AA54,R74+Oct!AA54)</f>
        <v>0</v>
      </c>
      <c r="AC74" s="49">
        <f>IF(T74=" ",Oct!AC54,T74+Oct!AC54)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IF(T$69="Y",Oct!H55,0)</f>
        <v>0</v>
      </c>
      <c r="I75" s="245">
        <f>IF(T$69="Y",Oct!I55,0)</f>
        <v>0</v>
      </c>
      <c r="J75" s="245">
        <f>IF(T$69="Y",Oct!J55,0)</f>
        <v>0</v>
      </c>
      <c r="K75" s="245">
        <f>IF(T$69="Y",Oct!K55,I75*J75)</f>
        <v>0</v>
      </c>
      <c r="L75" s="246">
        <f>IF(T$69="Y",Oct!L55,0)</f>
        <v>0</v>
      </c>
      <c r="M75" s="100" t="str">
        <f>IF(E75=" "," ",IF(T$69="Y",Oct!M55,IF((H75+K75+L75)&gt;0,H75+K75+L75,"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IF(Employee!H$139=E$69,Employee!D$138+SUM(M75)+Oct!V55,SUM(M75)+Oct!V55)</f>
        <v>0</v>
      </c>
      <c r="W75" s="49">
        <f>IF(Employee!H$139=E$69,Employee!D$139+SUM(N75)+Oct!W55,SUM(N75)+Oct!W55)</f>
        <v>0</v>
      </c>
      <c r="X75" s="49">
        <f>IF(O75=" ",Oct!X55,O75+Oct!X55)</f>
        <v>0</v>
      </c>
      <c r="Y75" s="49">
        <f>IF(P75=" ",Oct!Y55,P75+Oct!Y55)</f>
        <v>0</v>
      </c>
      <c r="Z75" s="49">
        <f>IF(Q75=" ",Oct!Z55,Q75+Oct!Z55)</f>
        <v>0</v>
      </c>
      <c r="AA75" s="49">
        <f>IF(R75=" ",Oct!AA55,R75+Oct!AA55)</f>
        <v>0</v>
      </c>
      <c r="AC75" s="49">
        <f>IF(T75=" ",Oct!AC55,T75+Oct!AC55)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AD80+Oct!AD65</f>
        <v>0</v>
      </c>
      <c r="AE85" s="158">
        <f>AE80+Oct!AE65</f>
        <v>0</v>
      </c>
      <c r="AF85" s="158">
        <f>AF80+Oct!AF65</f>
        <v>0</v>
      </c>
      <c r="AG85" s="158">
        <f>AG80+Oct!AG65</f>
        <v>0</v>
      </c>
    </row>
    <row r="86" spans="6:33" ht="14" thickTop="1" x14ac:dyDescent="0.15"/>
    <row r="87" spans="6:33" x14ac:dyDescent="0.15">
      <c r="AD87" s="162"/>
      <c r="AE87" s="158">
        <f>AE82+Oct!AE67</f>
        <v>0</v>
      </c>
      <c r="AF87" s="158">
        <f>AF82+Oct!AF67</f>
        <v>0</v>
      </c>
      <c r="AG87" s="158">
        <f>AG82+Oct!AG67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Dec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INDIRECT(ADDRESS($H$4,2,1,TRUE,$H$3))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INDIRECT(ADDRESS($H$4+2+C10,5,1,TRUE,$H$3))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INDIRECT(ADDRESS($H$4+1,13,1,TRUE,$H$3))</f>
        <v>46124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INDIRECT(ADDRESS($H$4+1,5,1,TRUE,$H$3))</f>
        <v>1</v>
      </c>
      <c r="J10" s="477" t="str">
        <f ca="1">IF(M8=" "," ",INDIRECT(ADDRESS($H$4+2+C10,4,1,TRUE,$H$3)))</f>
        <v xml:space="preserve"> </v>
      </c>
      <c r="K10" s="477"/>
      <c r="L10" s="249" t="s">
        <v>123</v>
      </c>
      <c r="M10" s="261" t="str">
        <f ca="1">IF(M8=" "," ",INDIRECT(ADDRESS($H$4+2+C10,3,1,TRUE,$H$3)))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",INDIRECT(ADDRESS($H$4+2+C10,8,1,TRUE,$H$3)))</f>
        <v xml:space="preserve"> </v>
      </c>
      <c r="C14" s="271" t="str">
        <f ca="1">IF(M8=" "," ",INDIRECT(ADDRESS($H$4+2+C10,9,1,TRUE,$H$3)))</f>
        <v xml:space="preserve"> </v>
      </c>
      <c r="D14" s="271" t="str">
        <f ca="1">IF(M8=" "," ",INDIRECT(ADDRESS($H$4+2+C10,10,1,TRUE,$H$3)))</f>
        <v xml:space="preserve"> </v>
      </c>
      <c r="E14" s="271" t="str">
        <f ca="1">IF(M8=" "," ",INDIRECT(ADDRESS($H$4+2+C10,11,1,TRUE,$H$3)))</f>
        <v xml:space="preserve"> </v>
      </c>
      <c r="F14" s="272" t="str">
        <f ca="1">IF(M8=" "," ",INDIRECT(ADDRESS($H$4+2+C10,12,1,TRUE,$H$3)))</f>
        <v xml:space="preserve"> </v>
      </c>
      <c r="G14" s="273" t="str">
        <f ca="1">IF(M8=" "," ",INDIRECT(ADDRESS($H$4+2+C10,13,1,TRUE,$H$3)))</f>
        <v xml:space="preserve"> </v>
      </c>
      <c r="H14" s="274" t="str">
        <f ca="1">IF(M8=" "," ",INDIRECT(ADDRESS($H$4+2+C10,14,1,TRUE,$H$3)))</f>
        <v xml:space="preserve"> </v>
      </c>
      <c r="I14" s="271" t="str">
        <f ca="1">IF(M8=" "," ",INDIRECT(ADDRESS($H$4+2+C10,15,1,TRUE,$H$3)))</f>
        <v xml:space="preserve"> </v>
      </c>
      <c r="J14" s="457" t="str">
        <f ca="1">IF(M8=" "," ",INDIRECT(ADDRESS($H$4+2+C10,16,1,TRUE,$H$3)))</f>
        <v xml:space="preserve"> </v>
      </c>
      <c r="K14" s="457"/>
      <c r="L14" s="272" t="str">
        <f ca="1">IF(M8=" "," ",INDIRECT(ADDRESS($H$4+2+C10,17,1,TRUE,$H$3)))</f>
        <v xml:space="preserve"> </v>
      </c>
      <c r="M14" s="275" t="str">
        <f ca="1">IF(M8=" "," ",INDIRECT(ADDRESS($H$4+2+C10,18,1,TRUE,$H$3)))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",INDIRECT(ADDRESS($H$4+2+C10,22,1,TRUE,$H$3)))</f>
        <v xml:space="preserve"> </v>
      </c>
      <c r="H16" s="271" t="str">
        <f ca="1">IF(M8=" "," ",INDIRECT(ADDRESS($H$4+2+C10,23,1,TRUE,$H$3)))</f>
        <v xml:space="preserve"> </v>
      </c>
      <c r="I16" s="271" t="str">
        <f ca="1">IF(M8=" "," ",INDIRECT(ADDRESS($H$4+2+C10,24,1,TRUE,$H$3)))</f>
        <v xml:space="preserve"> </v>
      </c>
      <c r="J16" s="457" t="str">
        <f ca="1">IF(M8=" "," ",INDIRECT(ADDRESS($H$4+2+C10,25,1,TRUE,$H$3)))</f>
        <v xml:space="preserve"> </v>
      </c>
      <c r="K16" s="457"/>
      <c r="L16" s="271" t="str">
        <f ca="1">IF(M8=" "," ",INDIRECT(ADDRESS($H$4+2+C10,26,1,TRUE,$H$3)))</f>
        <v xml:space="preserve"> </v>
      </c>
      <c r="M16" s="271" t="str">
        <f ca="1">IF(M8=" "," ",INDIRECT(ADDRESS($H$4+2+C10,27,1,TRUE,$H$3)))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",INDIRECT(ADDRESS($H$4+1,13,1,TRUE,$H$3)))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INDIRECT(ADDRESS($H$4+2+C24,5,1,TRUE,$H$3))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46124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",INDIRECT(ADDRESS($H$4+2+C24,4,1,TRUE,$H$3)))</f>
        <v xml:space="preserve"> </v>
      </c>
      <c r="K24" s="477"/>
      <c r="L24" s="249" t="s">
        <v>123</v>
      </c>
      <c r="M24" s="261" t="str">
        <f ca="1">IF(M22=" "," ",INDIRECT(ADDRESS($H$4+2+C24,3,1,TRUE,$H$3)))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",INDIRECT(ADDRESS($H$4+2+C24,8,1,TRUE,$H$3)))</f>
        <v xml:space="preserve"> </v>
      </c>
      <c r="C28" s="271" t="str">
        <f ca="1">IF(M22=" "," ",INDIRECT(ADDRESS($H$4+2+C24,9,1,TRUE,$H$3)))</f>
        <v xml:space="preserve"> </v>
      </c>
      <c r="D28" s="271" t="str">
        <f ca="1">IF(M22=" "," ",INDIRECT(ADDRESS($H$4+2+C24,10,1,TRUE,$H$3)))</f>
        <v xml:space="preserve"> </v>
      </c>
      <c r="E28" s="271" t="str">
        <f ca="1">IF(M22=" "," ",INDIRECT(ADDRESS($H$4+2+C24,11,1,TRUE,$H$3)))</f>
        <v xml:space="preserve"> </v>
      </c>
      <c r="F28" s="272" t="str">
        <f ca="1">IF(M22=" "," ",INDIRECT(ADDRESS($H$4+2+C24,12,1,TRUE,$H$3)))</f>
        <v xml:space="preserve"> </v>
      </c>
      <c r="G28" s="273" t="str">
        <f ca="1">IF(M22=" "," ",INDIRECT(ADDRESS($H$4+2+C24,13,1,TRUE,$H$3)))</f>
        <v xml:space="preserve"> </v>
      </c>
      <c r="H28" s="274" t="str">
        <f ca="1">IF(M22=" "," ",INDIRECT(ADDRESS($H$4+2+C24,14,1,TRUE,$H$3)))</f>
        <v xml:space="preserve"> </v>
      </c>
      <c r="I28" s="271" t="str">
        <f ca="1">IF(M22=" "," ",INDIRECT(ADDRESS($H$4+2+C24,15,1,TRUE,$H$3)))</f>
        <v xml:space="preserve"> </v>
      </c>
      <c r="J28" s="457" t="str">
        <f ca="1">IF(M22=" "," ",INDIRECT(ADDRESS($H$4+2+C24,16,1,TRUE,$H$3)))</f>
        <v xml:space="preserve"> </v>
      </c>
      <c r="K28" s="457"/>
      <c r="L28" s="272" t="str">
        <f ca="1">IF(M22=" "," ",INDIRECT(ADDRESS($H$4+2+C24,17,1,TRUE,$H$3)))</f>
        <v xml:space="preserve"> </v>
      </c>
      <c r="M28" s="275" t="str">
        <f ca="1">IF(M22=" "," ",INDIRECT(ADDRESS($H$4+2+C24,18,1,TRUE,$H$3)))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",INDIRECT(ADDRESS($H$4+2+C24,22,1,TRUE,$H$3)))</f>
        <v xml:space="preserve"> </v>
      </c>
      <c r="H30" s="271" t="str">
        <f ca="1">IF(M22=" "," ",INDIRECT(ADDRESS($H$4+2+C24,23,1,TRUE,$H$3)))</f>
        <v xml:space="preserve"> </v>
      </c>
      <c r="I30" s="271" t="str">
        <f ca="1">IF(M22=" "," ",INDIRECT(ADDRESS($H$4+2+C24,24,1,TRUE,$H$3)))</f>
        <v xml:space="preserve"> </v>
      </c>
      <c r="J30" s="457" t="str">
        <f ca="1">IF(M22=" "," ",INDIRECT(ADDRESS($H$4+2+C24,25,1,TRUE,$H$3)))</f>
        <v xml:space="preserve"> </v>
      </c>
      <c r="K30" s="457"/>
      <c r="L30" s="271" t="str">
        <f ca="1">IF(M22=" "," ",INDIRECT(ADDRESS($H$4+2+C24,26,1,TRUE,$H$3)))</f>
        <v xml:space="preserve"> </v>
      </c>
      <c r="M30" s="271" t="str">
        <f ca="1">IF(M22=" "," ",INDIRECT(ADDRESS($H$4+2+C24,27,1,TRUE,$H$3)))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INDIRECT(ADDRESS($H$4+2+C39,5,1,TRUE,$H$3))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46124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",INDIRECT(ADDRESS($H$4+2+C39,4,1,TRUE,$H$3)))</f>
        <v xml:space="preserve"> </v>
      </c>
      <c r="K39" s="477"/>
      <c r="L39" s="249" t="s">
        <v>123</v>
      </c>
      <c r="M39" s="261" t="str">
        <f ca="1">IF(M37=" "," ",INDIRECT(ADDRESS($H$4+2+C39,3,1,TRUE,$H$3)))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",INDIRECT(ADDRESS($H$4+2+C39,8,1,TRUE,$H$3)))</f>
        <v xml:space="preserve"> </v>
      </c>
      <c r="C43" s="271" t="str">
        <f ca="1">IF(M37=" "," ",INDIRECT(ADDRESS($H$4+2+C39,9,1,TRUE,$H$3)))</f>
        <v xml:space="preserve"> </v>
      </c>
      <c r="D43" s="271" t="str">
        <f ca="1">IF(M37=" "," ",INDIRECT(ADDRESS($H$4+2+C39,10,1,TRUE,$H$3)))</f>
        <v xml:space="preserve"> </v>
      </c>
      <c r="E43" s="271" t="str">
        <f ca="1">IF(M37=" "," ",INDIRECT(ADDRESS($H$4+2+C39,11,1,TRUE,$H$3)))</f>
        <v xml:space="preserve"> </v>
      </c>
      <c r="F43" s="272" t="str">
        <f ca="1">IF(M37=" "," ",INDIRECT(ADDRESS($H$4+2+C39,12,1,TRUE,$H$3)))</f>
        <v xml:space="preserve"> </v>
      </c>
      <c r="G43" s="273" t="str">
        <f ca="1">IF(M37=" "," ",INDIRECT(ADDRESS($H$4+2+C39,13,1,TRUE,$H$3)))</f>
        <v xml:space="preserve"> </v>
      </c>
      <c r="H43" s="274" t="str">
        <f ca="1">IF(M37=" "," ",INDIRECT(ADDRESS($H$4+2+C39,14,1,TRUE,$H$3)))</f>
        <v xml:space="preserve"> </v>
      </c>
      <c r="I43" s="271" t="str">
        <f ca="1">IF(M37=" "," ",INDIRECT(ADDRESS($H$4+2+C39,15,1,TRUE,$H$3)))</f>
        <v xml:space="preserve"> </v>
      </c>
      <c r="J43" s="457" t="str">
        <f ca="1">IF(M37=" "," ",INDIRECT(ADDRESS($H$4+2+C39,16,1,TRUE,$H$3)))</f>
        <v xml:space="preserve"> </v>
      </c>
      <c r="K43" s="457"/>
      <c r="L43" s="272" t="str">
        <f ca="1">IF(M37=" "," ",INDIRECT(ADDRESS($H$4+2+C39,17,1,TRUE,$H$3)))</f>
        <v xml:space="preserve"> </v>
      </c>
      <c r="M43" s="275" t="str">
        <f ca="1">IF(M37=" "," ",INDIRECT(ADDRESS($H$4+2+C39,18,1,TRUE,$H$3)))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",INDIRECT(ADDRESS($H$4+2+C39,22,1,TRUE,$H$3)))</f>
        <v xml:space="preserve"> </v>
      </c>
      <c r="H45" s="271" t="str">
        <f ca="1">IF(M37=" "," ",INDIRECT(ADDRESS($H$4+2+C39,23,1,TRUE,$H$3)))</f>
        <v xml:space="preserve"> </v>
      </c>
      <c r="I45" s="271" t="str">
        <f ca="1">IF(M37=" "," ",INDIRECT(ADDRESS($H$4+2+C39,24,1,TRUE,$H$3)))</f>
        <v xml:space="preserve"> </v>
      </c>
      <c r="J45" s="457" t="str">
        <f ca="1">IF(M37=" "," ",INDIRECT(ADDRESS($H$4+2+C39,25,1,TRUE,$H$3)))</f>
        <v xml:space="preserve"> </v>
      </c>
      <c r="K45" s="457"/>
      <c r="L45" s="271" t="str">
        <f ca="1">IF(M37=" "," ",INDIRECT(ADDRESS($H$4+2+C39,26,1,TRUE,$H$3)))</f>
        <v xml:space="preserve"> </v>
      </c>
      <c r="M45" s="271" t="str">
        <f ca="1">IF(M37=" "," ",INDIRECT(ADDRESS($H$4+2+C39,27,1,TRUE,$H$3)))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INDIRECT(ADDRESS($H$4+2+C53,5,1,TRUE,$H$3))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46124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",INDIRECT(ADDRESS($H$4+2+C53,4,1,TRUE,$H$3)))</f>
        <v xml:space="preserve"> </v>
      </c>
      <c r="K53" s="477"/>
      <c r="L53" s="249" t="s">
        <v>123</v>
      </c>
      <c r="M53" s="261" t="str">
        <f ca="1">IF(M51=" "," ",INDIRECT(ADDRESS($H$4+2+C53,3,1,TRUE,$H$3)))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",INDIRECT(ADDRESS($H$4+2+C53,8,1,TRUE,$H$3)))</f>
        <v xml:space="preserve"> </v>
      </c>
      <c r="C57" s="271" t="str">
        <f ca="1">IF(M51=" "," ",INDIRECT(ADDRESS($H$4+2+C53,9,1,TRUE,$H$3)))</f>
        <v xml:space="preserve"> </v>
      </c>
      <c r="D57" s="271" t="str">
        <f ca="1">IF(M51=" "," ",INDIRECT(ADDRESS($H$4+2+C53,10,1,TRUE,$H$3)))</f>
        <v xml:space="preserve"> </v>
      </c>
      <c r="E57" s="271" t="str">
        <f ca="1">IF(M51=" "," ",INDIRECT(ADDRESS($H$4+2+C53,11,1,TRUE,$H$3)))</f>
        <v xml:space="preserve"> </v>
      </c>
      <c r="F57" s="272" t="str">
        <f ca="1">IF(M51=" "," ",INDIRECT(ADDRESS($H$4+2+C53,12,1,TRUE,$H$3)))</f>
        <v xml:space="preserve"> </v>
      </c>
      <c r="G57" s="273" t="str">
        <f ca="1">IF(M51=" "," ",INDIRECT(ADDRESS($H$4+2+C53,13,1,TRUE,$H$3)))</f>
        <v xml:space="preserve"> </v>
      </c>
      <c r="H57" s="274" t="str">
        <f ca="1">IF(M51=" "," ",INDIRECT(ADDRESS($H$4+2+C53,14,1,TRUE,$H$3)))</f>
        <v xml:space="preserve"> </v>
      </c>
      <c r="I57" s="271" t="str">
        <f ca="1">IF(M51=" "," ",INDIRECT(ADDRESS($H$4+2+C53,15,1,TRUE,$H$3)))</f>
        <v xml:space="preserve"> </v>
      </c>
      <c r="J57" s="457" t="str">
        <f ca="1">IF(M51=" "," ",INDIRECT(ADDRESS($H$4+2+C53,16,1,TRUE,$H$3)))</f>
        <v xml:space="preserve"> </v>
      </c>
      <c r="K57" s="457"/>
      <c r="L57" s="272" t="str">
        <f ca="1">IF(M51=" "," ",INDIRECT(ADDRESS($H$4+2+C53,17,1,TRUE,$H$3)))</f>
        <v xml:space="preserve"> </v>
      </c>
      <c r="M57" s="275" t="str">
        <f ca="1">IF(M51=" "," ",INDIRECT(ADDRESS($H$4+2+C53,18,1,TRUE,$H$3)))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",INDIRECT(ADDRESS($H$4+2+C53,22,1,TRUE,$H$3)))</f>
        <v xml:space="preserve"> </v>
      </c>
      <c r="H59" s="271" t="str">
        <f ca="1">IF(M51=" "," ",INDIRECT(ADDRESS($H$4+2+C53,23,1,TRUE,$H$3)))</f>
        <v xml:space="preserve"> </v>
      </c>
      <c r="I59" s="271" t="str">
        <f ca="1">IF(M51=" "," ",INDIRECT(ADDRESS($H$4+2+C53,24,1,TRUE,$H$3)))</f>
        <v xml:space="preserve"> </v>
      </c>
      <c r="J59" s="457" t="str">
        <f ca="1">IF(M51=" "," ",INDIRECT(ADDRESS($H$4+2+C53,25,1,TRUE,$H$3)))</f>
        <v xml:space="preserve"> </v>
      </c>
      <c r="K59" s="457"/>
      <c r="L59" s="271" t="str">
        <f ca="1">IF(M51=" "," ",INDIRECT(ADDRESS($H$4+2+C53,26,1,TRUE,$H$3)))</f>
        <v xml:space="preserve"> </v>
      </c>
      <c r="M59" s="271" t="str">
        <f ca="1">IF(M51=" "," ",INDIRECT(ADDRESS($H$4+2+C53,27,1,TRUE,$H$3)))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INDIRECT(ADDRESS($H$4+2+C68,5,1,TRUE,$H$3))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46124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",INDIRECT(ADDRESS($H$4+2+C68,4,1,TRUE,$H$3)))</f>
        <v xml:space="preserve"> </v>
      </c>
      <c r="K68" s="477"/>
      <c r="L68" s="249" t="s">
        <v>123</v>
      </c>
      <c r="M68" s="261" t="str">
        <f ca="1">IF(M66=" "," ",INDIRECT(ADDRESS($H$4+2+C68,3,1,TRUE,$H$3)))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",INDIRECT(ADDRESS($H$4+2+C68,8,1,TRUE,$H$3)))</f>
        <v xml:space="preserve"> </v>
      </c>
      <c r="C72" s="271" t="str">
        <f ca="1">IF(M66=" "," ",INDIRECT(ADDRESS($H$4+2+C68,9,1,TRUE,$H$3)))</f>
        <v xml:space="preserve"> </v>
      </c>
      <c r="D72" s="271" t="str">
        <f ca="1">IF(M66=" "," ",INDIRECT(ADDRESS($H$4+2+C68,10,1,TRUE,$H$3)))</f>
        <v xml:space="preserve"> </v>
      </c>
      <c r="E72" s="271" t="str">
        <f ca="1">IF(M66=" "," ",INDIRECT(ADDRESS($H$4+2+C68,11,1,TRUE,$H$3)))</f>
        <v xml:space="preserve"> </v>
      </c>
      <c r="F72" s="272" t="str">
        <f ca="1">IF(M66=" "," ",INDIRECT(ADDRESS($H$4+2+C68,12,1,TRUE,$H$3)))</f>
        <v xml:space="preserve"> </v>
      </c>
      <c r="G72" s="273" t="str">
        <f ca="1">IF(M66=" "," ",INDIRECT(ADDRESS($H$4+2+C68,13,1,TRUE,$H$3)))</f>
        <v xml:space="preserve"> </v>
      </c>
      <c r="H72" s="274" t="str">
        <f ca="1">IF(M66=" "," ",INDIRECT(ADDRESS($H$4+2+C68,14,1,TRUE,$H$3)))</f>
        <v xml:space="preserve"> </v>
      </c>
      <c r="I72" s="271" t="str">
        <f ca="1">IF(M66=" "," ",INDIRECT(ADDRESS($H$4+2+C68,15,1,TRUE,$H$3)))</f>
        <v xml:space="preserve"> </v>
      </c>
      <c r="J72" s="457" t="str">
        <f ca="1">IF(M66=" "," ",INDIRECT(ADDRESS($H$4+2+C68,16,1,TRUE,$H$3)))</f>
        <v xml:space="preserve"> </v>
      </c>
      <c r="K72" s="457"/>
      <c r="L72" s="272" t="str">
        <f ca="1">IF(M66=" "," ",INDIRECT(ADDRESS($H$4+2+C68,17,1,TRUE,$H$3)))</f>
        <v xml:space="preserve"> </v>
      </c>
      <c r="M72" s="275" t="str">
        <f ca="1">IF(M66=" "," ",INDIRECT(ADDRESS($H$4+2+C68,18,1,TRUE,$H$3)))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",INDIRECT(ADDRESS($H$4+2+C68,22,1,TRUE,$H$3)))</f>
        <v xml:space="preserve"> </v>
      </c>
      <c r="H74" s="271" t="str">
        <f ca="1">IF(M66=" "," ",INDIRECT(ADDRESS($H$4+2+C68,23,1,TRUE,$H$3)))</f>
        <v xml:space="preserve"> </v>
      </c>
      <c r="I74" s="271" t="str">
        <f ca="1">IF(M66=" "," ",INDIRECT(ADDRESS($H$4+2+C68,24,1,TRUE,$H$3)))</f>
        <v xml:space="preserve"> </v>
      </c>
      <c r="J74" s="457" t="str">
        <f ca="1">IF(M66=" "," ",INDIRECT(ADDRESS($H$4+2+C68,25,1,TRUE,$H$3)))</f>
        <v xml:space="preserve"> </v>
      </c>
      <c r="K74" s="457"/>
      <c r="L74" s="271" t="str">
        <f ca="1">IF(M66=" "," ",INDIRECT(ADDRESS($H$4+2+C68,26,1,TRUE,$H$3)))</f>
        <v xml:space="preserve"> </v>
      </c>
      <c r="M74" s="271" t="str">
        <f ca="1">IF(M66=" "," ",INDIRECT(ADDRESS($H$4+2+C68,27,1,TRUE,$H$3)))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DATE(2026,4,30)</f>
        <v>46142</v>
      </c>
      <c r="C4" s="229">
        <f>DATE(2026,5,19)</f>
        <v>46161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2701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DATE(2026,5,31)</f>
        <v>46173</v>
      </c>
      <c r="C5" s="229">
        <f>DATE(2026,6,19)</f>
        <v>46192</v>
      </c>
      <c r="D5" s="227">
        <f>May!T1+May!O1</f>
        <v>0</v>
      </c>
      <c r="E5" s="228">
        <f>May!N1</f>
        <v>0</v>
      </c>
      <c r="F5" s="228">
        <f>May!AD70+May!AE70+May!AF70+May!AG70</f>
        <v>0</v>
      </c>
      <c r="G5" s="228">
        <f>May!AE72+May!AF72+May!AG72</f>
        <v>0</v>
      </c>
      <c r="H5" s="228">
        <f>May!P1</f>
        <v>0</v>
      </c>
      <c r="I5" s="227">
        <f t="shared" si="0"/>
        <v>0</v>
      </c>
      <c r="M5" s="212">
        <f>M4+1</f>
        <v>2702</v>
      </c>
      <c r="N5" s="226">
        <f t="shared" si="1"/>
        <v>0</v>
      </c>
      <c r="O5" s="225"/>
    </row>
    <row r="6" spans="1:15" ht="15" customHeight="1" x14ac:dyDescent="0.15">
      <c r="A6" s="231"/>
      <c r="B6" s="230">
        <f>DATE(2026,6,30)</f>
        <v>46203</v>
      </c>
      <c r="C6" s="229">
        <f>DATE(2026,7,19)</f>
        <v>46222</v>
      </c>
      <c r="D6" s="227">
        <f>Jun!T1+Jun!O1</f>
        <v>0</v>
      </c>
      <c r="E6" s="228">
        <f>Jun!N1</f>
        <v>0</v>
      </c>
      <c r="F6" s="228">
        <f>Jun!AD60+Jun!AE60+Jun!AF60+Jun!AG60</f>
        <v>0</v>
      </c>
      <c r="G6" s="228">
        <f>Jun!AE62+Jun!AF62+Jun!AG62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2703</v>
      </c>
      <c r="N6" s="226">
        <f t="shared" si="1"/>
        <v>0</v>
      </c>
      <c r="O6" s="225"/>
    </row>
    <row r="7" spans="1:15" ht="15" customHeight="1" x14ac:dyDescent="0.15">
      <c r="A7" s="231"/>
      <c r="B7" s="230">
        <f>DATE(2026,7,31)</f>
        <v>46234</v>
      </c>
      <c r="C7" s="229">
        <f>DATE(2026,8,19)</f>
        <v>46253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2704</v>
      </c>
      <c r="N7" s="226">
        <f t="shared" si="1"/>
        <v>0</v>
      </c>
      <c r="O7" s="225"/>
    </row>
    <row r="8" spans="1:15" ht="15" customHeight="1" x14ac:dyDescent="0.15">
      <c r="A8" s="231"/>
      <c r="B8" s="230">
        <f>DATE(2026,8,31)</f>
        <v>46265</v>
      </c>
      <c r="C8" s="229">
        <f>DATE(2026,9,19)</f>
        <v>46284</v>
      </c>
      <c r="D8" s="227">
        <f>Aug!T1+Aug!O1</f>
        <v>0</v>
      </c>
      <c r="E8" s="228">
        <f>Aug!N1</f>
        <v>0</v>
      </c>
      <c r="F8" s="228">
        <f>Aug!AD70+Aug!AE70+Aug!AF70+Aug!AG70</f>
        <v>0</v>
      </c>
      <c r="G8" s="228">
        <f>Aug!AE72+Aug!AF72+Aug!AG72</f>
        <v>0</v>
      </c>
      <c r="H8" s="228">
        <f>Aug!P1</f>
        <v>0</v>
      </c>
      <c r="I8" s="227">
        <f t="shared" si="0"/>
        <v>0</v>
      </c>
      <c r="M8" s="212">
        <f t="shared" si="2"/>
        <v>2705</v>
      </c>
      <c r="N8" s="226">
        <f t="shared" si="1"/>
        <v>0</v>
      </c>
      <c r="O8" s="225"/>
    </row>
    <row r="9" spans="1:15" ht="15" customHeight="1" x14ac:dyDescent="0.15">
      <c r="A9" s="231"/>
      <c r="B9" s="230">
        <f>DATE(2026,9,30)</f>
        <v>46295</v>
      </c>
      <c r="C9" s="229">
        <f>DATE(2026,10,19)</f>
        <v>46314</v>
      </c>
      <c r="D9" s="227">
        <f>Sep!T1+Sep!O1</f>
        <v>0</v>
      </c>
      <c r="E9" s="228">
        <f>Sep!N1</f>
        <v>0</v>
      </c>
      <c r="F9" s="228">
        <f>Sep!AD60+Sep!AE60+Sep!AF60+Sep!AG60</f>
        <v>0</v>
      </c>
      <c r="G9" s="228">
        <f>Sep!AE62+Sep!AF62+Sep!AG62</f>
        <v>0</v>
      </c>
      <c r="H9" s="228">
        <f>Sep!P1</f>
        <v>0</v>
      </c>
      <c r="I9" s="227">
        <f t="shared" si="0"/>
        <v>0</v>
      </c>
      <c r="M9" s="212">
        <f t="shared" si="2"/>
        <v>2706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DATE(2026,10,31)</f>
        <v>46326</v>
      </c>
      <c r="C10" s="229">
        <f>DATE(2026,11,19)</f>
        <v>46345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2707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DATE(2026,11,30)</f>
        <v>46356</v>
      </c>
      <c r="C11" s="229">
        <f>DATE(2026,12,19)</f>
        <v>46375</v>
      </c>
      <c r="D11" s="227">
        <f>Nov!T1+Nov!O1</f>
        <v>0</v>
      </c>
      <c r="E11" s="228">
        <f>Nov!N1</f>
        <v>0</v>
      </c>
      <c r="F11" s="228">
        <f>Nov!AD80+Nov!AE80+Nov!AF80+Nov!AG80</f>
        <v>0</v>
      </c>
      <c r="G11" s="228">
        <f>Nov!AE82+Nov!AF82+Nov!AG82</f>
        <v>0</v>
      </c>
      <c r="H11" s="228">
        <f>Nov!P1</f>
        <v>0</v>
      </c>
      <c r="I11" s="227">
        <f t="shared" si="0"/>
        <v>0</v>
      </c>
      <c r="M11" s="212">
        <f t="shared" si="2"/>
        <v>2708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DATE(2026,12,31)</f>
        <v>46387</v>
      </c>
      <c r="C12" s="229">
        <f>DATE(2027,1,19)</f>
        <v>46406</v>
      </c>
      <c r="D12" s="227">
        <f>Dec!T1+Dec!O1</f>
        <v>0</v>
      </c>
      <c r="E12" s="228">
        <f>Dec!N1</f>
        <v>0</v>
      </c>
      <c r="F12" s="228">
        <f>Dec!AD60+Dec!AE60+Dec!AF60+Dec!AG60</f>
        <v>0</v>
      </c>
      <c r="G12" s="228">
        <f>Dec!AE62+Dec!AF62+Dec!AG62</f>
        <v>0</v>
      </c>
      <c r="H12" s="228">
        <f>Dec!P1</f>
        <v>0</v>
      </c>
      <c r="I12" s="227">
        <f t="shared" si="0"/>
        <v>0</v>
      </c>
      <c r="M12" s="212">
        <f t="shared" si="2"/>
        <v>2709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DATE(2027,1,31)</f>
        <v>46418</v>
      </c>
      <c r="C13" s="229">
        <f>DATE(2027,2,19)</f>
        <v>46437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2710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DATE(2027,2,28)</f>
        <v>46446</v>
      </c>
      <c r="C14" s="229">
        <f>DATE(2027,3,19)</f>
        <v>46465</v>
      </c>
      <c r="D14" s="227">
        <f>Feb!T1+Feb!O1</f>
        <v>0</v>
      </c>
      <c r="E14" s="228">
        <f>Feb!N1</f>
        <v>0</v>
      </c>
      <c r="F14" s="228">
        <f>Feb!AD70+Feb!AE70+Feb!AF70+Feb!AG70</f>
        <v>0</v>
      </c>
      <c r="G14" s="228">
        <f>Feb!AE72+Feb!AF72+Feb!AG72</f>
        <v>0</v>
      </c>
      <c r="H14" s="228">
        <f>Feb!P1</f>
        <v>0</v>
      </c>
      <c r="I14" s="227">
        <f t="shared" si="0"/>
        <v>0</v>
      </c>
      <c r="M14" s="212">
        <f t="shared" si="2"/>
        <v>2711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DATE(2027,3,31)</f>
        <v>46477</v>
      </c>
      <c r="C15" s="229">
        <f>DATE(2027,4,19)</f>
        <v>46496</v>
      </c>
      <c r="D15" s="227">
        <f>Mar!T1+Mar!O1</f>
        <v>0</v>
      </c>
      <c r="E15" s="228">
        <f>Mar!N1</f>
        <v>0</v>
      </c>
      <c r="F15" s="228">
        <f>Mar!AD60+Mar!AE60+Mar!AF60+Mar!AG60</f>
        <v>0</v>
      </c>
      <c r="G15" s="228">
        <f>Mar!AE62+Mar!AF62+Mar!AG62</f>
        <v>0</v>
      </c>
      <c r="H15" s="228">
        <f>Mar!P1</f>
        <v>0</v>
      </c>
      <c r="I15" s="227">
        <f t="shared" si="0"/>
        <v>0</v>
      </c>
      <c r="M15" s="212">
        <f t="shared" si="2"/>
        <v>2712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DATE(YEAR(B2)+1,MONTH(B2),DAY(B2))-1</f>
        <v>46482</v>
      </c>
      <c r="J1" s="493"/>
      <c r="K1" s="303"/>
      <c r="L1" s="303"/>
      <c r="M1" s="304"/>
      <c r="N1" s="305" t="str">
        <f>TEXT(YEAR(I1)-1,"0") &amp; "-" &amp; TEXT(YEAR(I1)-2000,"0")</f>
        <v>2026-27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TEXT(DATE(YEAR(B$2),MONTH(B$2)+(D2-1)+8,1),"Mmm")</f>
        <v>Dec</v>
      </c>
      <c r="B2" s="308">
        <v>46118</v>
      </c>
      <c r="C2" s="309">
        <v>1</v>
      </c>
      <c r="D2" s="309">
        <v>1</v>
      </c>
      <c r="E2" s="310">
        <f>B2</f>
        <v>46118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TEXT(DATE(YEAR(B$2),MONTH(B$2)+(D3-1)+8,1),"Mmm")</f>
        <v>Dec</v>
      </c>
      <c r="B3" s="308">
        <f>B2+1</f>
        <v>46119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Dec</v>
      </c>
      <c r="B4" s="308">
        <f t="shared" ref="B4:B67" si="1">B3+1</f>
        <v>46120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Dec</v>
      </c>
      <c r="B5" s="308">
        <f t="shared" si="1"/>
        <v>46121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Dec</v>
      </c>
      <c r="B6" s="308">
        <f t="shared" si="1"/>
        <v>46122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Dec</v>
      </c>
      <c r="B7" s="308">
        <f t="shared" si="1"/>
        <v>46123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Dec</v>
      </c>
      <c r="B8" s="308">
        <f t="shared" si="1"/>
        <v>46124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Dec</v>
      </c>
      <c r="B9" s="308">
        <f t="shared" si="1"/>
        <v>46125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Dec</v>
      </c>
      <c r="B10" s="308">
        <f t="shared" si="1"/>
        <v>46126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Dec</v>
      </c>
      <c r="B11" s="308">
        <f t="shared" si="1"/>
        <v>46127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Dec</v>
      </c>
      <c r="B12" s="308">
        <f t="shared" si="1"/>
        <v>46128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Dec</v>
      </c>
      <c r="B13" s="308">
        <f t="shared" si="1"/>
        <v>46129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Dec</v>
      </c>
      <c r="B14" s="308">
        <f t="shared" si="1"/>
        <v>46130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Dec</v>
      </c>
      <c r="B15" s="308">
        <f t="shared" si="1"/>
        <v>46131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Dec</v>
      </c>
      <c r="B16" s="308">
        <f t="shared" si="1"/>
        <v>46132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Dec</v>
      </c>
      <c r="B17" s="308">
        <f t="shared" si="1"/>
        <v>46133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Dec</v>
      </c>
      <c r="B18" s="308">
        <f t="shared" si="1"/>
        <v>46134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Dec</v>
      </c>
      <c r="B19" s="308">
        <f t="shared" si="1"/>
        <v>46135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Dec</v>
      </c>
      <c r="B20" s="308">
        <f t="shared" si="1"/>
        <v>46136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Dec</v>
      </c>
      <c r="B21" s="308">
        <f t="shared" si="1"/>
        <v>46137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Dec</v>
      </c>
      <c r="B22" s="308">
        <f t="shared" si="1"/>
        <v>46138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Dec</v>
      </c>
      <c r="B23" s="308">
        <f t="shared" si="1"/>
        <v>46139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Dec</v>
      </c>
      <c r="B24" s="308">
        <f t="shared" si="1"/>
        <v>46140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Dec</v>
      </c>
      <c r="B25" s="308">
        <f t="shared" si="1"/>
        <v>46141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Dec</v>
      </c>
      <c r="B26" s="308">
        <f t="shared" si="1"/>
        <v>46142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Dec</v>
      </c>
      <c r="B27" s="308">
        <f t="shared" si="1"/>
        <v>46143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Jan</v>
      </c>
      <c r="B28" s="308">
        <f t="shared" si="1"/>
        <v>46144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Jan</v>
      </c>
      <c r="B29" s="308">
        <f t="shared" si="1"/>
        <v>46145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Jan</v>
      </c>
      <c r="B30" s="308">
        <f t="shared" si="1"/>
        <v>46146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Jan</v>
      </c>
      <c r="B31" s="308">
        <f t="shared" si="1"/>
        <v>46147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Jan</v>
      </c>
      <c r="B32" s="308">
        <f t="shared" si="1"/>
        <v>46148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Jan</v>
      </c>
      <c r="B33" s="308">
        <f t="shared" si="1"/>
        <v>46149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Jan</v>
      </c>
      <c r="B34" s="308">
        <f t="shared" si="1"/>
        <v>46150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Jan</v>
      </c>
      <c r="B35" s="308">
        <f t="shared" si="1"/>
        <v>46151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Jan</v>
      </c>
      <c r="B36" s="308">
        <f t="shared" si="1"/>
        <v>46152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Jan</v>
      </c>
      <c r="B37" s="308">
        <f t="shared" si="1"/>
        <v>46153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Jan</v>
      </c>
      <c r="B38" s="308">
        <f t="shared" si="1"/>
        <v>46154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Jan</v>
      </c>
      <c r="B39" s="308">
        <f t="shared" si="1"/>
        <v>46155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Jan</v>
      </c>
      <c r="B40" s="308">
        <f t="shared" si="1"/>
        <v>46156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Jan</v>
      </c>
      <c r="B41" s="308">
        <f t="shared" si="1"/>
        <v>46157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Jan</v>
      </c>
      <c r="B42" s="308">
        <f t="shared" si="1"/>
        <v>46158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Jan</v>
      </c>
      <c r="B43" s="308">
        <f t="shared" si="1"/>
        <v>46159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Jan</v>
      </c>
      <c r="B44" s="308">
        <f t="shared" si="1"/>
        <v>46160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Jan</v>
      </c>
      <c r="B45" s="308">
        <f t="shared" si="1"/>
        <v>46161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Jan</v>
      </c>
      <c r="B46" s="308">
        <f t="shared" si="1"/>
        <v>46162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Jan</v>
      </c>
      <c r="B47" s="308">
        <f t="shared" si="1"/>
        <v>46163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Jan</v>
      </c>
      <c r="B48" s="308">
        <f t="shared" si="1"/>
        <v>46164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Jan</v>
      </c>
      <c r="B49" s="308">
        <f t="shared" si="1"/>
        <v>46165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Jan</v>
      </c>
      <c r="B50" s="308">
        <f t="shared" si="1"/>
        <v>46166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Jan</v>
      </c>
      <c r="B51" s="308">
        <f t="shared" si="1"/>
        <v>46167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Jan</v>
      </c>
      <c r="B52" s="308">
        <f t="shared" si="1"/>
        <v>46168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Jan</v>
      </c>
      <c r="B53" s="308">
        <f t="shared" si="1"/>
        <v>46169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Jan</v>
      </c>
      <c r="B54" s="308">
        <f t="shared" si="1"/>
        <v>46170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Jan</v>
      </c>
      <c r="B55" s="308">
        <f t="shared" si="1"/>
        <v>46171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Feb</v>
      </c>
      <c r="B56" s="308">
        <f t="shared" si="1"/>
        <v>46172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Feb</v>
      </c>
      <c r="B57" s="308">
        <f t="shared" si="1"/>
        <v>46173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Feb</v>
      </c>
      <c r="B58" s="308">
        <f t="shared" si="1"/>
        <v>46174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Feb</v>
      </c>
      <c r="B59" s="308">
        <f t="shared" si="1"/>
        <v>46175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Feb</v>
      </c>
      <c r="B60" s="308">
        <f t="shared" si="1"/>
        <v>46176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Feb</v>
      </c>
      <c r="B61" s="308">
        <f t="shared" si="1"/>
        <v>46177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Feb</v>
      </c>
      <c r="B62" s="308">
        <f t="shared" si="1"/>
        <v>46178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Feb</v>
      </c>
      <c r="B63" s="308">
        <f t="shared" si="1"/>
        <v>46179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Feb</v>
      </c>
      <c r="B64" s="308">
        <f t="shared" si="1"/>
        <v>46180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Feb</v>
      </c>
      <c r="B65" s="308">
        <f t="shared" si="1"/>
        <v>46181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Feb</v>
      </c>
      <c r="B66" s="308">
        <f t="shared" si="1"/>
        <v>46182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TEXT(DATE(YEAR(B$2),MONTH(B$2)+(D67-1)+8,1),"Mmm")</f>
        <v>Feb</v>
      </c>
      <c r="B67" s="308">
        <f t="shared" si="1"/>
        <v>46183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Feb</v>
      </c>
      <c r="B68" s="308">
        <f t="shared" ref="B68:B131" si="3">B67+1</f>
        <v>46184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Feb</v>
      </c>
      <c r="B69" s="308">
        <f t="shared" si="3"/>
        <v>46185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Feb</v>
      </c>
      <c r="B70" s="308">
        <f t="shared" si="3"/>
        <v>46186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Feb</v>
      </c>
      <c r="B71" s="308">
        <f t="shared" si="3"/>
        <v>46187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Feb</v>
      </c>
      <c r="B72" s="308">
        <f t="shared" si="3"/>
        <v>46188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Feb</v>
      </c>
      <c r="B73" s="308">
        <f t="shared" si="3"/>
        <v>46189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Feb</v>
      </c>
      <c r="B74" s="308">
        <f t="shared" si="3"/>
        <v>46190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Feb</v>
      </c>
      <c r="B75" s="308">
        <f t="shared" si="3"/>
        <v>46191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Feb</v>
      </c>
      <c r="B76" s="308">
        <f t="shared" si="3"/>
        <v>46192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Feb</v>
      </c>
      <c r="B77" s="308">
        <f t="shared" si="3"/>
        <v>46193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Feb</v>
      </c>
      <c r="B78" s="308">
        <f t="shared" si="3"/>
        <v>46194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Feb</v>
      </c>
      <c r="B79" s="308">
        <f t="shared" si="3"/>
        <v>46195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Feb</v>
      </c>
      <c r="B80" s="308">
        <f t="shared" si="3"/>
        <v>46196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Feb</v>
      </c>
      <c r="B81" s="308">
        <f t="shared" si="3"/>
        <v>46197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Feb</v>
      </c>
      <c r="B82" s="308">
        <f t="shared" si="3"/>
        <v>46198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Feb</v>
      </c>
      <c r="B83" s="308">
        <f t="shared" si="3"/>
        <v>46199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Feb</v>
      </c>
      <c r="B84" s="308">
        <f t="shared" si="3"/>
        <v>46200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Feb</v>
      </c>
      <c r="B85" s="308">
        <f t="shared" si="3"/>
        <v>46201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Feb</v>
      </c>
      <c r="B86" s="308">
        <f t="shared" si="3"/>
        <v>46202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Feb</v>
      </c>
      <c r="B87" s="308">
        <f t="shared" si="3"/>
        <v>46203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Feb</v>
      </c>
      <c r="B88" s="308">
        <f t="shared" si="3"/>
        <v>46204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Feb</v>
      </c>
      <c r="B89" s="308">
        <f t="shared" si="3"/>
        <v>46205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Feb</v>
      </c>
      <c r="B90" s="308">
        <f t="shared" si="3"/>
        <v>46206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Mar</v>
      </c>
      <c r="B91" s="308">
        <f t="shared" si="3"/>
        <v>46207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Mar</v>
      </c>
      <c r="B92" s="308">
        <f t="shared" si="3"/>
        <v>46208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Mar</v>
      </c>
      <c r="B93" s="308">
        <f t="shared" si="3"/>
        <v>46209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Mar</v>
      </c>
      <c r="B94" s="308">
        <f t="shared" si="3"/>
        <v>46210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Mar</v>
      </c>
      <c r="B95" s="308">
        <f t="shared" si="3"/>
        <v>46211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Mar</v>
      </c>
      <c r="B96" s="308">
        <f t="shared" si="3"/>
        <v>46212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Mar</v>
      </c>
      <c r="B97" s="308">
        <f t="shared" si="3"/>
        <v>46213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Mar</v>
      </c>
      <c r="B98" s="308">
        <f t="shared" si="3"/>
        <v>46214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Mar</v>
      </c>
      <c r="B99" s="308">
        <f t="shared" si="3"/>
        <v>46215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Mar</v>
      </c>
      <c r="B100" s="308">
        <f t="shared" si="3"/>
        <v>46216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Mar</v>
      </c>
      <c r="B101" s="308">
        <f t="shared" si="3"/>
        <v>46217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Mar</v>
      </c>
      <c r="B102" s="308">
        <f t="shared" si="3"/>
        <v>46218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Mar</v>
      </c>
      <c r="B103" s="308">
        <f t="shared" si="3"/>
        <v>46219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Mar</v>
      </c>
      <c r="B104" s="308">
        <f t="shared" si="3"/>
        <v>46220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Mar</v>
      </c>
      <c r="B105" s="308">
        <f t="shared" si="3"/>
        <v>46221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Mar</v>
      </c>
      <c r="B106" s="308">
        <f t="shared" si="3"/>
        <v>46222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Mar</v>
      </c>
      <c r="B107" s="308">
        <f t="shared" si="3"/>
        <v>46223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Mar</v>
      </c>
      <c r="B108" s="308">
        <f t="shared" si="3"/>
        <v>46224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Mar</v>
      </c>
      <c r="B109" s="308">
        <f t="shared" si="3"/>
        <v>46225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Mar</v>
      </c>
      <c r="B110" s="308">
        <f t="shared" si="3"/>
        <v>46226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Mar</v>
      </c>
      <c r="B111" s="308">
        <f t="shared" si="3"/>
        <v>46227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Mar</v>
      </c>
      <c r="B112" s="308">
        <f t="shared" si="3"/>
        <v>46228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Mar</v>
      </c>
      <c r="B113" s="308">
        <f t="shared" si="3"/>
        <v>46229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Mar</v>
      </c>
      <c r="B114" s="308">
        <f t="shared" si="3"/>
        <v>46230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Mar</v>
      </c>
      <c r="B115" s="308">
        <f t="shared" si="3"/>
        <v>46231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Mar</v>
      </c>
      <c r="B116" s="308">
        <f t="shared" si="3"/>
        <v>46232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Mar</v>
      </c>
      <c r="B117" s="308">
        <f t="shared" si="3"/>
        <v>46233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Mar</v>
      </c>
      <c r="B118" s="308">
        <f t="shared" si="3"/>
        <v>46234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Apr</v>
      </c>
      <c r="B119" s="308">
        <f t="shared" si="3"/>
        <v>46235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Apr</v>
      </c>
      <c r="B120" s="308">
        <f t="shared" si="3"/>
        <v>46236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Apr</v>
      </c>
      <c r="B121" s="308">
        <f t="shared" si="3"/>
        <v>46237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Apr</v>
      </c>
      <c r="B122" s="308">
        <f t="shared" si="3"/>
        <v>46238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Apr</v>
      </c>
      <c r="B123" s="308">
        <f t="shared" si="3"/>
        <v>46239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Apr</v>
      </c>
      <c r="B124" s="308">
        <f t="shared" si="3"/>
        <v>46240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Apr</v>
      </c>
      <c r="B125" s="308">
        <f t="shared" si="3"/>
        <v>46241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Apr</v>
      </c>
      <c r="B126" s="308">
        <f t="shared" si="3"/>
        <v>46242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Apr</v>
      </c>
      <c r="B127" s="308">
        <f t="shared" si="3"/>
        <v>46243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Apr</v>
      </c>
      <c r="B128" s="308">
        <f t="shared" si="3"/>
        <v>46244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Apr</v>
      </c>
      <c r="B129" s="308">
        <f t="shared" si="3"/>
        <v>46245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Apr</v>
      </c>
      <c r="B130" s="308">
        <f t="shared" si="3"/>
        <v>46246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TEXT(DATE(YEAR(B$2),MONTH(B$2)+(D131-1)+8,1),"Mmm")</f>
        <v>Apr</v>
      </c>
      <c r="B131" s="308">
        <f t="shared" si="3"/>
        <v>46247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Apr</v>
      </c>
      <c r="B132" s="308">
        <f t="shared" ref="B132:B195" si="5">B131+1</f>
        <v>46248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Apr</v>
      </c>
      <c r="B133" s="308">
        <f t="shared" si="5"/>
        <v>46249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Apr</v>
      </c>
      <c r="B134" s="308">
        <f t="shared" si="5"/>
        <v>46250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Apr</v>
      </c>
      <c r="B135" s="308">
        <f t="shared" si="5"/>
        <v>46251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Apr</v>
      </c>
      <c r="B136" s="308">
        <f t="shared" si="5"/>
        <v>46252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Apr</v>
      </c>
      <c r="B137" s="308">
        <f t="shared" si="5"/>
        <v>46253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Apr</v>
      </c>
      <c r="B138" s="308">
        <f t="shared" si="5"/>
        <v>46254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Apr</v>
      </c>
      <c r="B139" s="308">
        <f t="shared" si="5"/>
        <v>46255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Apr</v>
      </c>
      <c r="B140" s="308">
        <f t="shared" si="5"/>
        <v>46256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Apr</v>
      </c>
      <c r="B141" s="308">
        <f t="shared" si="5"/>
        <v>46257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Apr</v>
      </c>
      <c r="B142" s="308">
        <f t="shared" si="5"/>
        <v>46258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Apr</v>
      </c>
      <c r="B143" s="308">
        <f t="shared" si="5"/>
        <v>46259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Apr</v>
      </c>
      <c r="B144" s="308">
        <f t="shared" si="5"/>
        <v>46260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Apr</v>
      </c>
      <c r="B145" s="308">
        <f t="shared" si="5"/>
        <v>46261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Apr</v>
      </c>
      <c r="B146" s="308">
        <f t="shared" si="5"/>
        <v>46262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May</v>
      </c>
      <c r="B147" s="308">
        <f t="shared" si="5"/>
        <v>46263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May</v>
      </c>
      <c r="B148" s="308">
        <f t="shared" si="5"/>
        <v>46264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May</v>
      </c>
      <c r="B149" s="308">
        <f t="shared" si="5"/>
        <v>46265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May</v>
      </c>
      <c r="B150" s="308">
        <f t="shared" si="5"/>
        <v>46266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May</v>
      </c>
      <c r="B151" s="308">
        <f t="shared" si="5"/>
        <v>46267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May</v>
      </c>
      <c r="B152" s="308">
        <f t="shared" si="5"/>
        <v>46268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May</v>
      </c>
      <c r="B153" s="308">
        <f t="shared" si="5"/>
        <v>46269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May</v>
      </c>
      <c r="B154" s="308">
        <f t="shared" si="5"/>
        <v>46270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May</v>
      </c>
      <c r="B155" s="321">
        <f t="shared" si="5"/>
        <v>46271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May</v>
      </c>
      <c r="B156" s="308">
        <f t="shared" si="5"/>
        <v>46272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May</v>
      </c>
      <c r="B157" s="308">
        <f t="shared" si="5"/>
        <v>46273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May</v>
      </c>
      <c r="B158" s="308">
        <f t="shared" si="5"/>
        <v>46274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May</v>
      </c>
      <c r="B159" s="308">
        <f t="shared" si="5"/>
        <v>46275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May</v>
      </c>
      <c r="B160" s="308">
        <f t="shared" si="5"/>
        <v>46276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May</v>
      </c>
      <c r="B161" s="308">
        <f t="shared" si="5"/>
        <v>46277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May</v>
      </c>
      <c r="B162" s="308">
        <f t="shared" si="5"/>
        <v>46278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May</v>
      </c>
      <c r="B163" s="308">
        <f t="shared" si="5"/>
        <v>46279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May</v>
      </c>
      <c r="B164" s="308">
        <f t="shared" si="5"/>
        <v>46280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May</v>
      </c>
      <c r="B165" s="308">
        <f t="shared" si="5"/>
        <v>46281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May</v>
      </c>
      <c r="B166" s="308">
        <f t="shared" si="5"/>
        <v>46282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May</v>
      </c>
      <c r="B167" s="308">
        <f t="shared" si="5"/>
        <v>46283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May</v>
      </c>
      <c r="B168" s="308">
        <f t="shared" si="5"/>
        <v>46284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May</v>
      </c>
      <c r="B169" s="308">
        <f t="shared" si="5"/>
        <v>46285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May</v>
      </c>
      <c r="B170" s="308">
        <f t="shared" si="5"/>
        <v>46286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May</v>
      </c>
      <c r="B171" s="308">
        <f t="shared" si="5"/>
        <v>46287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May</v>
      </c>
      <c r="B172" s="308">
        <f t="shared" si="5"/>
        <v>46288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May</v>
      </c>
      <c r="B173" s="308">
        <f t="shared" si="5"/>
        <v>46289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May</v>
      </c>
      <c r="B174" s="308">
        <f t="shared" si="5"/>
        <v>46290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May</v>
      </c>
      <c r="B175" s="308">
        <f t="shared" si="5"/>
        <v>46291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May</v>
      </c>
      <c r="B176" s="308">
        <f t="shared" si="5"/>
        <v>46292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May</v>
      </c>
      <c r="B177" s="308">
        <f t="shared" si="5"/>
        <v>46293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May</v>
      </c>
      <c r="B178" s="308">
        <f t="shared" si="5"/>
        <v>46294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May</v>
      </c>
      <c r="B179" s="308">
        <f t="shared" si="5"/>
        <v>46295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May</v>
      </c>
      <c r="B180" s="308">
        <f t="shared" si="5"/>
        <v>46296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May</v>
      </c>
      <c r="B181" s="308">
        <f t="shared" si="5"/>
        <v>46297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Jun</v>
      </c>
      <c r="B182" s="308">
        <f t="shared" si="5"/>
        <v>46298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Jun</v>
      </c>
      <c r="B183" s="308">
        <f t="shared" si="5"/>
        <v>46299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Jun</v>
      </c>
      <c r="B184" s="308">
        <f t="shared" si="5"/>
        <v>46300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Jun</v>
      </c>
      <c r="B185" s="321">
        <f t="shared" si="5"/>
        <v>46301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Jun</v>
      </c>
      <c r="B186" s="308">
        <f t="shared" si="5"/>
        <v>46302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Jun</v>
      </c>
      <c r="B187" s="308">
        <f t="shared" si="5"/>
        <v>46303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Jun</v>
      </c>
      <c r="B188" s="308">
        <f t="shared" si="5"/>
        <v>46304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Jun</v>
      </c>
      <c r="B189" s="308">
        <f t="shared" si="5"/>
        <v>46305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Jun</v>
      </c>
      <c r="B190" s="308">
        <f t="shared" si="5"/>
        <v>46306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Jun</v>
      </c>
      <c r="B191" s="308">
        <f t="shared" si="5"/>
        <v>46307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Jun</v>
      </c>
      <c r="B192" s="308">
        <f t="shared" si="5"/>
        <v>46308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Jun</v>
      </c>
      <c r="B193" s="308">
        <f t="shared" si="5"/>
        <v>46309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Jun</v>
      </c>
      <c r="B194" s="308">
        <f t="shared" si="5"/>
        <v>46310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TEXT(DATE(YEAR(B$2),MONTH(B$2)+(D195-1)+8,1),"Mmm")</f>
        <v>Jun</v>
      </c>
      <c r="B195" s="308">
        <f t="shared" si="5"/>
        <v>46311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Jun</v>
      </c>
      <c r="B196" s="308">
        <f t="shared" ref="B196:B259" si="7">B195+1</f>
        <v>46312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Jun</v>
      </c>
      <c r="B197" s="308">
        <f t="shared" si="7"/>
        <v>46313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Jun</v>
      </c>
      <c r="B198" s="308">
        <f t="shared" si="7"/>
        <v>46314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Jun</v>
      </c>
      <c r="B199" s="308">
        <f t="shared" si="7"/>
        <v>46315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Jun</v>
      </c>
      <c r="B200" s="308">
        <f t="shared" si="7"/>
        <v>46316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Jun</v>
      </c>
      <c r="B201" s="308">
        <f t="shared" si="7"/>
        <v>46317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Jun</v>
      </c>
      <c r="B202" s="308">
        <f t="shared" si="7"/>
        <v>46318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Jun</v>
      </c>
      <c r="B203" s="308">
        <f t="shared" si="7"/>
        <v>46319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Jun</v>
      </c>
      <c r="B204" s="308">
        <f t="shared" si="7"/>
        <v>46320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Jun</v>
      </c>
      <c r="B205" s="308">
        <f t="shared" si="7"/>
        <v>46321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Jun</v>
      </c>
      <c r="B206" s="308">
        <f t="shared" si="7"/>
        <v>46322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Jun</v>
      </c>
      <c r="B207" s="308">
        <f t="shared" si="7"/>
        <v>46323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Jun</v>
      </c>
      <c r="B208" s="308">
        <f t="shared" si="7"/>
        <v>46324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Jun</v>
      </c>
      <c r="B209" s="308">
        <f t="shared" si="7"/>
        <v>46325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Jul</v>
      </c>
      <c r="B210" s="308">
        <f t="shared" si="7"/>
        <v>46326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Jul</v>
      </c>
      <c r="B211" s="308">
        <f t="shared" si="7"/>
        <v>46327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Jul</v>
      </c>
      <c r="B212" s="308">
        <f t="shared" si="7"/>
        <v>46328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Jul</v>
      </c>
      <c r="B213" s="308">
        <f t="shared" si="7"/>
        <v>46329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Jul</v>
      </c>
      <c r="B214" s="308">
        <f t="shared" si="7"/>
        <v>46330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Jul</v>
      </c>
      <c r="B215" s="308">
        <f t="shared" si="7"/>
        <v>46331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Jul</v>
      </c>
      <c r="B216" s="321">
        <f t="shared" si="7"/>
        <v>46332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Jul</v>
      </c>
      <c r="B217" s="308">
        <f t="shared" si="7"/>
        <v>46333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Jul</v>
      </c>
      <c r="B218" s="308">
        <f t="shared" si="7"/>
        <v>46334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Jul</v>
      </c>
      <c r="B219" s="308">
        <f t="shared" si="7"/>
        <v>46335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Jul</v>
      </c>
      <c r="B220" s="308">
        <f t="shared" si="7"/>
        <v>46336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Jul</v>
      </c>
      <c r="B221" s="308">
        <f t="shared" si="7"/>
        <v>46337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Jul</v>
      </c>
      <c r="B222" s="308">
        <f t="shared" si="7"/>
        <v>46338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Jul</v>
      </c>
      <c r="B223" s="308">
        <f t="shared" si="7"/>
        <v>46339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Jul</v>
      </c>
      <c r="B224" s="308">
        <f t="shared" si="7"/>
        <v>46340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Jul</v>
      </c>
      <c r="B225" s="308">
        <f t="shared" si="7"/>
        <v>46341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Jul</v>
      </c>
      <c r="B226" s="308">
        <f t="shared" si="7"/>
        <v>46342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Jul</v>
      </c>
      <c r="B227" s="308">
        <f t="shared" si="7"/>
        <v>46343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Jul</v>
      </c>
      <c r="B228" s="308">
        <f t="shared" si="7"/>
        <v>46344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Jul</v>
      </c>
      <c r="B229" s="308">
        <f t="shared" si="7"/>
        <v>46345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Jul</v>
      </c>
      <c r="B230" s="308">
        <f t="shared" si="7"/>
        <v>46346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Jul</v>
      </c>
      <c r="B231" s="308">
        <f t="shared" si="7"/>
        <v>46347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Jul</v>
      </c>
      <c r="B232" s="308">
        <f t="shared" si="7"/>
        <v>46348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Jul</v>
      </c>
      <c r="B233" s="308">
        <f t="shared" si="7"/>
        <v>46349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Jul</v>
      </c>
      <c r="B234" s="308">
        <f t="shared" si="7"/>
        <v>46350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Jul</v>
      </c>
      <c r="B235" s="308">
        <f t="shared" si="7"/>
        <v>46351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Jul</v>
      </c>
      <c r="B236" s="308">
        <f t="shared" si="7"/>
        <v>46352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Jul</v>
      </c>
      <c r="B237" s="308">
        <f t="shared" si="7"/>
        <v>46353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Aug</v>
      </c>
      <c r="B238" s="308">
        <f t="shared" si="7"/>
        <v>46354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Aug</v>
      </c>
      <c r="B239" s="308">
        <f t="shared" si="7"/>
        <v>46355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Aug</v>
      </c>
      <c r="B240" s="308">
        <f t="shared" si="7"/>
        <v>46356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Aug</v>
      </c>
      <c r="B241" s="308">
        <f t="shared" si="7"/>
        <v>46357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Aug</v>
      </c>
      <c r="B242" s="308">
        <f t="shared" si="7"/>
        <v>46358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Aug</v>
      </c>
      <c r="B243" s="308">
        <f t="shared" si="7"/>
        <v>46359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Aug</v>
      </c>
      <c r="B244" s="308">
        <f t="shared" si="7"/>
        <v>46360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Aug</v>
      </c>
      <c r="B245" s="308">
        <f t="shared" si="7"/>
        <v>46361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Aug</v>
      </c>
      <c r="B246" s="321">
        <f t="shared" si="7"/>
        <v>46362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Aug</v>
      </c>
      <c r="B247" s="308">
        <f t="shared" si="7"/>
        <v>46363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Aug</v>
      </c>
      <c r="B248" s="308">
        <f t="shared" si="7"/>
        <v>46364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Aug</v>
      </c>
      <c r="B249" s="308">
        <f t="shared" si="7"/>
        <v>46365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Aug</v>
      </c>
      <c r="B250" s="308">
        <f t="shared" si="7"/>
        <v>46366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Aug</v>
      </c>
      <c r="B251" s="308">
        <f t="shared" si="7"/>
        <v>46367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Aug</v>
      </c>
      <c r="B252" s="308">
        <f t="shared" si="7"/>
        <v>46368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Aug</v>
      </c>
      <c r="B253" s="308">
        <f t="shared" si="7"/>
        <v>46369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Aug</v>
      </c>
      <c r="B254" s="308">
        <f t="shared" si="7"/>
        <v>46370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Aug</v>
      </c>
      <c r="B255" s="308">
        <f t="shared" si="7"/>
        <v>46371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Aug</v>
      </c>
      <c r="B256" s="308">
        <f t="shared" si="7"/>
        <v>46372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Aug</v>
      </c>
      <c r="B257" s="308">
        <f t="shared" si="7"/>
        <v>46373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Aug</v>
      </c>
      <c r="B258" s="308">
        <f t="shared" si="7"/>
        <v>46374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TEXT(DATE(YEAR(B$2),MONTH(B$2)+(D259-1)+8,1),"Mmm")</f>
        <v>Aug</v>
      </c>
      <c r="B259" s="308">
        <f t="shared" si="7"/>
        <v>46375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Aug</v>
      </c>
      <c r="B260" s="308">
        <f t="shared" ref="B260:B323" si="9">B259+1</f>
        <v>46376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Aug</v>
      </c>
      <c r="B261" s="308">
        <f t="shared" si="9"/>
        <v>46377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Aug</v>
      </c>
      <c r="B262" s="308">
        <f t="shared" si="9"/>
        <v>46378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Aug</v>
      </c>
      <c r="B263" s="308">
        <f t="shared" si="9"/>
        <v>46379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Aug</v>
      </c>
      <c r="B264" s="308">
        <f t="shared" si="9"/>
        <v>46380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Aug</v>
      </c>
      <c r="B265" s="308">
        <f t="shared" si="9"/>
        <v>46381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Aug</v>
      </c>
      <c r="B266" s="308">
        <f t="shared" si="9"/>
        <v>46382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Aug</v>
      </c>
      <c r="B267" s="308">
        <f t="shared" si="9"/>
        <v>46383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Aug</v>
      </c>
      <c r="B268" s="308">
        <f t="shared" si="9"/>
        <v>46384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Aug</v>
      </c>
      <c r="B269" s="308">
        <f t="shared" si="9"/>
        <v>46385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Aug</v>
      </c>
      <c r="B270" s="308">
        <f t="shared" si="9"/>
        <v>46386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Aug</v>
      </c>
      <c r="B271" s="308">
        <f t="shared" si="9"/>
        <v>46387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Aug</v>
      </c>
      <c r="B272" s="308">
        <f t="shared" si="9"/>
        <v>46388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Sep</v>
      </c>
      <c r="B273" s="308">
        <f t="shared" si="9"/>
        <v>46389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Sep</v>
      </c>
      <c r="B274" s="308">
        <f t="shared" si="9"/>
        <v>46390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Sep</v>
      </c>
      <c r="B275" s="308">
        <f t="shared" si="9"/>
        <v>46391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Sep</v>
      </c>
      <c r="B276" s="321">
        <f t="shared" si="9"/>
        <v>46392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Sep</v>
      </c>
      <c r="B277" s="321">
        <f t="shared" si="9"/>
        <v>46393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Sep</v>
      </c>
      <c r="B278" s="308">
        <f t="shared" si="9"/>
        <v>46394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Sep</v>
      </c>
      <c r="B279" s="308">
        <f t="shared" si="9"/>
        <v>46395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Sep</v>
      </c>
      <c r="B280" s="308">
        <f t="shared" si="9"/>
        <v>46396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Sep</v>
      </c>
      <c r="B281" s="308">
        <f t="shared" si="9"/>
        <v>46397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Sep</v>
      </c>
      <c r="B282" s="308">
        <f t="shared" si="9"/>
        <v>46398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Sep</v>
      </c>
      <c r="B283" s="308">
        <f t="shared" si="9"/>
        <v>46399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Sep</v>
      </c>
      <c r="B284" s="308">
        <f t="shared" si="9"/>
        <v>46400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Sep</v>
      </c>
      <c r="B285" s="308">
        <f t="shared" si="9"/>
        <v>46401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Sep</v>
      </c>
      <c r="B286" s="308">
        <f t="shared" si="9"/>
        <v>46402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Sep</v>
      </c>
      <c r="B287" s="308">
        <f t="shared" si="9"/>
        <v>46403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Sep</v>
      </c>
      <c r="B288" s="308">
        <f t="shared" si="9"/>
        <v>46404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Sep</v>
      </c>
      <c r="B289" s="308">
        <f t="shared" si="9"/>
        <v>46405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Sep</v>
      </c>
      <c r="B290" s="308">
        <f t="shared" si="9"/>
        <v>46406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Sep</v>
      </c>
      <c r="B291" s="308">
        <f t="shared" si="9"/>
        <v>46407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Sep</v>
      </c>
      <c r="B292" s="308">
        <f t="shared" si="9"/>
        <v>46408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Sep</v>
      </c>
      <c r="B293" s="308">
        <f t="shared" si="9"/>
        <v>46409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Sep</v>
      </c>
      <c r="B294" s="308">
        <f t="shared" si="9"/>
        <v>46410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Sep</v>
      </c>
      <c r="B295" s="308">
        <f t="shared" si="9"/>
        <v>46411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Sep</v>
      </c>
      <c r="B296" s="308">
        <f t="shared" si="9"/>
        <v>46412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Sep</v>
      </c>
      <c r="B297" s="308">
        <f t="shared" si="9"/>
        <v>46413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Sep</v>
      </c>
      <c r="B298" s="308">
        <f t="shared" si="9"/>
        <v>46414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Sep</v>
      </c>
      <c r="B299" s="308">
        <f t="shared" si="9"/>
        <v>46415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Sep</v>
      </c>
      <c r="B300" s="308">
        <f t="shared" si="9"/>
        <v>46416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Oct</v>
      </c>
      <c r="B301" s="308">
        <f t="shared" si="9"/>
        <v>46417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Oct</v>
      </c>
      <c r="B302" s="308">
        <f t="shared" si="9"/>
        <v>46418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Oct</v>
      </c>
      <c r="B303" s="308">
        <f t="shared" si="9"/>
        <v>46419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Oct</v>
      </c>
      <c r="B304" s="308">
        <f t="shared" si="9"/>
        <v>46420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Oct</v>
      </c>
      <c r="B305" s="308">
        <f t="shared" si="9"/>
        <v>46421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Oct</v>
      </c>
      <c r="B306" s="308">
        <f t="shared" si="9"/>
        <v>46422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Oct</v>
      </c>
      <c r="B307" s="308">
        <f t="shared" si="9"/>
        <v>46423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Oct</v>
      </c>
      <c r="B308" s="321">
        <f t="shared" si="9"/>
        <v>46424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Oct</v>
      </c>
      <c r="B309" s="308">
        <f t="shared" si="9"/>
        <v>46425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Oct</v>
      </c>
      <c r="B310" s="308">
        <f t="shared" si="9"/>
        <v>46426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Oct</v>
      </c>
      <c r="B311" s="308">
        <f t="shared" si="9"/>
        <v>46427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Oct</v>
      </c>
      <c r="B312" s="308">
        <f t="shared" si="9"/>
        <v>46428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Oct</v>
      </c>
      <c r="B313" s="308">
        <f t="shared" si="9"/>
        <v>46429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Oct</v>
      </c>
      <c r="B314" s="308">
        <f t="shared" si="9"/>
        <v>46430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Oct</v>
      </c>
      <c r="B315" s="308">
        <f t="shared" si="9"/>
        <v>46431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Oct</v>
      </c>
      <c r="B316" s="308">
        <f t="shared" si="9"/>
        <v>46432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Oct</v>
      </c>
      <c r="B317" s="308">
        <f t="shared" si="9"/>
        <v>46433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Oct</v>
      </c>
      <c r="B318" s="308">
        <f t="shared" si="9"/>
        <v>46434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Oct</v>
      </c>
      <c r="B319" s="308">
        <f t="shared" si="9"/>
        <v>46435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Oct</v>
      </c>
      <c r="B320" s="308">
        <f t="shared" si="9"/>
        <v>46436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Oct</v>
      </c>
      <c r="B321" s="308">
        <f t="shared" si="9"/>
        <v>46437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Oct</v>
      </c>
      <c r="B322" s="308">
        <f t="shared" si="9"/>
        <v>46438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TEXT(DATE(YEAR(B$2),MONTH(B$2)+(D323-1)+8,1),"Mmm")</f>
        <v>Oct</v>
      </c>
      <c r="B323" s="308">
        <f t="shared" si="9"/>
        <v>46439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Oct</v>
      </c>
      <c r="B324" s="308">
        <f t="shared" ref="B324:B381" si="11">B323+1</f>
        <v>46440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Oct</v>
      </c>
      <c r="B325" s="308">
        <f t="shared" si="11"/>
        <v>46441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Oct</v>
      </c>
      <c r="B326" s="308">
        <f t="shared" si="11"/>
        <v>46442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Oct</v>
      </c>
      <c r="B327" s="308">
        <f t="shared" si="11"/>
        <v>46443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Oct</v>
      </c>
      <c r="B328" s="308">
        <f t="shared" si="11"/>
        <v>46444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Nov</v>
      </c>
      <c r="B329" s="308">
        <f t="shared" si="11"/>
        <v>46445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Nov</v>
      </c>
      <c r="B330" s="308">
        <f t="shared" si="11"/>
        <v>46446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Nov</v>
      </c>
      <c r="B331" s="308">
        <f t="shared" si="11"/>
        <v>46447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Nov</v>
      </c>
      <c r="B332" s="308">
        <f t="shared" si="11"/>
        <v>46448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Nov</v>
      </c>
      <c r="B333" s="308">
        <f t="shared" si="11"/>
        <v>46449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Nov</v>
      </c>
      <c r="B334" s="308">
        <f t="shared" si="11"/>
        <v>46450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Nov</v>
      </c>
      <c r="B335" s="308">
        <f t="shared" si="11"/>
        <v>46451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Nov</v>
      </c>
      <c r="B336" s="321">
        <f t="shared" si="11"/>
        <v>46452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Nov</v>
      </c>
      <c r="B337" s="308">
        <f t="shared" si="11"/>
        <v>46453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Nov</v>
      </c>
      <c r="B338" s="308">
        <f t="shared" si="11"/>
        <v>46454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Nov</v>
      </c>
      <c r="B339" s="308">
        <f t="shared" si="11"/>
        <v>46455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Nov</v>
      </c>
      <c r="B340" s="308">
        <f t="shared" si="11"/>
        <v>46456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Nov</v>
      </c>
      <c r="B341" s="308">
        <f t="shared" si="11"/>
        <v>46457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Nov</v>
      </c>
      <c r="B342" s="308">
        <f t="shared" si="11"/>
        <v>46458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Nov</v>
      </c>
      <c r="B343" s="308">
        <f t="shared" si="11"/>
        <v>46459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Nov</v>
      </c>
      <c r="B344" s="308">
        <f t="shared" si="11"/>
        <v>46460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Nov</v>
      </c>
      <c r="B345" s="308">
        <f t="shared" si="11"/>
        <v>46461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Nov</v>
      </c>
      <c r="B346" s="308">
        <f t="shared" si="11"/>
        <v>46462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Nov</v>
      </c>
      <c r="B347" s="308">
        <f t="shared" si="11"/>
        <v>46463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Nov</v>
      </c>
      <c r="B348" s="308">
        <f t="shared" si="11"/>
        <v>46464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Nov</v>
      </c>
      <c r="B349" s="308">
        <f t="shared" si="11"/>
        <v>46465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Nov</v>
      </c>
      <c r="B350" s="308">
        <f t="shared" si="11"/>
        <v>46466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Nov</v>
      </c>
      <c r="B351" s="308">
        <f t="shared" si="11"/>
        <v>46467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Nov</v>
      </c>
      <c r="B352" s="308">
        <f t="shared" si="11"/>
        <v>46468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Nov</v>
      </c>
      <c r="B353" s="308">
        <f t="shared" si="11"/>
        <v>46469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Nov</v>
      </c>
      <c r="B354" s="308">
        <f t="shared" si="11"/>
        <v>46470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Nov</v>
      </c>
      <c r="B355" s="308">
        <f t="shared" si="11"/>
        <v>46471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Nov</v>
      </c>
      <c r="B356" s="308">
        <f t="shared" si="11"/>
        <v>46472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Nov</v>
      </c>
      <c r="B357" s="308">
        <f t="shared" si="11"/>
        <v>46473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Nov</v>
      </c>
      <c r="B358" s="308">
        <f t="shared" si="11"/>
        <v>46474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Nov</v>
      </c>
      <c r="B359" s="308">
        <f t="shared" si="11"/>
        <v>46475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Nov</v>
      </c>
      <c r="B360" s="308">
        <f t="shared" si="11"/>
        <v>46476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Nov</v>
      </c>
      <c r="B361" s="308">
        <f t="shared" si="11"/>
        <v>46477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Nov</v>
      </c>
      <c r="B362" s="308">
        <f t="shared" si="11"/>
        <v>46478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Nov</v>
      </c>
      <c r="B363" s="308">
        <f t="shared" si="11"/>
        <v>46479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Nov</v>
      </c>
      <c r="B364" s="308">
        <f t="shared" si="11"/>
        <v>46480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Nov</v>
      </c>
      <c r="B365" s="308">
        <f t="shared" si="11"/>
        <v>46481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Nov</v>
      </c>
      <c r="B366" s="308">
        <f t="shared" si="11"/>
        <v>46482</v>
      </c>
      <c r="C366" s="309">
        <v>53</v>
      </c>
      <c r="D366" s="309">
        <v>12</v>
      </c>
      <c r="E366" s="310">
        <f>B366</f>
        <v>46482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Nov</v>
      </c>
      <c r="B367" s="308">
        <f t="shared" si="11"/>
        <v>46483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Nov</v>
      </c>
      <c r="B368" s="308">
        <f t="shared" si="11"/>
        <v>46484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Nov</v>
      </c>
      <c r="B369" s="308">
        <f t="shared" si="11"/>
        <v>46485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Nov</v>
      </c>
      <c r="B370" s="308">
        <f t="shared" si="11"/>
        <v>46486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Nov</v>
      </c>
      <c r="B371" s="308">
        <f t="shared" si="11"/>
        <v>46487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Nov</v>
      </c>
      <c r="B372" s="308">
        <f t="shared" si="11"/>
        <v>46488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Nov</v>
      </c>
      <c r="B373" s="308">
        <f t="shared" si="11"/>
        <v>46489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Nov</v>
      </c>
      <c r="B374" s="308">
        <f t="shared" si="11"/>
        <v>46490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Nov</v>
      </c>
      <c r="B375" s="308">
        <f t="shared" si="11"/>
        <v>46491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Nov</v>
      </c>
      <c r="B376" s="308">
        <f t="shared" si="11"/>
        <v>46492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Nov</v>
      </c>
      <c r="B377" s="308">
        <f t="shared" si="11"/>
        <v>46493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Nov</v>
      </c>
      <c r="B378" s="308">
        <f t="shared" si="11"/>
        <v>46494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Nov</v>
      </c>
      <c r="B379" s="308">
        <f t="shared" si="11"/>
        <v>46495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Nov</v>
      </c>
      <c r="B380" s="308">
        <f t="shared" si="11"/>
        <v>46496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Nov</v>
      </c>
      <c r="B381" s="308">
        <f t="shared" si="11"/>
        <v>46497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DIY Accounting Limited</dc:creator>
  <cp:lastModifiedBy>DIY Accounting Limited</cp:lastModifiedBy>
  <cp:lastPrinted>2006-09-19T02:28:04Z</cp:lastPrinted>
  <dcterms:created xsi:type="dcterms:W3CDTF">2006-03-29T22:56:21Z</dcterms:created>
  <dcterms:modified xsi:type="dcterms:W3CDTF">2025-04-03T23:04:59Z</dcterms:modified>
  <dc:description>Copyright (C) 2006-2026 DIY Accounting Limited. Licensed under the PolyForm Internal Use License 1.0.0 with an additional grant for accountants.</dc:description>
</cp:coreProperties>
</file>