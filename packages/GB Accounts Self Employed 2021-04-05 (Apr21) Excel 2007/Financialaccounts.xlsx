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<sst xmlns="http://schemas.openxmlformats.org/spreadsheetml/2006/main" count="818" uniqueCount="442">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</sst>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  <cell r="AE1">
            <v>0</v>
          </cell>
          <cell r="AF1">
            <v>0</v>
          </cell>
          <cell r="AG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43927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43927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IF(([1]Schedule!$R$1+[1]Schedule!$S$1-[1]Schedule!$AE$1-[1]Schedule!$AF$1-[1]Schedule!$AG$1)&lt;1000,[1]Schedule!$S$1-[1]Schedule!$AG$1,0)</f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2020-21 are less than £6,475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2022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43927</v>
      </c>
      <c r="R2" s="341"/>
      <c r="S2" s="341"/>
      <c r="T2" s="341"/>
      <c r="U2" s="222" t="s">
        <v>185</v>
      </c>
      <c r="V2" s="340">
        <f>Admin!B17</f>
        <v>44291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IF(([1]Schedule!$R$1+[1]Schedule!$S$1-[1]Schedule!$AE$1-[1]Schedule!$AF$1-[1]Schedule!$AG$1)&lt;1000,[1]Schedule!$S$1-[1]Schedule!$AG$1,0)</f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MAX(0,O174-O179+N(D197)+D210+N(O190))</f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MAX(0,O179-O174-N(D197)-D210-N(O190))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43890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43921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43927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12500</v>
      </c>
      <c r="O4" s="146" t="s">
        <v>51</v>
      </c>
    </row>
    <row r="5" spans="1:15" ht="12" customHeight="1" x14ac:dyDescent="0.15">
      <c r="A5" s="147"/>
      <c r="B5" s="164">
        <v>43951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43982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44012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44043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44074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44104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44135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37500</v>
      </c>
      <c r="N11" s="152">
        <v>0</v>
      </c>
      <c r="O11" s="146"/>
    </row>
    <row r="12" spans="1:15" ht="12" customHeight="1" x14ac:dyDescent="0.15">
      <c r="A12" s="147"/>
      <c r="B12" s="164">
        <v>44165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37501</v>
      </c>
      <c r="M12" s="147"/>
      <c r="N12" s="152">
        <v>37501</v>
      </c>
      <c r="O12" s="146"/>
    </row>
    <row r="13" spans="1:15" ht="12" customHeight="1" x14ac:dyDescent="0.15">
      <c r="A13" s="147"/>
      <c r="B13" s="164">
        <v>44196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150001</v>
      </c>
      <c r="M13" s="147"/>
      <c r="N13" s="152">
        <v>150000</v>
      </c>
      <c r="O13" s="147"/>
    </row>
    <row r="14" spans="1:15" ht="12" customHeight="1" x14ac:dyDescent="0.15">
      <c r="A14" s="147"/>
      <c r="B14" s="164">
        <v>44227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44255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44286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3.05</v>
      </c>
      <c r="M16" s="147" t="s">
        <v>436</v>
      </c>
      <c r="N16" s="152">
        <v>6475</v>
      </c>
      <c r="O16" s="146" t="s">
        <v>51</v>
      </c>
    </row>
    <row r="17" spans="1:15" ht="12" customHeight="1" thickBot="1" x14ac:dyDescent="0.2">
      <c r="A17" s="147"/>
      <c r="B17" s="175">
        <v>44291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44316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44347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44377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9500</v>
      </c>
      <c r="O20" s="146" t="s">
        <v>51</v>
      </c>
    </row>
    <row r="21" spans="1:15" ht="12" customHeight="1" x14ac:dyDescent="0.15">
      <c r="A21" s="147"/>
      <c r="B21" s="164">
        <v>44592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44773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2020-21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50000</v>
      </c>
      <c r="O23" s="146" t="s">
        <v>51</v>
      </c>
    </row>
    <row r="24" spans="1:15" ht="12" customHeight="1" thickBot="1" x14ac:dyDescent="0.2">
      <c r="A24" s="147"/>
      <c r="B24" s="175" t="inlineStr">
        <is>
          <t>2021-22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44408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