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<sst xmlns="http://schemas.openxmlformats.org/spreadsheetml/2006/main" count="819" uniqueCount="439">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</sst>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IF(([1]Schedule!$R$1+[1]Schedule!$S$1)&lt;1000,[1]Schedule!$S$1,0)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[1]Schedule!$Y$1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SUM([1]Schedule!$R$38:$R$42)+SUM([1]Schedule!$R$91:$R$95)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Admin!N$4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IF((C41&gt;0),(IF((C41&lt;Admin!N$12),C41*Admin!N$6,Admin!N$12*Admin!N$6)),0)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IF((C41&gt;Admin!N$12),((C41-Admin!N$12)*Admin!N$7),0)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s">
        <v>93</v>
      </c>
      <c r="C44" s="128">
        <f>IF((C41&gt;0),IF(C41&gt;Admin!N12,Admin!N12*Admin!L20+(C41-Admin!N12)*Admin!L23,C41*Admin!L$20),0)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ht="6" customHeight="1" x14ac:dyDescent="0.15">
      <c r="A45" s="23"/>
      <c r="B45" s="87"/>
      <c r="C45" s="128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43890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43921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43927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12500</v>
      </c>
      <c r="O4" s="146" t="s">
        <v>51</v>
      </c>
    </row>
    <row r="5" spans="1:15" ht="12" customHeight="1" x14ac:dyDescent="0.15">
      <c r="A5" s="147"/>
      <c r="B5" s="164">
        <v>43951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43982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44012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44043</v>
      </c>
      <c r="C8" s="147"/>
      <c r="D8" s="147" t="s">
        <v>112</v>
      </c>
      <c r="E8" s="152">
        <v>12000</v>
      </c>
      <c r="F8" s="147" t="s">
        <v>113</v>
      </c>
      <c r="G8" s="152">
        <v>3000</v>
      </c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44074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44104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44135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37500</v>
      </c>
      <c r="N11" s="152">
        <v>0</v>
      </c>
      <c r="O11" s="146"/>
    </row>
    <row r="12" spans="1:15" ht="12" customHeight="1" x14ac:dyDescent="0.15">
      <c r="A12" s="147"/>
      <c r="B12" s="164">
        <v>44165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37501</v>
      </c>
      <c r="M12" s="147"/>
      <c r="N12" s="152">
        <v>37501</v>
      </c>
      <c r="O12" s="146"/>
    </row>
    <row r="13" spans="1:15" ht="12" customHeight="1" x14ac:dyDescent="0.15">
      <c r="A13" s="147"/>
      <c r="B13" s="164">
        <v>44196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44227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44255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44286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3.05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44291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44316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44347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44377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9500</v>
      </c>
      <c r="O20" s="146" t="s">
        <v>51</v>
      </c>
    </row>
    <row r="21" spans="1:15" ht="12" customHeight="1" x14ac:dyDescent="0.15">
      <c r="A21" s="147"/>
      <c r="B21" s="164">
        <v>44592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44773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2020-21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50000</v>
      </c>
      <c r="O23" s="146" t="s">
        <v>51</v>
      </c>
    </row>
    <row r="24" spans="1:15" ht="12" customHeight="1" thickBot="1" x14ac:dyDescent="0.2">
      <c r="A24" s="147"/>
      <c r="B24" s="175" t="inlineStr">
        <is>
          <t>2021-22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44408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