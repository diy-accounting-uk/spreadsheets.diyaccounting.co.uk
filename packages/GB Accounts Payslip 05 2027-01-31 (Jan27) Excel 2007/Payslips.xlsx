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Feb" sheetId="12" r:id="rId2"/>
    <sheet name="Mar" sheetId="11" r:id="rId3"/>
    <sheet name="Apr" sheetId="10" r:id="rId4"/>
    <sheet name="May" sheetId="9" r:id="rId5"/>
    <sheet name="Jun" sheetId="8" r:id="rId6"/>
    <sheet name="Jul" sheetId="17" r:id="rId7"/>
    <sheet name="Aug" sheetId="16" r:id="rId8"/>
    <sheet name="Sep" sheetId="15" r:id="rId9"/>
    <sheet name="Oct" sheetId="14" r:id="rId10"/>
    <sheet name="Nov" sheetId="13" r:id="rId11"/>
    <sheet name="Dec" sheetId="19" r:id="rId12"/>
    <sheet name="Jan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<sst xmlns="http://schemas.openxmlformats.org/spreadsheetml/2006/main" count="1383" uniqueCount="138">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</sst>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Feb!M39+1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Mar!M39+1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IF(T$59="Y",Mar!H51,0)</f>
        <v>0</v>
      </c>
      <c r="I61" s="89">
        <f>IF(T$59="Y",Mar!I51,0)</f>
        <v>0</v>
      </c>
      <c r="J61" s="89">
        <f>IF(T$59="Y",Mar!J51,0)</f>
        <v>0</v>
      </c>
      <c r="K61" s="89">
        <f>IF(T$59="Y",Mar!K51,I61*J61)</f>
        <v>0</v>
      </c>
      <c r="L61" s="110">
        <f>IF(T$59="Y",Mar!L51,0)</f>
        <v>0</v>
      </c>
      <c r="M61" s="99" t="str">
        <f>IF(E61=" "," ",IF(T$59="Y",Mar!M51,IF((H61+K61+L61)&gt;0,H61+K61+L61,"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IF(Employee!H$35=E$59,Employee!D$34+SUM(M61)+Mar!V51,SUM(M61)+Mar!V51)</f>
        <v>0</v>
      </c>
      <c r="W61" s="49">
        <f>IF(Employee!H$35=E$59,Employee!D$35+SUM(N61)+Mar!W51,SUM(N61)+Mar!W51)</f>
        <v>0</v>
      </c>
      <c r="X61" s="49">
        <f>IF(O61=" ",Mar!X51,O61+Mar!X51)</f>
        <v>0</v>
      </c>
      <c r="Y61" s="49">
        <f>IF(P61=" ",Mar!Y51,P61+Mar!Y51)</f>
        <v>0</v>
      </c>
      <c r="Z61" s="49">
        <f>IF(Q61=" ",Mar!Z51,Q61+Mar!Z51)</f>
        <v>0</v>
      </c>
      <c r="AA61" s="49">
        <f>IF(R61=" ",Mar!AA51,R61+Mar!AA51)</f>
        <v>0</v>
      </c>
      <c r="AC61" s="49">
        <f>IF(T61=" ",Mar!AC51,T61+Mar!AC51)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IF(T$59="Y",Mar!H52,0)</f>
        <v>0</v>
      </c>
      <c r="I62" s="92">
        <f>IF(T$59="Y",Mar!I52,0)</f>
        <v>0</v>
      </c>
      <c r="J62" s="92">
        <f>IF(T$59="Y",Mar!J52,0)</f>
        <v>0</v>
      </c>
      <c r="K62" s="92">
        <f>IF(T$59="Y",Mar!K52,I62*J62)</f>
        <v>0</v>
      </c>
      <c r="L62" s="111">
        <f>IF(T$59="Y",Mar!L52,0)</f>
        <v>0</v>
      </c>
      <c r="M62" s="100" t="str">
        <f>IF(E62=" "," ",IF(T$59="Y",Mar!M52,IF((H62+K62+L62)&gt;0,H62+K62+L62,"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IF(Employee!H$61=E$59,Employee!D$60+SUM(M62)+Mar!V52,SUM(M62)+Mar!V52)</f>
        <v>0</v>
      </c>
      <c r="W62" s="49">
        <f>IF(Employee!H$61=E$59,Employee!D$61+SUM(N62)+Mar!W52,SUM(N62)+Mar!W52)</f>
        <v>0</v>
      </c>
      <c r="X62" s="49">
        <f>IF(O62=" ",Mar!X52,O62+Mar!X52)</f>
        <v>0</v>
      </c>
      <c r="Y62" s="49">
        <f>IF(P62=" ",Mar!Y52,P62+Mar!Y52)</f>
        <v>0</v>
      </c>
      <c r="Z62" s="49">
        <f>IF(Q62=" ",Mar!Z52,Q62+Mar!Z52)</f>
        <v>0</v>
      </c>
      <c r="AA62" s="49">
        <f>IF(R62=" ",Mar!AA52,R62+Mar!AA52)</f>
        <v>0</v>
      </c>
      <c r="AC62" s="49">
        <f>IF(T62=" ",Mar!AC52,T62+Mar!AC52)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IF(T$59="Y",Mar!H53,0)</f>
        <v>0</v>
      </c>
      <c r="I63" s="92">
        <f>IF(T$59="Y",Mar!I53,0)</f>
        <v>0</v>
      </c>
      <c r="J63" s="92">
        <f>IF(T$59="Y",Mar!J53,0)</f>
        <v>0</v>
      </c>
      <c r="K63" s="92">
        <f>IF(T$59="Y",Mar!K53,I63*J63)</f>
        <v>0</v>
      </c>
      <c r="L63" s="111">
        <f>IF(T$59="Y",Mar!L53,0)</f>
        <v>0</v>
      </c>
      <c r="M63" s="100" t="str">
        <f>IF(E63=" "," ",IF(T$59="Y",Mar!M53,IF((H63+K63+L63)&gt;0,H63+K63+L63,"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IF(Employee!H$87=E$59,Employee!D$86+SUM(M63)+Mar!V53,SUM(M63)+Mar!V53)</f>
        <v>0</v>
      </c>
      <c r="W63" s="49">
        <f>IF(Employee!H$87=E$59,Employee!D$87+SUM(N63)+Mar!W53,SUM(N63)+Mar!W53)</f>
        <v>0</v>
      </c>
      <c r="X63" s="49">
        <f>IF(O63=" ",Mar!X53,O63+Mar!X53)</f>
        <v>0</v>
      </c>
      <c r="Y63" s="49">
        <f>IF(P63=" ",Mar!Y53,P63+Mar!Y53)</f>
        <v>0</v>
      </c>
      <c r="Z63" s="49">
        <f>IF(Q63=" ",Mar!Z53,Q63+Mar!Z53)</f>
        <v>0</v>
      </c>
      <c r="AA63" s="49">
        <f>IF(R63=" ",Mar!AA53,R63+Mar!AA53)</f>
        <v>0</v>
      </c>
      <c r="AC63" s="49">
        <f>IF(T63=" ",Mar!AC53,T63+Mar!AC53)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IF(T$59="Y",Mar!H54,0)</f>
        <v>0</v>
      </c>
      <c r="I64" s="92">
        <f>IF(T$59="Y",Mar!I54,0)</f>
        <v>0</v>
      </c>
      <c r="J64" s="92">
        <f>IF(T$59="Y",Mar!J54,0)</f>
        <v>0</v>
      </c>
      <c r="K64" s="92">
        <f>IF(T$59="Y",Mar!K54,I64*J64)</f>
        <v>0</v>
      </c>
      <c r="L64" s="111">
        <f>IF(T$59="Y",Mar!L54,0)</f>
        <v>0</v>
      </c>
      <c r="M64" s="100" t="str">
        <f>IF(E64=" "," ",IF(T$59="Y",Mar!M54,IF((H64+K64+L64)&gt;0,H64+K64+L64,"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IF(Employee!H$113=E$59,Employee!D$112+SUM(M64)+Mar!V54,SUM(M64)+Mar!V54)</f>
        <v>0</v>
      </c>
      <c r="W64" s="49">
        <f>IF(Employee!H$113=E$59,Employee!D$113+SUM(N64)+Mar!W54,SUM(N64)+Mar!W54)</f>
        <v>0</v>
      </c>
      <c r="X64" s="49">
        <f>IF(O64=" ",Mar!X54,O64+Mar!X54)</f>
        <v>0</v>
      </c>
      <c r="Y64" s="49">
        <f>IF(P64=" ",Mar!Y54,P64+Mar!Y54)</f>
        <v>0</v>
      </c>
      <c r="Z64" s="49">
        <f>IF(Q64=" ",Mar!Z54,Q64+Mar!Z54)</f>
        <v>0</v>
      </c>
      <c r="AA64" s="49">
        <f>IF(R64=" ",Mar!AA54,R64+Mar!AA54)</f>
        <v>0</v>
      </c>
      <c r="AC64" s="49">
        <f>IF(T64=" ",Mar!AC54,T64+Mar!AC54)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IF(T$59="Y",Mar!H55,0)</f>
        <v>0</v>
      </c>
      <c r="I65" s="245">
        <f>IF(T$59="Y",Mar!I55,0)</f>
        <v>0</v>
      </c>
      <c r="J65" s="245">
        <f>IF(T$59="Y",Mar!J55,0)</f>
        <v>0</v>
      </c>
      <c r="K65" s="245">
        <f>IF(T$59="Y",Mar!K55,I65*J65)</f>
        <v>0</v>
      </c>
      <c r="L65" s="246">
        <f>IF(T$59="Y",Mar!L55,0)</f>
        <v>0</v>
      </c>
      <c r="M65" s="100" t="str">
        <f>IF(E65=" "," ",IF(T$59="Y",Mar!M55,IF((H65+K65+L65)&gt;0,H65+K65+L65,"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IF(Employee!H$139=E$59,Employee!D$138+SUM(M65)+Mar!V55,SUM(M65)+Mar!V55)</f>
        <v>0</v>
      </c>
      <c r="W65" s="49">
        <f>IF(Employee!H$139=E$59,Employee!D$139+SUM(N65)+Mar!W55,SUM(N65)+Mar!W55)</f>
        <v>0</v>
      </c>
      <c r="X65" s="49">
        <f>IF(O65=" ",Mar!X55,O65+Mar!X55)</f>
        <v>0</v>
      </c>
      <c r="Y65" s="49">
        <f>IF(P65=" ",Mar!Y55,P65+Mar!Y55)</f>
        <v>0</v>
      </c>
      <c r="Z65" s="49">
        <f>IF(Q65=" ",Mar!Z55,Q65+Mar!Z55)</f>
        <v>0</v>
      </c>
      <c r="AA65" s="49">
        <f>IF(R65=" ",Mar!AA55,R65+Mar!AA55)</f>
        <v>0</v>
      </c>
      <c r="AC65" s="49">
        <f>IF(T65=" ",Mar!AC55,T65+Mar!AC55)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AD70+Mar!AD65</f>
        <v>0</v>
      </c>
      <c r="AE75" s="158">
        <f>AE70+Mar!AE65</f>
        <v>0</v>
      </c>
      <c r="AF75" s="158">
        <f>AF70+Mar!AF65</f>
        <v>0</v>
      </c>
      <c r="AG75" s="158">
        <f>AG70+Mar!AG65</f>
        <v>0</v>
      </c>
    </row>
    <row r="76" spans="1:34" ht="14" thickTop="1" x14ac:dyDescent="0.15"/>
    <row r="77" spans="1:34" x14ac:dyDescent="0.15">
      <c r="AD77" s="162"/>
      <c r="AE77" s="158">
        <f>AE72+Mar!AE67</f>
        <v>0</v>
      </c>
      <c r="AF77" s="158">
        <f>AF72+Mar!AF67</f>
        <v>0</v>
      </c>
      <c r="AG77" s="158">
        <f>AG72+Mar!AG67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89">
        <f>IF(T$9="Y",Apr!L41,0)</f>
        <v>0</v>
      </c>
      <c r="M11" s="99" t="str">
        <f>IF(E11=" "," ",IF(T$9="Y",Apr!M41,IF((H11+K11+L11)&gt;0,H11+K11+L11,"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IF(Employee!H$34=E$9,Employee!D$34+SUM(M11)+Apr!V51,SUM(M11)+Apr!V51)</f>
        <v>0</v>
      </c>
      <c r="W11" s="49">
        <f>IF(Employee!H$34=E$9,Employee!D$35+SUM(N11)+Apr!W51,SUM(N11)+Apr!W51)</f>
        <v>0</v>
      </c>
      <c r="X11" s="49">
        <f>IF(O11=" ",Apr!X51,O11+Apr!X51)</f>
        <v>0</v>
      </c>
      <c r="Y11" s="49">
        <f>IF(P11=" ",Apr!Y51,P11+Apr!Y51)</f>
        <v>0</v>
      </c>
      <c r="Z11" s="49">
        <f>IF(Q11=" ",Apr!Z51,Q11+Apr!Z51)</f>
        <v>0</v>
      </c>
      <c r="AA11" s="49">
        <f>IF(R11=" ",Apr!AA51,R11+Apr!AA51)</f>
        <v>0</v>
      </c>
      <c r="AC11" s="49">
        <f>IF(T11=" ",Apr!AC51,T11+Apr!AC51)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92">
        <f>IF(T$9="Y",Apr!L42,0)</f>
        <v>0</v>
      </c>
      <c r="M12" s="100" t="str">
        <f>IF(E12=" "," ",IF(T$9="Y",Apr!M42,IF((H12+K12+L12)&gt;0,H12+K12+L12,"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IF(Employee!H$60=E$9,Employee!D$60+SUM(M12)+Apr!V52,SUM(M12)+Apr!V52)</f>
        <v>0</v>
      </c>
      <c r="W12" s="49">
        <f>IF(Employee!H$60=E$9,Employee!D$61+SUM(N12)+Apr!W52,SUM(N12)+Apr!W52)</f>
        <v>0</v>
      </c>
      <c r="X12" s="49">
        <f>IF(O12=" ",Apr!X52,O12+Apr!X52)</f>
        <v>0</v>
      </c>
      <c r="Y12" s="49">
        <f>IF(P12=" ",Apr!Y52,P12+Apr!Y52)</f>
        <v>0</v>
      </c>
      <c r="Z12" s="49">
        <f>IF(Q12=" ",Apr!Z52,Q12+Apr!Z52)</f>
        <v>0</v>
      </c>
      <c r="AA12" s="49">
        <f>IF(R12=" ",Apr!AA52,R12+Apr!AA52)</f>
        <v>0</v>
      </c>
      <c r="AC12" s="49">
        <f>IF(T12=" ",Apr!AC52,T12+Apr!AC52)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92">
        <f>IF(T$9="Y",Apr!L43,0)</f>
        <v>0</v>
      </c>
      <c r="M13" s="100" t="str">
        <f>IF(E13=" "," ",IF(T$9="Y",Apr!M43,IF((H13+K13+L13)&gt;0,H13+K13+L13,"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IF(Employee!H$86=E$9,Employee!D$86+SUM(M13)+Apr!V53,SUM(M13)+Apr!V53)</f>
        <v>0</v>
      </c>
      <c r="W13" s="49">
        <f>IF(Employee!H$86=E$9,Employee!D$87+SUM(N13)+Apr!W53,SUM(N13)+Apr!W53)</f>
        <v>0</v>
      </c>
      <c r="X13" s="49">
        <f>IF(O13=" ",Apr!X53,O13+Apr!X53)</f>
        <v>0</v>
      </c>
      <c r="Y13" s="49">
        <f>IF(P13=" ",Apr!Y53,P13+Apr!Y53)</f>
        <v>0</v>
      </c>
      <c r="Z13" s="49">
        <f>IF(Q13=" ",Apr!Z53,Q13+Apr!Z53)</f>
        <v>0</v>
      </c>
      <c r="AA13" s="49">
        <f>IF(R13=" ",Apr!AA53,R13+Apr!AA53)</f>
        <v>0</v>
      </c>
      <c r="AC13" s="49">
        <f>IF(T13=" ",Apr!AC53,T13+Apr!AC53)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92">
        <f>IF(T$9="Y",Apr!L44,0)</f>
        <v>0</v>
      </c>
      <c r="M14" s="100" t="str">
        <f>IF(E14=" "," ",IF(T$9="Y",Apr!M44,IF((H14+K14+L14)&gt;0,H14+K14+L14,"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IF(Employee!H$112=E$9,Employee!D$112+SUM(M14)+Apr!V54,SUM(M14)+Apr!V54)</f>
        <v>0</v>
      </c>
      <c r="W14" s="49">
        <f>IF(Employee!H$112=E$9,Employee!D$113+SUM(N14)+Apr!W54,SUM(N14)+Apr!W54)</f>
        <v>0</v>
      </c>
      <c r="X14" s="49">
        <f>IF(O14=" ",Apr!X54,O14+Apr!X54)</f>
        <v>0</v>
      </c>
      <c r="Y14" s="49">
        <f>IF(P14=" ",Apr!Y54,P14+Apr!Y54)</f>
        <v>0</v>
      </c>
      <c r="Z14" s="49">
        <f>IF(Q14=" ",Apr!Z54,Q14+Apr!Z54)</f>
        <v>0</v>
      </c>
      <c r="AA14" s="49">
        <f>IF(R14=" ",Apr!AA54,R14+Apr!AA54)</f>
        <v>0</v>
      </c>
      <c r="AC14" s="49">
        <f>IF(T14=" ",Apr!AC54,T14+Apr!AC54)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5">
        <f>IF(T$9="Y",Apr!L45,0)</f>
        <v>0</v>
      </c>
      <c r="M15" s="247" t="str">
        <f>IF(E15=" "," ",IF(T$9="Y",Apr!M45,IF((H15+K15+L15)&gt;0,H15+K15+L15,"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IF(Employee!H$138=E$9,Employee!D$138+SUM(M15)+Apr!V55,SUM(M15)+Apr!V55)</f>
        <v>0</v>
      </c>
      <c r="W15" s="49">
        <f>IF(Employee!H$138=E$9,Employee!D$139+SUM(N15)+Apr!W55,SUM(N15)+Apr!W55)</f>
        <v>0</v>
      </c>
      <c r="X15" s="49">
        <f>IF(O15=" ",Apr!X55,O15+Apr!X55)</f>
        <v>0</v>
      </c>
      <c r="Y15" s="49">
        <f>IF(P15=" ",Apr!Y55,P15+Apr!Y55)</f>
        <v>0</v>
      </c>
      <c r="Z15" s="49">
        <f>IF(Q15=" ",Apr!Z55,Q15+Apr!Z55)</f>
        <v>0</v>
      </c>
      <c r="AA15" s="49">
        <f>IF(R15=" ",Apr!AA55,R15+Apr!AA55)</f>
        <v>0</v>
      </c>
      <c r="AC15" s="49">
        <f>IF(T15=" ",Apr!AC55,T15+Apr!AC55)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IF(T$49="Y",Apr!H61,0)</f>
        <v>0</v>
      </c>
      <c r="I51" s="89">
        <f>IF(T$49="Y",Apr!I61,0)</f>
        <v>0</v>
      </c>
      <c r="J51" s="89">
        <f>IF(T$49="Y",Apr!J61,0)</f>
        <v>0</v>
      </c>
      <c r="K51" s="89">
        <f>IF(T$49="Y",Apr!K61,I51*J51)</f>
        <v>0</v>
      </c>
      <c r="L51" s="110">
        <f>IF(T$49="Y",Apr!L61,0)</f>
        <v>0</v>
      </c>
      <c r="M51" s="99" t="str">
        <f>IF(E51=" "," ",IF(T$49="Y",Apr!M61,IF((H51+K51+L51)&gt;0,H51+K51+L51,"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IF(Employee!H$35=E$49,Employee!D$34+SUM(M51)+Apr!V61,SUM(M51)+Apr!V61)</f>
        <v>0</v>
      </c>
      <c r="W51" s="49">
        <f>IF(Employee!H$35=E$49,Employee!D$35+SUM(N51)+Apr!W61,SUM(N51)+Apr!W61)</f>
        <v>0</v>
      </c>
      <c r="X51" s="49">
        <f>IF(O51=" ",Apr!X61,O51+Apr!X61)</f>
        <v>0</v>
      </c>
      <c r="Y51" s="49">
        <f>IF(P51=" ",Apr!Y61,P51+Apr!Y61)</f>
        <v>0</v>
      </c>
      <c r="Z51" s="49">
        <f>IF(Q51=" ",Apr!Z61,Q51+Apr!Z61)</f>
        <v>0</v>
      </c>
      <c r="AA51" s="49">
        <f>IF(R51=" ",Apr!AA61,R51+Apr!AA61)</f>
        <v>0</v>
      </c>
      <c r="AC51" s="49">
        <f>IF(T51=" ",Apr!AC61,T51+Apr!AC61)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IF(T$49="Y",Apr!H62,0)</f>
        <v>0</v>
      </c>
      <c r="I52" s="92">
        <f>IF(T$49="Y",Apr!I62,0)</f>
        <v>0</v>
      </c>
      <c r="J52" s="92">
        <f>IF(T$49="Y",Apr!J62,0)</f>
        <v>0</v>
      </c>
      <c r="K52" s="92">
        <f>IF(T$49="Y",Apr!K62,I52*J52)</f>
        <v>0</v>
      </c>
      <c r="L52" s="111">
        <f>IF(T$49="Y",Apr!L62,0)</f>
        <v>0</v>
      </c>
      <c r="M52" s="100" t="str">
        <f>IF(E52=" "," ",IF(T$49="Y",Apr!M62,IF((H52+K52+L52)&gt;0,H52+K52+L52,"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IF(Employee!H$61=E$49,Employee!D$60+SUM(M52)+Apr!V62,SUM(M52)+Apr!V62)</f>
        <v>0</v>
      </c>
      <c r="W52" s="49">
        <f>IF(Employee!H$61=E$49,Employee!D$61+SUM(N52)+Apr!W62,SUM(N52)+Apr!W62)</f>
        <v>0</v>
      </c>
      <c r="X52" s="49">
        <f>IF(O52=" ",Apr!X62,O52+Apr!X62)</f>
        <v>0</v>
      </c>
      <c r="Y52" s="49">
        <f>IF(P52=" ",Apr!Y62,P52+Apr!Y62)</f>
        <v>0</v>
      </c>
      <c r="Z52" s="49">
        <f>IF(Q52=" ",Apr!Z62,Q52+Apr!Z62)</f>
        <v>0</v>
      </c>
      <c r="AA52" s="49">
        <f>IF(R52=" ",Apr!AA62,R52+Apr!AA62)</f>
        <v>0</v>
      </c>
      <c r="AC52" s="49">
        <f>IF(T52=" ",Apr!AC62,T52+Apr!AC62)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IF(T$49="Y",Apr!H63,0)</f>
        <v>0</v>
      </c>
      <c r="I53" s="92">
        <f>IF(T$49="Y",Apr!I63,0)</f>
        <v>0</v>
      </c>
      <c r="J53" s="92">
        <f>IF(T$49="Y",Apr!J63,0)</f>
        <v>0</v>
      </c>
      <c r="K53" s="92">
        <f>IF(T$49="Y",Apr!K63,I53*J53)</f>
        <v>0</v>
      </c>
      <c r="L53" s="111">
        <f>IF(T$49="Y",Apr!L63,0)</f>
        <v>0</v>
      </c>
      <c r="M53" s="100" t="str">
        <f>IF(E53=" "," ",IF(T$49="Y",Apr!M63,IF((H53+K53+L53)&gt;0,H53+K53+L53,"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IF(Employee!H$87=E$49,Employee!D$86+SUM(M53)+Apr!V63,SUM(M53)+Apr!V63)</f>
        <v>0</v>
      </c>
      <c r="W53" s="49">
        <f>IF(Employee!H$87=E$49,Employee!D$87+SUM(N53)+Apr!W63,SUM(N53)+Apr!W63)</f>
        <v>0</v>
      </c>
      <c r="X53" s="49">
        <f>IF(O53=" ",Apr!X63,O53+Apr!X63)</f>
        <v>0</v>
      </c>
      <c r="Y53" s="49">
        <f>IF(P53=" ",Apr!Y63,P53+Apr!Y63)</f>
        <v>0</v>
      </c>
      <c r="Z53" s="49">
        <f>IF(Q53=" ",Apr!Z63,Q53+Apr!Z63)</f>
        <v>0</v>
      </c>
      <c r="AA53" s="49">
        <f>IF(R53=" ",Apr!AA63,R53+Apr!AA63)</f>
        <v>0</v>
      </c>
      <c r="AC53" s="49">
        <f>IF(T53=" ",Apr!AC63,T53+Apr!AC63)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IF(T$49="Y",Apr!H64,0)</f>
        <v>0</v>
      </c>
      <c r="I54" s="92">
        <f>IF(T$49="Y",Apr!I64,0)</f>
        <v>0</v>
      </c>
      <c r="J54" s="92">
        <f>IF(T$49="Y",Apr!J64,0)</f>
        <v>0</v>
      </c>
      <c r="K54" s="92">
        <f>IF(T$49="Y",Apr!K64,I54*J54)</f>
        <v>0</v>
      </c>
      <c r="L54" s="111">
        <f>IF(T$49="Y",Apr!L64,0)</f>
        <v>0</v>
      </c>
      <c r="M54" s="100" t="str">
        <f>IF(E54=" "," ",IF(T$49="Y",Apr!M64,IF((H54+K54+L54)&gt;0,H54+K54+L54,"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IF(Employee!H$113=E$49,Employee!D$112+SUM(M54)+Apr!V64,SUM(M54)+Apr!V64)</f>
        <v>0</v>
      </c>
      <c r="W54" s="49">
        <f>IF(Employee!H$113=E$49,Employee!D$113+SUM(N54)+Apr!W64,SUM(N54)+Apr!W64)</f>
        <v>0</v>
      </c>
      <c r="X54" s="49">
        <f>IF(O54=" ",Apr!X64,O54+Apr!X64)</f>
        <v>0</v>
      </c>
      <c r="Y54" s="49">
        <f>IF(P54=" ",Apr!Y64,P54+Apr!Y64)</f>
        <v>0</v>
      </c>
      <c r="Z54" s="49">
        <f>IF(Q54=" ",Apr!Z64,Q54+Apr!Z64)</f>
        <v>0</v>
      </c>
      <c r="AA54" s="49">
        <f>IF(R54=" ",Apr!AA64,R54+Apr!AA64)</f>
        <v>0</v>
      </c>
      <c r="AC54" s="49">
        <f>IF(T54=" ",Apr!AC64,T54+Apr!AC64)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IF(T$49="Y",Apr!H65,0)</f>
        <v>0</v>
      </c>
      <c r="I55" s="245">
        <f>IF(T$49="Y",Apr!I65,0)</f>
        <v>0</v>
      </c>
      <c r="J55" s="245">
        <f>IF(T$49="Y",Apr!J65,0)</f>
        <v>0</v>
      </c>
      <c r="K55" s="245">
        <f>IF(T$49="Y",Apr!K65,I55*J55)</f>
        <v>0</v>
      </c>
      <c r="L55" s="246">
        <f>IF(T$49="Y",Apr!L65,0)</f>
        <v>0</v>
      </c>
      <c r="M55" s="100" t="str">
        <f>IF(E55=" "," ",IF(T$49="Y",Apr!M65,IF((H55+K55+L55)&gt;0,H55+K55+L55,"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IF(Employee!H$139=E$49,Employee!D$138+SUM(M55)+Apr!V65,SUM(M55)+Apr!V65)</f>
        <v>0</v>
      </c>
      <c r="W55" s="49">
        <f>IF(Employee!H$139=E$49,Employee!D$139+SUM(N55)+Apr!W65,SUM(N55)+Apr!W65)</f>
        <v>0</v>
      </c>
      <c r="X55" s="49">
        <f>IF(O55=" ",Apr!X65,O55+Apr!X65)</f>
        <v>0</v>
      </c>
      <c r="Y55" s="49">
        <f>IF(P55=" ",Apr!Y65,P55+Apr!Y65)</f>
        <v>0</v>
      </c>
      <c r="Z55" s="49">
        <f>IF(Q55=" ",Apr!Z65,Q55+Apr!Z65)</f>
        <v>0</v>
      </c>
      <c r="AA55" s="49">
        <f>IF(R55=" ",Apr!AA65,R55+Apr!AA65)</f>
        <v>0</v>
      </c>
      <c r="AC55" s="49">
        <f>IF(T55=" ",Apr!AC65,T55+Apr!AC65)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AD60+Apr!AD75</f>
        <v>0</v>
      </c>
      <c r="AE65" s="158">
        <f>AE60+Apr!AE75</f>
        <v>0</v>
      </c>
      <c r="AF65" s="158">
        <f>AF60+Apr!AF75</f>
        <v>0</v>
      </c>
      <c r="AG65" s="158">
        <f>AG60+Apr!AG75</f>
        <v>0</v>
      </c>
    </row>
    <row r="66" spans="6:33" ht="14" thickTop="1" x14ac:dyDescent="0.15"/>
    <row r="67" spans="6:33" x14ac:dyDescent="0.15">
      <c r="AD67" s="162"/>
      <c r="AE67" s="158">
        <f>AE62+Apr!AE77</f>
        <v>0</v>
      </c>
      <c r="AF67" s="158">
        <f>AF62+Apr!AF77</f>
        <v>0</v>
      </c>
      <c r="AG67" s="158">
        <f>AG62+Apr!AG77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IF(T$9="Y",May!#REF!,0)</f>
        <v>0</v>
      </c>
      <c r="I11" s="89">
        <f>IF(T$9="Y",May!#REF!,0)</f>
        <v>0</v>
      </c>
      <c r="J11" s="89">
        <f>IF(T$9="Y",May!#REF!,0)</f>
        <v>0</v>
      </c>
      <c r="K11" s="89">
        <v>0</v>
      </c>
      <c r="L11" s="110">
        <f>IF(T$9="Y",May!#REF!,0)</f>
        <v>0</v>
      </c>
      <c r="M11" s="110" t="str">
        <f>IF(E11=" "," ",IF(T$9="Y",May!#REF!,IF((H11+K11+L11)&gt;0,H11+K11+L11,"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IF(T$9="Y",May!#REF!,0)</f>
        <v>0</v>
      </c>
      <c r="I12" s="92">
        <f>IF(T$9="Y",May!#REF!,0)</f>
        <v>0</v>
      </c>
      <c r="J12" s="92">
        <f>IF(T$9="Y",May!#REF!,0)</f>
        <v>0</v>
      </c>
      <c r="K12" s="92">
        <f>IF(T$9="Y",May!#REF!,I12*J12)</f>
        <v>0</v>
      </c>
      <c r="L12" s="111">
        <f>IF(T$9="Y",May!#REF!,0)</f>
        <v>0</v>
      </c>
      <c r="M12" s="111" t="str">
        <f>IF(E12=" "," ",IF(T$9="Y",May!#REF!,IF((H12+K12+L12)&gt;0,H12+K12+L12,"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IF(T$9="Y",May!#REF!,0)</f>
        <v>0</v>
      </c>
      <c r="I13" s="92">
        <f>IF(T$9="Y",May!#REF!,0)</f>
        <v>0</v>
      </c>
      <c r="J13" s="92">
        <f>IF(T$9="Y",May!#REF!,0)</f>
        <v>0</v>
      </c>
      <c r="K13" s="92">
        <f>IF(T$9="Y",May!#REF!,I13*J13)</f>
        <v>0</v>
      </c>
      <c r="L13" s="111">
        <f>IF(T$9="Y",May!#REF!,0)</f>
        <v>0</v>
      </c>
      <c r="M13" s="111" t="str">
        <f>IF(E13=" "," ",IF(T$9="Y",May!#REF!,IF((H13+K13+L13)&gt;0,H13+K13+L13,"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IF(T$9="Y",May!#REF!,0)</f>
        <v>0</v>
      </c>
      <c r="I14" s="92">
        <f>IF(T$9="Y",May!#REF!,0)</f>
        <v>0</v>
      </c>
      <c r="J14" s="92">
        <f>IF(T$9="Y",May!#REF!,0)</f>
        <v>0</v>
      </c>
      <c r="K14" s="92">
        <f>IF(T$9="Y",May!#REF!,I14*J14)</f>
        <v>0</v>
      </c>
      <c r="L14" s="111">
        <f>IF(T$9="Y",May!#REF!,0)</f>
        <v>0</v>
      </c>
      <c r="M14" s="111" t="str">
        <f>IF(E14=" "," ",IF(T$9="Y",May!#REF!,IF((H14+K14+L14)&gt;0,H14+K14+L14,"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IF(T$9="Y",May!#REF!,0)</f>
        <v>0</v>
      </c>
      <c r="I15" s="245">
        <f>IF(T$9="Y",May!#REF!,0)</f>
        <v>0</v>
      </c>
      <c r="J15" s="245">
        <f>IF(T$9="Y",May!#REF!,0)</f>
        <v>0</v>
      </c>
      <c r="K15" s="245">
        <f>IF(T$9="Y",May!#REF!,I15*J15)</f>
        <v>0</v>
      </c>
      <c r="L15" s="246">
        <f>IF(T$9="Y",May!#REF!,0)</f>
        <v>0</v>
      </c>
      <c r="M15" s="246" t="str">
        <f>IF(E15=" "," ",IF(T$9="Y",May!#REF!,IF((H15+K15+L15)&gt;0,H15+K15+L15,"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89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92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92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IF(Employee!H$87=E$49,Employee!D$87+SUM(N53)+May!W53,SUM(N53)+May!W53)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92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IF(T$49="Y",May!H55,0)</f>
        <v>0</v>
      </c>
      <c r="I55" s="92">
        <f>IF(T$49="Y",May!I55,0)</f>
        <v>0</v>
      </c>
      <c r="J55" s="92">
        <f>IF(T$49="Y",May!J55,0)</f>
        <v>0</v>
      </c>
      <c r="K55" s="92">
        <f>IF(T$49="Y",May!K55,I55*J55)</f>
        <v>0</v>
      </c>
      <c r="L55" s="92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Jun!M39+1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IF(T$9="Y",Jul!H51,0)</f>
        <v>0</v>
      </c>
      <c r="I11" s="89">
        <f>IF(T$9="Y",Jul!I51,0)</f>
        <v>0</v>
      </c>
      <c r="J11" s="89">
        <f>IF(T$9="Y",Jul!J51,0)</f>
        <v>0</v>
      </c>
      <c r="K11" s="89">
        <f>IF(T$9="Y",Jul!K51,I11*J11)</f>
        <v>0</v>
      </c>
      <c r="L11" s="110">
        <f>IF(T$9="Y",Jul!L51,0)</f>
        <v>0</v>
      </c>
      <c r="M11" s="99" t="str">
        <f>IF(E11=" "," ",IF(T$9="Y",Jul!M51,IF((H11+K11+L11)&gt;0,H11+K11+L11,"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IF(T$9="Y",Jul!H52,0)</f>
        <v>0</v>
      </c>
      <c r="I12" s="92">
        <f>IF(T$9="Y",Jul!I52,0)</f>
        <v>0</v>
      </c>
      <c r="J12" s="92">
        <f>IF(T$9="Y",Jul!J52,0)</f>
        <v>0</v>
      </c>
      <c r="K12" s="92">
        <f>IF(T$9="Y",Jul!K52,I12*J12)</f>
        <v>0</v>
      </c>
      <c r="L12" s="111">
        <f>IF(T$9="Y",Jul!L52,0)</f>
        <v>0</v>
      </c>
      <c r="M12" s="100" t="str">
        <f>IF(E12=" "," ",IF(T$9="Y",Jul!M52,IF((H12+K12+L12)&gt;0,H12+K12+L12,"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IF(T$9="Y",Jul!H53,0)</f>
        <v>0</v>
      </c>
      <c r="I13" s="92">
        <f>IF(T$9="Y",Jul!I53,0)</f>
        <v>0</v>
      </c>
      <c r="J13" s="92">
        <f>IF(T$9="Y",Jul!J53,0)</f>
        <v>0</v>
      </c>
      <c r="K13" s="92">
        <f>IF(T$9="Y",Jul!K53,I13*J13)</f>
        <v>0</v>
      </c>
      <c r="L13" s="111">
        <f>IF(T$9="Y",Jul!L53,0)</f>
        <v>0</v>
      </c>
      <c r="M13" s="100" t="str">
        <f>IF(E13=" "," ",IF(T$9="Y",Jul!M53,IF((H13+K13+L13)&gt;0,H13+K13+L13,"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IF(T$9="Y",Jul!H54,0)</f>
        <v>0</v>
      </c>
      <c r="I14" s="92">
        <f>IF(T$9="Y",Jul!I54,0)</f>
        <v>0</v>
      </c>
      <c r="J14" s="92">
        <f>IF(T$9="Y",Jul!J54,0)</f>
        <v>0</v>
      </c>
      <c r="K14" s="92">
        <f>IF(T$9="Y",Jul!K54,I14*J14)</f>
        <v>0</v>
      </c>
      <c r="L14" s="111">
        <f>IF(T$9="Y",Jul!L54,0)</f>
        <v>0</v>
      </c>
      <c r="M14" s="100" t="str">
        <f>IF(E14=" "," ",IF(T$9="Y",Jul!M54,IF((H14+K14+L14)&gt;0,H14+K14+L14,"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IF(T$9="Y",Jul!H55,0)</f>
        <v>0</v>
      </c>
      <c r="I15" s="245">
        <f>IF(T$9="Y",Jul!I55,0)</f>
        <v>0</v>
      </c>
      <c r="J15" s="245">
        <f>IF(T$9="Y",Jul!J55,0)</f>
        <v>0</v>
      </c>
      <c r="K15" s="245">
        <f>IF(T$9="Y",Jul!K55,I15*J15)</f>
        <v>0</v>
      </c>
      <c r="L15" s="246">
        <f>IF(T$9="Y",Jul!L55,0)</f>
        <v>0</v>
      </c>
      <c r="M15" s="247" t="str">
        <f>IF(E15=" "," ",IF(T$9="Y",Jul!M55,IF((H15+K15+L15)&gt;0,H15+K15+L15,"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99" t="str">
        <f>IF(E11=" "," ",IF(T$9="Y",Aug!M41,IF((H11+K11+L11)&gt;0,H11+K11+L11,"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00" t="str">
        <f>IF(E12=" "," ",IF(T$9="Y",Aug!M42,IF((H12+K12+L12)&gt;0,H12+K12+L12,"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00" t="str">
        <f>IF(E13=" "," ",IF(T$9="Y",Aug!M43,IF((H13+K13+L13)&gt;0,H13+K13+L13,"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00" t="str">
        <f>IF(E14=" "," ",IF(T$9="Y",Aug!M44,IF((H14+K14+L14)&gt;0,H14+K14+L14,"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247" t="str">
        <f>IF(E15=" "," ",IF(T$9="Y",Aug!M45,IF((H15+K15+L15)&gt;0,H15+K15+L15,"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110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111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111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111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IF(T$49="Y",Aug!H55,0)</f>
        <v>0</v>
      </c>
      <c r="I55" s="245">
        <f>IF(T$49="Y",Aug!I55,0)</f>
        <v>0</v>
      </c>
      <c r="J55" s="245">
        <f>IF(T$49="Y",Aug!J55,0)</f>
        <v>0</v>
      </c>
      <c r="K55" s="245">
        <f>IF(T$49="Y",Aug!K55,I55*J55)</f>
        <v>0</v>
      </c>
      <c r="L55" s="246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Sep!M39+1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Oct!M49+1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IF(T$9="Y",Oct!H51,0)</f>
        <v>0</v>
      </c>
      <c r="I11" s="89">
        <f>IF(T$9="Y",Oct!I51,0)</f>
        <v>0</v>
      </c>
      <c r="J11" s="89">
        <f>IF(T$9="Y",Oct!J51,0)</f>
        <v>0</v>
      </c>
      <c r="K11" s="89">
        <f>IF(T$9="Y",Oct!K51,I11*J11)</f>
        <v>0</v>
      </c>
      <c r="L11" s="110">
        <f>IF(T$9="Y",Oct!L51,0)</f>
        <v>0</v>
      </c>
      <c r="M11" s="110" t="str">
        <f>IF(E11=" "," ",IF(T$9="Y",Oct!M51,IF((H11+K11+L11)&gt;0,H11+K11+L11,"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IF(T$9="Y",Oct!H52,0)</f>
        <v>0</v>
      </c>
      <c r="I12" s="92">
        <f>IF(T$9="Y",Oct!I52,0)</f>
        <v>0</v>
      </c>
      <c r="J12" s="92">
        <f>IF(T$9="Y",Oct!J52,0)</f>
        <v>0</v>
      </c>
      <c r="K12" s="92">
        <f>IF(T$9="Y",Oct!K52,I12*J12)</f>
        <v>0</v>
      </c>
      <c r="L12" s="111">
        <f>IF(T$9="Y",Oct!L52,0)</f>
        <v>0</v>
      </c>
      <c r="M12" s="111" t="str">
        <f>IF(E12=" "," ",IF(T$9="Y",Oct!M52,IF((H12+K12+L12)&gt;0,H12+K12+L12,"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IF(T$9="Y",Oct!H53,0)</f>
        <v>0</v>
      </c>
      <c r="I13" s="92">
        <f>IF(T$9="Y",Oct!I53,0)</f>
        <v>0</v>
      </c>
      <c r="J13" s="92">
        <f>IF(T$9="Y",Oct!J53,0)</f>
        <v>0</v>
      </c>
      <c r="K13" s="92">
        <f>IF(T$9="Y",Oct!K53,I13*J13)</f>
        <v>0</v>
      </c>
      <c r="L13" s="111">
        <f>IF(T$9="Y",Oct!L53,0)</f>
        <v>0</v>
      </c>
      <c r="M13" s="111" t="str">
        <f>IF(E13=" "," ",IF(T$9="Y",Oct!M53,IF((H13+K13+L13)&gt;0,H13+K13+L13,"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IF(T$9="Y",Oct!H54,0)</f>
        <v>0</v>
      </c>
      <c r="I14" s="92">
        <f>IF(T$9="Y",Oct!I54,0)</f>
        <v>0</v>
      </c>
      <c r="J14" s="92">
        <f>IF(T$9="Y",Oct!J54,0)</f>
        <v>0</v>
      </c>
      <c r="K14" s="92">
        <f>IF(T$9="Y",Oct!K54,I14*J14)</f>
        <v>0</v>
      </c>
      <c r="L14" s="111">
        <f>IF(T$9="Y",Oct!L54,0)</f>
        <v>0</v>
      </c>
      <c r="M14" s="111" t="str">
        <f>IF(E14=" "," ",IF(T$9="Y",Oct!M54,IF((H14+K14+L14)&gt;0,H14+K14+L14,"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IF(T$9="Y",Oct!H55,0)</f>
        <v>0</v>
      </c>
      <c r="I15" s="245">
        <f>IF(T$9="Y",Oct!I55,0)</f>
        <v>0</v>
      </c>
      <c r="J15" s="245">
        <f>IF(T$9="Y",Oct!J55,0)</f>
        <v>0</v>
      </c>
      <c r="K15" s="245">
        <f>IF(T$9="Y",Oct!K55,I15*J15)</f>
        <v>0</v>
      </c>
      <c r="L15" s="246">
        <f>IF(T$9="Y",Oct!L55,0)</f>
        <v>0</v>
      </c>
      <c r="M15" s="111" t="str">
        <f>IF(E15=" "," ",IF(T$9="Y",Oct!M55,IF((H15+K15+L15)&gt;0,H15+K15+L15,"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Nov!M39+1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IF(T$19="Y",Nov!L45,0)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Feb!H3:H6</f>
        <v>Statutory Pay</v>
      </c>
      <c r="I3" s="365" t="str">
        <f>Feb!I3:I6</f>
        <v>Basic hours</v>
      </c>
      <c r="J3" s="365" t="str">
        <f>Feb!J3:J6</f>
        <v>Hourly rate</v>
      </c>
      <c r="K3" s="365" t="str">
        <f>Feb!K3:K6</f>
        <v>Basic    wages</v>
      </c>
      <c r="L3" s="365" t="str">
        <f>Feb!L3:L6</f>
        <v>Overtime Bonus Gratuities</v>
      </c>
      <c r="M3" s="428" t="str">
        <f>Feb!M3:M6</f>
        <v>GROSS WAGES</v>
      </c>
      <c r="N3" s="365" t="str">
        <f>Feb!N3:N6</f>
        <v>Income Tax</v>
      </c>
      <c r="O3" s="365" t="str">
        <f>Feb!O3:O6</f>
        <v>Employees National Insurance</v>
      </c>
      <c r="P3" s="365" t="str">
        <f>Feb!P3:P6</f>
        <v>Student Loans</v>
      </c>
      <c r="Q3" s="365" t="str">
        <f>Feb!Q3:Q6</f>
        <v>Other Deductions</v>
      </c>
      <c r="R3" s="428" t="str">
        <f>Feb!R3:R6</f>
        <v>NET      PAY</v>
      </c>
      <c r="S3" s="42"/>
      <c r="T3" s="365" t="str">
        <f>Feb!T3:T6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Dec!M39+1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IF(T$69="Y",Dec!H51,0)</f>
        <v>0</v>
      </c>
      <c r="I71" s="89">
        <f>IF(T$69="Y",Dec!I51,0)</f>
        <v>0</v>
      </c>
      <c r="J71" s="89">
        <f>IF(T$69="Y",Dec!J51,0)</f>
        <v>0</v>
      </c>
      <c r="K71" s="89">
        <f>IF(T$69="Y",Dec!K51,I71*J71)</f>
        <v>0</v>
      </c>
      <c r="L71" s="110">
        <f>IF(T$69="Y",Dec!L51,0)</f>
        <v>0</v>
      </c>
      <c r="M71" s="99" t="str">
        <f>IF(E71=" "," ",IF(T$69="Y",Dec!M51,IF((H71+K71+L71)&gt;0,H71+K71+L71,"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IF(Employee!H$35=E$69,Employee!D$34+SUM(M71)+Dec!V51,SUM(M71)+Dec!V51)</f>
        <v>0</v>
      </c>
      <c r="W71" s="49">
        <f>IF(Employee!H$35=E$69,Employee!D$35+SUM(N71)+Dec!W51,SUM(N71)+Dec!W51)</f>
        <v>0</v>
      </c>
      <c r="X71" s="49">
        <f>IF(O71=" ",Dec!X51,O71+Dec!X51)</f>
        <v>0</v>
      </c>
      <c r="Y71" s="49">
        <f>IF(P71=" ",Dec!Y51,P71+Dec!Y51)</f>
        <v>0</v>
      </c>
      <c r="Z71" s="49">
        <f>IF(Q71=" ",Dec!Z51,Q71+Dec!Z51)</f>
        <v>0</v>
      </c>
      <c r="AA71" s="49">
        <f>IF(R71=" ",Dec!AA51,R71+Dec!AA51)</f>
        <v>0</v>
      </c>
      <c r="AC71" s="49">
        <f>IF(T71=" ",Dec!AC51,T71+Dec!AC51)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IF(T$69="Y",Dec!H52,0)</f>
        <v>0</v>
      </c>
      <c r="I72" s="92">
        <f>IF(T$69="Y",Dec!I52,0)</f>
        <v>0</v>
      </c>
      <c r="J72" s="92">
        <f>IF(T$69="Y",Dec!J52,0)</f>
        <v>0</v>
      </c>
      <c r="K72" s="92">
        <f>IF(T$69="Y",Dec!K52,I72*J72)</f>
        <v>0</v>
      </c>
      <c r="L72" s="111">
        <f>IF(T$69="Y",Dec!L52,0)</f>
        <v>0</v>
      </c>
      <c r="M72" s="100" t="str">
        <f>IF(E72=" "," ",IF(T$69="Y",Dec!M52,IF((H72+K72+L72)&gt;0,H72+K72+L72,"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IF(Employee!H$61=E$69,Employee!D$60+SUM(M72)+Dec!V52,SUM(M72)+Dec!V52)</f>
        <v>0</v>
      </c>
      <c r="W72" s="49">
        <f>IF(Employee!H$61=E$69,Employee!D$61+SUM(N72)+Dec!W52,SUM(N72)+Dec!W52)</f>
        <v>0</v>
      </c>
      <c r="X72" s="49">
        <f>IF(O72=" ",Dec!X52,O72+Dec!X52)</f>
        <v>0</v>
      </c>
      <c r="Y72" s="49">
        <f>IF(P72=" ",Dec!Y52,P72+Dec!Y52)</f>
        <v>0</v>
      </c>
      <c r="Z72" s="49">
        <f>IF(Q72=" ",Dec!Z52,Q72+Dec!Z52)</f>
        <v>0</v>
      </c>
      <c r="AA72" s="49">
        <f>IF(R72=" ",Dec!AA52,R72+Dec!AA52)</f>
        <v>0</v>
      </c>
      <c r="AC72" s="49">
        <f>IF(T72=" ",Dec!AC52,T72+Dec!AC52)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IF(T$69="Y",Dec!H53,0)</f>
        <v>0</v>
      </c>
      <c r="I73" s="92">
        <f>IF(T$69="Y",Dec!I53,0)</f>
        <v>0</v>
      </c>
      <c r="J73" s="92">
        <f>IF(T$69="Y",Dec!J53,0)</f>
        <v>0</v>
      </c>
      <c r="K73" s="92">
        <f>IF(T$69="Y",Dec!K53,I73*J73)</f>
        <v>0</v>
      </c>
      <c r="L73" s="111">
        <f>IF(T$69="Y",Dec!L53,0)</f>
        <v>0</v>
      </c>
      <c r="M73" s="100" t="str">
        <f>IF(E73=" "," ",IF(T$69="Y",Dec!M53,IF((H73+K73+L73)&gt;0,H73+K73+L73,"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IF(Employee!H$87=E$69,Employee!D$86+SUM(M73)+Dec!V53,SUM(M73)+Dec!V53)</f>
        <v>0</v>
      </c>
      <c r="W73" s="49">
        <f>IF(Employee!H$87=E$69,Employee!D$87+SUM(N73)+Dec!W53,SUM(N73)+Dec!W53)</f>
        <v>0</v>
      </c>
      <c r="X73" s="49">
        <f>IF(O73=" ",Dec!X53,O73+Dec!X53)</f>
        <v>0</v>
      </c>
      <c r="Y73" s="49">
        <f>IF(P73=" ",Dec!Y53,P73+Dec!Y53)</f>
        <v>0</v>
      </c>
      <c r="Z73" s="49">
        <f>IF(Q73=" ",Dec!Z53,Q73+Dec!Z53)</f>
        <v>0</v>
      </c>
      <c r="AA73" s="49">
        <f>IF(R73=" ",Dec!AA53,R73+Dec!AA53)</f>
        <v>0</v>
      </c>
      <c r="AC73" s="49">
        <f>IF(T73=" ",Dec!AC53,T73+Dec!AC53)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IF(T$69="Y",Dec!H54,0)</f>
        <v>0</v>
      </c>
      <c r="I74" s="92">
        <f>IF(T$69="Y",Dec!I54,0)</f>
        <v>0</v>
      </c>
      <c r="J74" s="92">
        <f>IF(T$69="Y",Dec!J54,0)</f>
        <v>0</v>
      </c>
      <c r="K74" s="92">
        <f>IF(T$69="Y",Dec!K54,I74*J74)</f>
        <v>0</v>
      </c>
      <c r="L74" s="111">
        <f>IF(T$69="Y",Dec!L54,0)</f>
        <v>0</v>
      </c>
      <c r="M74" s="100" t="str">
        <f>IF(E74=" "," ",IF(T$69="Y",Dec!M54,IF((H74+K74+L74)&gt;0,H74+K74+L74,"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IF(Employee!H$113=E$69,Employee!D$112+SUM(M74)+Dec!V54,SUM(M74)+Dec!V54)</f>
        <v>0</v>
      </c>
      <c r="W74" s="49">
        <f>IF(Employee!H$113=E$69,Employee!D$113+SUM(N74)+Dec!W54,SUM(N74)+Dec!W54)</f>
        <v>0</v>
      </c>
      <c r="X74" s="49">
        <f>IF(O74=" ",Dec!X54,O74+Dec!X54)</f>
        <v>0</v>
      </c>
      <c r="Y74" s="49">
        <f>IF(P74=" ",Dec!Y54,P74+Dec!Y54)</f>
        <v>0</v>
      </c>
      <c r="Z74" s="49">
        <f>IF(Q74=" ",Dec!Z54,Q74+Dec!Z54)</f>
        <v>0</v>
      </c>
      <c r="AA74" s="49">
        <f>IF(R74=" ",Dec!AA54,R74+Dec!AA54)</f>
        <v>0</v>
      </c>
      <c r="AC74" s="49">
        <f>IF(T74=" ",Dec!AC54,T74+Dec!AC54)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IF(T$69="Y",Dec!H55,0)</f>
        <v>0</v>
      </c>
      <c r="I75" s="245">
        <f>IF(T$69="Y",Dec!I55,0)</f>
        <v>0</v>
      </c>
      <c r="J75" s="245">
        <f>IF(T$69="Y",Dec!J55,0)</f>
        <v>0</v>
      </c>
      <c r="K75" s="245">
        <f>IF(T$69="Y",Dec!K55,I75*J75)</f>
        <v>0</v>
      </c>
      <c r="L75" s="246">
        <f>IF(T$69="Y",Dec!L55,0)</f>
        <v>0</v>
      </c>
      <c r="M75" s="100" t="str">
        <f>IF(E75=" "," ",IF(T$69="Y",Dec!M55,IF((H75+K75+L75)&gt;0,H75+K75+L75,"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IF(Employee!H$139=E$69,Employee!D$138+SUM(M75)+Dec!V55,SUM(M75)+Dec!V55)</f>
        <v>0</v>
      </c>
      <c r="W75" s="49">
        <f>IF(Employee!H$139=E$69,Employee!D$139+SUM(N75)+Dec!W55,SUM(N75)+Dec!W55)</f>
        <v>0</v>
      </c>
      <c r="X75" s="49">
        <f>IF(O75=" ",Dec!X55,O75+Dec!X55)</f>
        <v>0</v>
      </c>
      <c r="Y75" s="49">
        <f>IF(P75=" ",Dec!Y55,P75+Dec!Y55)</f>
        <v>0</v>
      </c>
      <c r="Z75" s="49">
        <f>IF(Q75=" ",Dec!Z55,Q75+Dec!Z55)</f>
        <v>0</v>
      </c>
      <c r="AA75" s="49">
        <f>IF(R75=" ",Dec!AA55,R75+Dec!AA55)</f>
        <v>0</v>
      </c>
      <c r="AC75" s="49">
        <f>IF(T75=" ",Dec!AC55,T75+Dec!AC55)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AD80+Dec!AD65</f>
        <v>0</v>
      </c>
      <c r="AE85" s="158">
        <f>AE80+Dec!AE65</f>
        <v>0</v>
      </c>
      <c r="AF85" s="158">
        <f>AF80+Dec!AF65</f>
        <v>0</v>
      </c>
      <c r="AG85" s="158">
        <f>AG80+Dec!AG65</f>
        <v>0</v>
      </c>
    </row>
    <row r="86" spans="6:33" ht="14" thickTop="1" x14ac:dyDescent="0.15"/>
    <row r="87" spans="6:33" x14ac:dyDescent="0.15">
      <c r="AD87" s="162"/>
      <c r="AE87" s="158">
        <f>AE82+Dec!AE67</f>
        <v>0</v>
      </c>
      <c r="AF87" s="158">
        <f>AF82+Dec!AF67</f>
        <v>0</v>
      </c>
      <c r="AG87" s="158">
        <f>AG82+Dec!AG67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Feb!T1+Feb!O1</f>
        <v>0</v>
      </c>
      <c r="E4" s="228">
        <f>Feb!N1</f>
        <v>0</v>
      </c>
      <c r="F4" s="228">
        <f>Feb!AD60+Feb!AE60+Feb!AF60+Feb!AG60</f>
        <v>0</v>
      </c>
      <c r="G4" s="228">
        <f>Feb!AE62+Feb!AF62+Feb!AG62</f>
        <v>0</v>
      </c>
      <c r="H4" s="228">
        <f>Feb!P1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Mar!T1+Mar!O1</f>
        <v>0</v>
      </c>
      <c r="E5" s="228">
        <f>Mar!N1</f>
        <v>0</v>
      </c>
      <c r="F5" s="228">
        <f>Mar!AD60+Mar!AE60+Mar!AF60+Mar!AG60</f>
        <v>0</v>
      </c>
      <c r="G5" s="228">
        <f>Mar!AE62+Mar!AF62+Mar!AG62</f>
        <v>0</v>
      </c>
      <c r="H5" s="228">
        <f>Mar!P1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Apr!T1+Apr!O1</f>
        <v>0</v>
      </c>
      <c r="E6" s="228">
        <f>Apr!N1</f>
        <v>0</v>
      </c>
      <c r="F6" s="228">
        <f>Apr!AD70+Apr!AE70+Apr!AF70+Apr!AG70</f>
        <v>0</v>
      </c>
      <c r="G6" s="228">
        <f>Apr!AE72+Apr!AF72+Apr!AG72</f>
        <v>0</v>
      </c>
      <c r="H6" s="228">
        <f>Apr!P1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May!T1+May!O1</f>
        <v>0</v>
      </c>
      <c r="E7" s="228">
        <f>May!N1</f>
        <v>0</v>
      </c>
      <c r="F7" s="228">
        <f>May!AD60+May!AE60+May!AF60+May!AG60</f>
        <v>0</v>
      </c>
      <c r="G7" s="228">
        <f>May!AE62+May!AF62+May!AG62</f>
        <v>0</v>
      </c>
      <c r="H7" s="228">
        <f>May!P1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Jun!T1+Jun!O1</f>
        <v>0</v>
      </c>
      <c r="E8" s="228">
        <f>Jun!N1</f>
        <v>0</v>
      </c>
      <c r="F8" s="228">
        <f>Jun!AD60+Jun!AE60+Jun!AF60+Jun!AG60</f>
        <v>0</v>
      </c>
      <c r="G8" s="228">
        <f>Jun!AE62+Jun!AF62+Jun!AG62</f>
        <v>0</v>
      </c>
      <c r="H8" s="228">
        <f>Jun!P1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Jul!T1+Jul!O1</f>
        <v>0</v>
      </c>
      <c r="E9" s="228">
        <f>Jul!N1</f>
        <v>0</v>
      </c>
      <c r="F9" s="228">
        <f>Jul!AD70+Jul!AE70+Jul!AF70+Jul!AG70</f>
        <v>0</v>
      </c>
      <c r="G9" s="228">
        <f>Jul!AE72+Jul!AF72+Jul!AG72</f>
        <v>0</v>
      </c>
      <c r="H9" s="228">
        <f>Jul!P1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Aug!T1+Aug!O1</f>
        <v>0</v>
      </c>
      <c r="E10" s="228">
        <f>Aug!N1</f>
        <v>0</v>
      </c>
      <c r="F10" s="228">
        <f>Aug!AD60+Aug!AE60+Aug!AF60+Aug!AG60</f>
        <v>0</v>
      </c>
      <c r="G10" s="228">
        <f>Aug!AE62+Aug!AF62+Aug!AG62</f>
        <v>0</v>
      </c>
      <c r="H10" s="228">
        <f>Aug!P1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Sep!T1+Sep!O1</f>
        <v>0</v>
      </c>
      <c r="E11" s="228">
        <f>Sep!N1</f>
        <v>0</v>
      </c>
      <c r="F11" s="228">
        <f>Sep!AD60+Sep!AE60+Sep!AF60+Sep!AG60</f>
        <v>0</v>
      </c>
      <c r="G11" s="228">
        <f>Sep!AE62+Sep!AF62+Sep!AG62</f>
        <v>0</v>
      </c>
      <c r="H11" s="228">
        <f>Sep!P1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Oct!T1+Oct!O1</f>
        <v>0</v>
      </c>
      <c r="E12" s="228">
        <f>Oct!N1</f>
        <v>0</v>
      </c>
      <c r="F12" s="228">
        <f>Oct!AD70+Oct!AE70+Oct!AF70+Oct!AG70</f>
        <v>0</v>
      </c>
      <c r="G12" s="228">
        <f>Oct!AE72+Oct!AF72+Oct!AG72</f>
        <v>0</v>
      </c>
      <c r="H12" s="228">
        <f>Oct!P1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Nov!T1+Nov!O1</f>
        <v>0</v>
      </c>
      <c r="E13" s="228">
        <f>Nov!N1</f>
        <v>0</v>
      </c>
      <c r="F13" s="228">
        <f>Nov!AD60+Nov!AE60+Nov!AF60+Nov!AG60</f>
        <v>0</v>
      </c>
      <c r="G13" s="228">
        <f>Nov!AE62+Nov!AF62+Nov!AG62</f>
        <v>0</v>
      </c>
      <c r="H13" s="228">
        <f>Nov!P1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Dec!T1+Dec!O1</f>
        <v>0</v>
      </c>
      <c r="E14" s="228">
        <f>Dec!N1</f>
        <v>0</v>
      </c>
      <c r="F14" s="228">
        <f>Dec!AD60+Dec!AE60+Dec!AF60+Dec!AG60</f>
        <v>0</v>
      </c>
      <c r="G14" s="228">
        <f>Dec!AE62+Dec!AF62+Dec!AG62</f>
        <v>0</v>
      </c>
      <c r="H14" s="228">
        <f>Dec!P1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Jan!T1+Jan!O1</f>
        <v>0</v>
      </c>
      <c r="E15" s="228">
        <f>Jan!N1</f>
        <v>0</v>
      </c>
      <c r="F15" s="228">
        <f>Jan!AD80+Jan!AE80+Jan!AF80+Jan!AG80</f>
        <v>0</v>
      </c>
      <c r="G15" s="228">
        <f>Jan!AE82+Jan!AF82+Jan!AG82</f>
        <v>0</v>
      </c>
      <c r="H15" s="228">
        <f>Jan!P1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46118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