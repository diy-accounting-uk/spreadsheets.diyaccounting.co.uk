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Mar" sheetId="12" r:id="rId2"/>
    <sheet name="Apr" sheetId="11" r:id="rId3"/>
    <sheet name="May" sheetId="10" r:id="rId4"/>
    <sheet name="Jun" sheetId="9" r:id="rId5"/>
    <sheet name="Jul" sheetId="8" r:id="rId6"/>
    <sheet name="Aug" sheetId="17" r:id="rId7"/>
    <sheet name="Sep" sheetId="16" r:id="rId8"/>
    <sheet name="Oct" sheetId="15" r:id="rId9"/>
    <sheet name="Nov" sheetId="14" r:id="rId10"/>
    <sheet name="Dec" sheetId="13" r:id="rId11"/>
    <sheet name="Jan" sheetId="19" r:id="rId12"/>
    <sheet name="Feb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<sst xmlns="http://schemas.openxmlformats.org/spreadsheetml/2006/main" count="1383" uniqueCount="138">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</sst>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Mar!M39+1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110" t="str">
        <f>IF(E11=" "," ",IF(T$9="Y",Mar!M41,IF((H11+K11+L11)&gt;0,H11+K11+L11,"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11" t="str">
        <f>IF(E12=" "," ",IF(T$9="Y",Mar!M42,IF((H12+K12+L12)&gt;0,H12+K12+L12,"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11" t="str">
        <f>IF(E13=" "," ",IF(T$9="Y",Mar!M43,IF((H13+K13+L13)&gt;0,H13+K13+L13,"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11" t="str">
        <f>IF(E14=" "," ",IF(T$9="Y",Mar!M44,IF((H14+K14+L14)&gt;0,H14+K14+L14,"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IF(T$9="Y",Mar!L45,0)</f>
        <v>0</v>
      </c>
      <c r="M15" s="111" t="str">
        <f>IF(E15=" "," ",IF(T$9="Y",Mar!M45,IF((H15+K15+L15)&gt;0,H15+K15+L15,"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IF(T$49="Y",Mar!H51,0)</f>
        <v>0</v>
      </c>
      <c r="I51" s="89">
        <f>IF(T$49="Y",Mar!I51,0)</f>
        <v>0</v>
      </c>
      <c r="J51" s="89">
        <f>IF(T$49="Y",Mar!J51,0)</f>
        <v>0</v>
      </c>
      <c r="K51" s="89">
        <f>IF(T$49="Y",Mar!K51,I51*J51)</f>
        <v>0</v>
      </c>
      <c r="L51" s="110">
        <f>IF(T$49="Y",Mar!L51,0)</f>
        <v>0</v>
      </c>
      <c r="M51" s="99" t="str">
        <f>IF(E51=" "," ",IF(T$49="Y",Mar!M51,IF((H51+K51+L51)&gt;0,H51+K51+L51,"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IF(Employee!H$35=E$49,Employee!D$34+SUM(M51)+Mar!V51,SUM(M51)+Mar!V51)</f>
        <v>0</v>
      </c>
      <c r="W51" s="49">
        <f>IF(Employee!H$35=E$49,Employee!D$35+SUM(N51)+Mar!W51,SUM(N51)+Mar!W51)</f>
        <v>0</v>
      </c>
      <c r="X51" s="49">
        <f>IF(O51=" ",Mar!X51,O51+Mar!X51)</f>
        <v>0</v>
      </c>
      <c r="Y51" s="49">
        <f>IF(P51=" ",Mar!Y51,P51+Mar!Y51)</f>
        <v>0</v>
      </c>
      <c r="Z51" s="49">
        <f>IF(Q51=" ",Mar!Z51,Q51+Mar!Z51)</f>
        <v>0</v>
      </c>
      <c r="AA51" s="49">
        <f>IF(R51=" ",Mar!AA51,R51+Mar!AA51)</f>
        <v>0</v>
      </c>
      <c r="AC51" s="49">
        <f>IF(T51=" ",Mar!AC51,T51+Mar!AC51)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IF(T$49="Y",Mar!H52,0)</f>
        <v>0</v>
      </c>
      <c r="I52" s="92">
        <f>IF(T$49="Y",Mar!I52,0)</f>
        <v>0</v>
      </c>
      <c r="J52" s="92">
        <f>IF(T$49="Y",Mar!J52,0)</f>
        <v>0</v>
      </c>
      <c r="K52" s="92">
        <f>IF(T$49="Y",Mar!K52,I52*J52)</f>
        <v>0</v>
      </c>
      <c r="L52" s="111">
        <f>IF(T$49="Y",Mar!L52,0)</f>
        <v>0</v>
      </c>
      <c r="M52" s="100" t="str">
        <f>IF(E52=" "," ",IF(T$49="Y",Mar!M52,IF((H52+K52+L52)&gt;0,H52+K52+L52,"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IF(Employee!H$61=E$49,Employee!D$60+SUM(M52)+Mar!V52,SUM(M52)+Mar!V52)</f>
        <v>0</v>
      </c>
      <c r="W52" s="49">
        <f>IF(Employee!H$61=E$49,Employee!D$61+SUM(N52)+Mar!W52,SUM(N52)+Mar!W52)</f>
        <v>0</v>
      </c>
      <c r="X52" s="49">
        <f>IF(O52=" ",Mar!X52,O52+Mar!X52)</f>
        <v>0</v>
      </c>
      <c r="Y52" s="49">
        <f>IF(P52=" ",Mar!Y52,P52+Mar!Y52)</f>
        <v>0</v>
      </c>
      <c r="Z52" s="49">
        <f>IF(Q52=" ",Mar!Z52,Q52+Mar!Z52)</f>
        <v>0</v>
      </c>
      <c r="AA52" s="49">
        <f>IF(R52=" ",Mar!AA52,R52+Mar!AA52)</f>
        <v>0</v>
      </c>
      <c r="AC52" s="49">
        <f>IF(T52=" ",Mar!AC52,T52+Mar!AC52)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IF(T$49="Y",Mar!H53,0)</f>
        <v>0</v>
      </c>
      <c r="I53" s="92">
        <f>IF(T$49="Y",Mar!I53,0)</f>
        <v>0</v>
      </c>
      <c r="J53" s="92">
        <f>IF(T$49="Y",Mar!J53,0)</f>
        <v>0</v>
      </c>
      <c r="K53" s="92">
        <f>IF(T$49="Y",Mar!K53,I53*J53)</f>
        <v>0</v>
      </c>
      <c r="L53" s="111">
        <f>IF(T$49="Y",Mar!L53,0)</f>
        <v>0</v>
      </c>
      <c r="M53" s="100" t="str">
        <f>IF(E53=" "," ",IF(T$49="Y",Mar!M53,IF((H53+K53+L53)&gt;0,H53+K53+L53,"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IF(Employee!H$87=E$49,Employee!D$86+SUM(M53)+Mar!V53,SUM(M53)+Mar!V53)</f>
        <v>0</v>
      </c>
      <c r="W53" s="49">
        <f>IF(Employee!H$87=E$49,Employee!D$7+SUM(N53)+Mar!W53,SUM(N53)+Mar!W53)</f>
        <v>0</v>
      </c>
      <c r="X53" s="49">
        <f>IF(O53=" ",Mar!X53,O53+Mar!X53)</f>
        <v>0</v>
      </c>
      <c r="Y53" s="49">
        <f>IF(P53=" ",Mar!Y53,P53+Mar!Y53)</f>
        <v>0</v>
      </c>
      <c r="Z53" s="49">
        <f>IF(Q53=" ",Mar!Z53,Q53+Mar!Z53)</f>
        <v>0</v>
      </c>
      <c r="AA53" s="49">
        <f>IF(R53=" ",Mar!AA53,R53+Mar!AA53)</f>
        <v>0</v>
      </c>
      <c r="AC53" s="49">
        <f>IF(T53=" ",Mar!AC53,T53+Mar!AC53)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IF(T$49="Y",Mar!H54,0)</f>
        <v>0</v>
      </c>
      <c r="I54" s="92">
        <f>IF(T$49="Y",Mar!I54,0)</f>
        <v>0</v>
      </c>
      <c r="J54" s="92">
        <f>IF(T$49="Y",Mar!J54,0)</f>
        <v>0</v>
      </c>
      <c r="K54" s="92">
        <f>IF(T$49="Y",Mar!K54,I54*J54)</f>
        <v>0</v>
      </c>
      <c r="L54" s="111">
        <f>IF(T$49="Y",Mar!L54,0)</f>
        <v>0</v>
      </c>
      <c r="M54" s="100" t="str">
        <f>IF(E54=" "," ",IF(T$49="Y",Mar!M54,IF((H54+K54+L54)&gt;0,H54+K54+L54,"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IF(Employee!H$113=E$49,Employee!D$112+SUM(M54)+Mar!V54,SUM(M54)+Mar!V54)</f>
        <v>0</v>
      </c>
      <c r="W54" s="49">
        <f>IF(Employee!H$113=E$49,Employee!D$113+SUM(N54)+Mar!W54,SUM(N54)+Mar!W54)</f>
        <v>0</v>
      </c>
      <c r="X54" s="49">
        <f>IF(O54=" ",Mar!X54,O54+Mar!X54)</f>
        <v>0</v>
      </c>
      <c r="Y54" s="49">
        <f>IF(P54=" ",Mar!Y54,P54+Mar!Y54)</f>
        <v>0</v>
      </c>
      <c r="Z54" s="49">
        <f>IF(Q54=" ",Mar!Z54,Q54+Mar!Z54)</f>
        <v>0</v>
      </c>
      <c r="AA54" s="49">
        <f>IF(R54=" ",Mar!AA54,R54+Mar!AA54)</f>
        <v>0</v>
      </c>
      <c r="AC54" s="49">
        <f>IF(T54=" ",Mar!AC54,T54+Mar!AC54)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IF(T$49="Y",Mar!H55,0)</f>
        <v>0</v>
      </c>
      <c r="I55" s="245">
        <f>IF(T$49="Y",Mar!I55,0)</f>
        <v>0</v>
      </c>
      <c r="J55" s="245">
        <f>IF(T$49="Y",Mar!J55,0)</f>
        <v>0</v>
      </c>
      <c r="K55" s="245">
        <f>IF(T$49="Y",Mar!K55,I55*J55)</f>
        <v>0</v>
      </c>
      <c r="L55" s="246">
        <f>IF(T$49="Y",Mar!L55,0)</f>
        <v>0</v>
      </c>
      <c r="M55" s="100" t="str">
        <f>IF(E55=" "," ",IF(T$49="Y",Mar!M55,IF((H55+K55+L55)&gt;0,H55+K55+L55,"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IF(Employee!H$139=E$49,Employee!D$138+SUM(M55)+Mar!V55,SUM(M55)+Mar!V55)</f>
        <v>0</v>
      </c>
      <c r="W55" s="49">
        <f>IF(Employee!H$139=E$49,Employee!D$139+SUM(N55)+Mar!W55,SUM(N55)+Mar!W55)</f>
        <v>0</v>
      </c>
      <c r="X55" s="49">
        <f>IF(O55=" ",Mar!X55,O55+Mar!X55)</f>
        <v>0</v>
      </c>
      <c r="Y55" s="49">
        <f>IF(P55=" ",Mar!Y55,P55+Mar!Y55)</f>
        <v>0</v>
      </c>
      <c r="Z55" s="49">
        <f>IF(Q55=" ",Mar!Z55,Q55+Mar!Z55)</f>
        <v>0</v>
      </c>
      <c r="AA55" s="49">
        <f>IF(R55=" ",Mar!AA55,R55+Mar!AA55)</f>
        <v>0</v>
      </c>
      <c r="AC55" s="49">
        <f>IF(T55=" ",Mar!AC55,T55+Mar!AC55)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AD60+Mar!AD65</f>
        <v>0</v>
      </c>
      <c r="AE65" s="158">
        <f>AE60+Mar!AE65</f>
        <v>0</v>
      </c>
      <c r="AF65" s="158">
        <f>AF60+Mar!AF65</f>
        <v>0</v>
      </c>
      <c r="AG65" s="158">
        <f>AG60+Mar!AG65</f>
        <v>0</v>
      </c>
    </row>
    <row r="66" spans="6:33" ht="14" thickTop="1" x14ac:dyDescent="0.15"/>
    <row r="67" spans="6:33" x14ac:dyDescent="0.15">
      <c r="AD67" s="162"/>
      <c r="AE67" s="158">
        <f>AE62+Mar!AE67</f>
        <v>0</v>
      </c>
      <c r="AF67" s="158">
        <f>AF62+Mar!AF67</f>
        <v>0</v>
      </c>
      <c r="AG67" s="158">
        <f>AG62+Mar!AG67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Apr!M39+1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IF(T$59="Y",Apr!H51,0)</f>
        <v>0</v>
      </c>
      <c r="I61" s="89">
        <f>IF(T$59="Y",Apr!I51,0)</f>
        <v>0</v>
      </c>
      <c r="J61" s="89">
        <f>IF(T$59="Y",Apr!J51,0)</f>
        <v>0</v>
      </c>
      <c r="K61" s="89">
        <f>IF(T$59="Y",Apr!K51,I61*J61)</f>
        <v>0</v>
      </c>
      <c r="L61" s="110">
        <f>IF(T$59="Y",Apr!L51,0)</f>
        <v>0</v>
      </c>
      <c r="M61" s="99" t="str">
        <f>IF(E61=" "," ",IF(T$59="Y",Apr!M51,IF((H61+K61+L61)&gt;0,H61+K61+L61,"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IF(Employee!H$35=E$59,Employee!D$34+SUM(M61)+Apr!V51,SUM(M61)+Apr!V51)</f>
        <v>0</v>
      </c>
      <c r="W61" s="49">
        <f>IF(Employee!H$35=E$59,Employee!D$35+SUM(N61)+Apr!W51,SUM(N61)+Apr!W51)</f>
        <v>0</v>
      </c>
      <c r="X61" s="49">
        <f>IF(O61=" ",Apr!X51,O61+Apr!X51)</f>
        <v>0</v>
      </c>
      <c r="Y61" s="49">
        <f>IF(P61=" ",Apr!Y51,P61+Apr!Y51)</f>
        <v>0</v>
      </c>
      <c r="Z61" s="49">
        <f>IF(Q61=" ",Apr!Z51,Q61+Apr!Z51)</f>
        <v>0</v>
      </c>
      <c r="AA61" s="49">
        <f>IF(R61=" ",Apr!AA51,R61+Apr!AA51)</f>
        <v>0</v>
      </c>
      <c r="AC61" s="49">
        <f>IF(T61=" ",Apr!AC51,T61+Apr!AC51)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IF(T$59="Y",Apr!H52,0)</f>
        <v>0</v>
      </c>
      <c r="I62" s="92">
        <f>IF(T$59="Y",Apr!I52,0)</f>
        <v>0</v>
      </c>
      <c r="J62" s="92">
        <f>IF(T$59="Y",Apr!J52,0)</f>
        <v>0</v>
      </c>
      <c r="K62" s="92">
        <f>IF(T$59="Y",Apr!K52,I62*J62)</f>
        <v>0</v>
      </c>
      <c r="L62" s="111">
        <f>IF(T$59="Y",Apr!L52,0)</f>
        <v>0</v>
      </c>
      <c r="M62" s="100" t="str">
        <f>IF(E62=" "," ",IF(T$59="Y",Apr!M52,IF((H62+K62+L62)&gt;0,H62+K62+L62,"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IF(Employee!H$61=E$59,Employee!D$60+SUM(M62)+Apr!V52,SUM(M62)+Apr!V52)</f>
        <v>0</v>
      </c>
      <c r="W62" s="49">
        <f>IF(Employee!H$61=E$59,Employee!D$61+SUM(N62)+Apr!W52,SUM(N62)+Apr!W52)</f>
        <v>0</v>
      </c>
      <c r="X62" s="49">
        <f>IF(O62=" ",Apr!X52,O62+Apr!X52)</f>
        <v>0</v>
      </c>
      <c r="Y62" s="49">
        <f>IF(P62=" ",Apr!Y52,P62+Apr!Y52)</f>
        <v>0</v>
      </c>
      <c r="Z62" s="49">
        <f>IF(Q62=" ",Apr!Z52,Q62+Apr!Z52)</f>
        <v>0</v>
      </c>
      <c r="AA62" s="49">
        <f>IF(R62=" ",Apr!AA52,R62+Apr!AA52)</f>
        <v>0</v>
      </c>
      <c r="AC62" s="49">
        <f>IF(T62=" ",Apr!AC52,T62+Apr!AC52)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IF(T$59="Y",Apr!H53,0)</f>
        <v>0</v>
      </c>
      <c r="I63" s="92">
        <f>IF(T$59="Y",Apr!I53,0)</f>
        <v>0</v>
      </c>
      <c r="J63" s="92">
        <f>IF(T$59="Y",Apr!J53,0)</f>
        <v>0</v>
      </c>
      <c r="K63" s="92">
        <f>IF(T$59="Y",Apr!K53,I63*J63)</f>
        <v>0</v>
      </c>
      <c r="L63" s="111">
        <f>IF(T$59="Y",Apr!L53,0)</f>
        <v>0</v>
      </c>
      <c r="M63" s="100" t="str">
        <f>IF(E63=" "," ",IF(T$59="Y",Apr!M53,IF((H63+K63+L63)&gt;0,H63+K63+L63,"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IF(Employee!H$87=E$59,Employee!D$86+SUM(M63)+Apr!V53,SUM(M63)+Apr!V53)</f>
        <v>0</v>
      </c>
      <c r="W63" s="49">
        <f>IF(Employee!H$87=E$59,Employee!D$87+SUM(N63)+Apr!W53,SUM(N63)+Apr!W53)</f>
        <v>0</v>
      </c>
      <c r="X63" s="49">
        <f>IF(O63=" ",Apr!X53,O63+Apr!X53)</f>
        <v>0</v>
      </c>
      <c r="Y63" s="49">
        <f>IF(P63=" ",Apr!Y53,P63+Apr!Y53)</f>
        <v>0</v>
      </c>
      <c r="Z63" s="49">
        <f>IF(Q63=" ",Apr!Z53,Q63+Apr!Z53)</f>
        <v>0</v>
      </c>
      <c r="AA63" s="49">
        <f>IF(R63=" ",Apr!AA53,R63+Apr!AA53)</f>
        <v>0</v>
      </c>
      <c r="AC63" s="49">
        <f>IF(T63=" ",Apr!AC53,T63+Apr!AC53)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IF(T$59="Y",Apr!H54,0)</f>
        <v>0</v>
      </c>
      <c r="I64" s="92">
        <f>IF(T$59="Y",Apr!I54,0)</f>
        <v>0</v>
      </c>
      <c r="J64" s="92">
        <f>IF(T$59="Y",Apr!J54,0)</f>
        <v>0</v>
      </c>
      <c r="K64" s="92">
        <f>IF(T$59="Y",Apr!K54,I64*J64)</f>
        <v>0</v>
      </c>
      <c r="L64" s="111">
        <f>IF(T$59="Y",Apr!L54,0)</f>
        <v>0</v>
      </c>
      <c r="M64" s="100" t="str">
        <f>IF(E64=" "," ",IF(T$59="Y",Apr!M54,IF((H64+K64+L64)&gt;0,H64+K64+L64,"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IF(Employee!H$113=E$59,Employee!D$112+SUM(M64)+Apr!V54,SUM(M64)+Apr!V54)</f>
        <v>0</v>
      </c>
      <c r="W64" s="49">
        <f>IF(Employee!H$113=E$59,Employee!D$113+SUM(N64)+Apr!W54,SUM(N64)+Apr!W54)</f>
        <v>0</v>
      </c>
      <c r="X64" s="49">
        <f>IF(O64=" ",Apr!X54,O64+Apr!X54)</f>
        <v>0</v>
      </c>
      <c r="Y64" s="49">
        <f>IF(P64=" ",Apr!Y54,P64+Apr!Y54)</f>
        <v>0</v>
      </c>
      <c r="Z64" s="49">
        <f>IF(Q64=" ",Apr!Z54,Q64+Apr!Z54)</f>
        <v>0</v>
      </c>
      <c r="AA64" s="49">
        <f>IF(R64=" ",Apr!AA54,R64+Apr!AA54)</f>
        <v>0</v>
      </c>
      <c r="AC64" s="49">
        <f>IF(T64=" ",Apr!AC54,T64+Apr!AC54)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IF(T$59="Y",Apr!H55,0)</f>
        <v>0</v>
      </c>
      <c r="I65" s="245">
        <f>IF(T$59="Y",Apr!I55,0)</f>
        <v>0</v>
      </c>
      <c r="J65" s="245">
        <f>IF(T$59="Y",Apr!J55,0)</f>
        <v>0</v>
      </c>
      <c r="K65" s="245">
        <f>IF(T$59="Y",Apr!K55,I65*J65)</f>
        <v>0</v>
      </c>
      <c r="L65" s="246">
        <f>IF(T$59="Y",Apr!L55,0)</f>
        <v>0</v>
      </c>
      <c r="M65" s="100" t="str">
        <f>IF(E65=" "," ",IF(T$59="Y",Apr!M55,IF((H65+K65+L65)&gt;0,H65+K65+L65,"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IF(Employee!H$139=E$59,Employee!D$138+SUM(M65)+Apr!V55,SUM(M65)+Apr!V55)</f>
        <v>0</v>
      </c>
      <c r="W65" s="49">
        <f>IF(Employee!H$139=E$59,Employee!D$139+SUM(N65)+Apr!W55,SUM(N65)+Apr!W55)</f>
        <v>0</v>
      </c>
      <c r="X65" s="49">
        <f>IF(O65=" ",Apr!X55,O65+Apr!X55)</f>
        <v>0</v>
      </c>
      <c r="Y65" s="49">
        <f>IF(P65=" ",Apr!Y55,P65+Apr!Y55)</f>
        <v>0</v>
      </c>
      <c r="Z65" s="49">
        <f>IF(Q65=" ",Apr!Z55,Q65+Apr!Z55)</f>
        <v>0</v>
      </c>
      <c r="AA65" s="49">
        <f>IF(R65=" ",Apr!AA55,R65+Apr!AA55)</f>
        <v>0</v>
      </c>
      <c r="AC65" s="49">
        <f>IF(T65=" ",Apr!AC55,T65+Apr!AC55)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AD70+Apr!AD65</f>
        <v>0</v>
      </c>
      <c r="AE75" s="158">
        <f>AE70+Apr!AE65</f>
        <v>0</v>
      </c>
      <c r="AF75" s="158">
        <f>AF70+Apr!AF65</f>
        <v>0</v>
      </c>
      <c r="AG75" s="158">
        <f>AG70+Apr!AG65</f>
        <v>0</v>
      </c>
    </row>
    <row r="76" spans="1:34" ht="14" thickTop="1" x14ac:dyDescent="0.15"/>
    <row r="77" spans="1:34" x14ac:dyDescent="0.15">
      <c r="AD77" s="162"/>
      <c r="AE77" s="158">
        <f>AE72+Apr!AE67</f>
        <v>0</v>
      </c>
      <c r="AF77" s="158">
        <f>AF72+Apr!AF67</f>
        <v>0</v>
      </c>
      <c r="AG77" s="158">
        <f>AG72+Apr!AG67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89">
        <f>IF(T$9="Y",May!L41,0)</f>
        <v>0</v>
      </c>
      <c r="M11" s="99" t="str">
        <f>IF(E11=" "," ",IF(T$9="Y",May!M41,IF((H11+K11+L11)&gt;0,H11+K11+L11,"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IF(Employee!H$34=E$9,Employee!D$34+SUM(M11)+May!V51,SUM(M11)+May!V51)</f>
        <v>0</v>
      </c>
      <c r="W11" s="49">
        <f>IF(Employee!H$34=E$9,Employee!D$35+SUM(N11)+May!W51,SUM(N11)+May!W51)</f>
        <v>0</v>
      </c>
      <c r="X11" s="49">
        <f>IF(O11=" ",May!X51,O11+May!X51)</f>
        <v>0</v>
      </c>
      <c r="Y11" s="49">
        <f>IF(P11=" ",May!Y51,P11+May!Y51)</f>
        <v>0</v>
      </c>
      <c r="Z11" s="49">
        <f>IF(Q11=" ",May!Z51,Q11+May!Z51)</f>
        <v>0</v>
      </c>
      <c r="AA11" s="49">
        <f>IF(R11=" ",May!AA51,R11+May!AA51)</f>
        <v>0</v>
      </c>
      <c r="AC11" s="49">
        <f>IF(T11=" ",May!AC51,T11+May!AC51)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92">
        <f>IF(T$9="Y",May!L42,0)</f>
        <v>0</v>
      </c>
      <c r="M12" s="100" t="str">
        <f>IF(E12=" "," ",IF(T$9="Y",May!M42,IF((H12+K12+L12)&gt;0,H12+K12+L12,"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IF(Employee!H$60=E$9,Employee!D$60+SUM(M12)+May!V52,SUM(M12)+May!V52)</f>
        <v>0</v>
      </c>
      <c r="W12" s="49">
        <f>IF(Employee!H$60=E$9,Employee!D$61+SUM(N12)+May!W52,SUM(N12)+May!W52)</f>
        <v>0</v>
      </c>
      <c r="X12" s="49">
        <f>IF(O12=" ",May!X52,O12+May!X52)</f>
        <v>0</v>
      </c>
      <c r="Y12" s="49">
        <f>IF(P12=" ",May!Y52,P12+May!Y52)</f>
        <v>0</v>
      </c>
      <c r="Z12" s="49">
        <f>IF(Q12=" ",May!Z52,Q12+May!Z52)</f>
        <v>0</v>
      </c>
      <c r="AA12" s="49">
        <f>IF(R12=" ",May!AA52,R12+May!AA52)</f>
        <v>0</v>
      </c>
      <c r="AC12" s="49">
        <f>IF(T12=" ",May!AC52,T12+May!AC52)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92">
        <f>IF(T$9="Y",May!L43,0)</f>
        <v>0</v>
      </c>
      <c r="M13" s="100" t="str">
        <f>IF(E13=" "," ",IF(T$9="Y",May!M43,IF((H13+K13+L13)&gt;0,H13+K13+L13,"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IF(Employee!H$86=E$9,Employee!D$86+SUM(M13)+May!V53,SUM(M13)+May!V53)</f>
        <v>0</v>
      </c>
      <c r="W13" s="49">
        <f>IF(Employee!H$86=E$9,Employee!D$87+SUM(N13)+May!W53,SUM(N13)+May!W53)</f>
        <v>0</v>
      </c>
      <c r="X13" s="49">
        <f>IF(O13=" ",May!X53,O13+May!X53)</f>
        <v>0</v>
      </c>
      <c r="Y13" s="49">
        <f>IF(P13=" ",May!Y53,P13+May!Y53)</f>
        <v>0</v>
      </c>
      <c r="Z13" s="49">
        <f>IF(Q13=" ",May!Z53,Q13+May!Z53)</f>
        <v>0</v>
      </c>
      <c r="AA13" s="49">
        <f>IF(R13=" ",May!AA53,R13+May!AA53)</f>
        <v>0</v>
      </c>
      <c r="AC13" s="49">
        <f>IF(T13=" ",May!AC53,T13+May!AC53)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92">
        <f>IF(T$9="Y",May!L44,0)</f>
        <v>0</v>
      </c>
      <c r="M14" s="100" t="str">
        <f>IF(E14=" "," ",IF(T$9="Y",May!M44,IF((H14+K14+L14)&gt;0,H14+K14+L14,"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IF(Employee!H$112=E$9,Employee!D$112+SUM(M14)+May!V54,SUM(M14)+May!V54)</f>
        <v>0</v>
      </c>
      <c r="W14" s="49">
        <f>IF(Employee!H$112=E$9,Employee!D$113+SUM(N14)+May!W54,SUM(N14)+May!W54)</f>
        <v>0</v>
      </c>
      <c r="X14" s="49">
        <f>IF(O14=" ",May!X54,O14+May!X54)</f>
        <v>0</v>
      </c>
      <c r="Y14" s="49">
        <f>IF(P14=" ",May!Y54,P14+May!Y54)</f>
        <v>0</v>
      </c>
      <c r="Z14" s="49">
        <f>IF(Q14=" ",May!Z54,Q14+May!Z54)</f>
        <v>0</v>
      </c>
      <c r="AA14" s="49">
        <f>IF(R14=" ",May!AA54,R14+May!AA54)</f>
        <v>0</v>
      </c>
      <c r="AC14" s="49">
        <f>IF(T14=" ",May!AC54,T14+May!AC54)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5">
        <f>IF(T$9="Y",May!L45,0)</f>
        <v>0</v>
      </c>
      <c r="M15" s="247" t="str">
        <f>IF(E15=" "," ",IF(T$9="Y",May!M45,IF((H15+K15+L15)&gt;0,H15+K15+L15,"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IF(Employee!H$138=E$9,Employee!D$138+SUM(M15)+May!V55,SUM(M15)+May!V55)</f>
        <v>0</v>
      </c>
      <c r="W15" s="49">
        <f>IF(Employee!H$138=E$9,Employee!D$139+SUM(N15)+May!W55,SUM(N15)+May!W55)</f>
        <v>0</v>
      </c>
      <c r="X15" s="49">
        <f>IF(O15=" ",May!X55,O15+May!X55)</f>
        <v>0</v>
      </c>
      <c r="Y15" s="49">
        <f>IF(P15=" ",May!Y55,P15+May!Y55)</f>
        <v>0</v>
      </c>
      <c r="Z15" s="49">
        <f>IF(Q15=" ",May!Z55,Q15+May!Z55)</f>
        <v>0</v>
      </c>
      <c r="AA15" s="49">
        <f>IF(R15=" ",May!AA55,R15+May!AA55)</f>
        <v>0</v>
      </c>
      <c r="AC15" s="49">
        <f>IF(T15=" ",May!AC55,T15+May!AC55)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IF(T$49="Y",May!H61,0)</f>
        <v>0</v>
      </c>
      <c r="I51" s="89">
        <f>IF(T$49="Y",May!I61,0)</f>
        <v>0</v>
      </c>
      <c r="J51" s="89">
        <f>IF(T$49="Y",May!J61,0)</f>
        <v>0</v>
      </c>
      <c r="K51" s="89">
        <f>IF(T$49="Y",May!K61,I51*J51)</f>
        <v>0</v>
      </c>
      <c r="L51" s="110">
        <f>IF(T$49="Y",May!L61,0)</f>
        <v>0</v>
      </c>
      <c r="M51" s="99" t="str">
        <f>IF(E51=" "," ",IF(T$49="Y",May!M61,IF((H51+K51+L51)&gt;0,H51+K51+L51,"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IF(Employee!H$35=E$49,Employee!D$34+SUM(M51)+May!V61,SUM(M51)+May!V61)</f>
        <v>0</v>
      </c>
      <c r="W51" s="49">
        <f>IF(Employee!H$35=E$49,Employee!D$35+SUM(N51)+May!W61,SUM(N51)+May!W61)</f>
        <v>0</v>
      </c>
      <c r="X51" s="49">
        <f>IF(O51=" ",May!X61,O51+May!X61)</f>
        <v>0</v>
      </c>
      <c r="Y51" s="49">
        <f>IF(P51=" ",May!Y61,P51+May!Y61)</f>
        <v>0</v>
      </c>
      <c r="Z51" s="49">
        <f>IF(Q51=" ",May!Z61,Q51+May!Z61)</f>
        <v>0</v>
      </c>
      <c r="AA51" s="49">
        <f>IF(R51=" ",May!AA61,R51+May!AA61)</f>
        <v>0</v>
      </c>
      <c r="AC51" s="49">
        <f>IF(T51=" ",May!AC61,T51+May!AC61)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IF(T$49="Y",May!H62,0)</f>
        <v>0</v>
      </c>
      <c r="I52" s="92">
        <f>IF(T$49="Y",May!I62,0)</f>
        <v>0</v>
      </c>
      <c r="J52" s="92">
        <f>IF(T$49="Y",May!J62,0)</f>
        <v>0</v>
      </c>
      <c r="K52" s="92">
        <f>IF(T$49="Y",May!K62,I52*J52)</f>
        <v>0</v>
      </c>
      <c r="L52" s="111">
        <f>IF(T$49="Y",May!L62,0)</f>
        <v>0</v>
      </c>
      <c r="M52" s="100" t="str">
        <f>IF(E52=" "," ",IF(T$49="Y",May!M62,IF((H52+K52+L52)&gt;0,H52+K52+L52,"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IF(Employee!H$61=E$49,Employee!D$60+SUM(M52)+May!V62,SUM(M52)+May!V62)</f>
        <v>0</v>
      </c>
      <c r="W52" s="49">
        <f>IF(Employee!H$61=E$49,Employee!D$61+SUM(N52)+May!W62,SUM(N52)+May!W62)</f>
        <v>0</v>
      </c>
      <c r="X52" s="49">
        <f>IF(O52=" ",May!X62,O52+May!X62)</f>
        <v>0</v>
      </c>
      <c r="Y52" s="49">
        <f>IF(P52=" ",May!Y62,P52+May!Y62)</f>
        <v>0</v>
      </c>
      <c r="Z52" s="49">
        <f>IF(Q52=" ",May!Z62,Q52+May!Z62)</f>
        <v>0</v>
      </c>
      <c r="AA52" s="49">
        <f>IF(R52=" ",May!AA62,R52+May!AA62)</f>
        <v>0</v>
      </c>
      <c r="AC52" s="49">
        <f>IF(T52=" ",May!AC62,T52+May!AC62)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IF(T$49="Y",May!H63,0)</f>
        <v>0</v>
      </c>
      <c r="I53" s="92">
        <f>IF(T$49="Y",May!I63,0)</f>
        <v>0</v>
      </c>
      <c r="J53" s="92">
        <f>IF(T$49="Y",May!J63,0)</f>
        <v>0</v>
      </c>
      <c r="K53" s="92">
        <f>IF(T$49="Y",May!K63,I53*J53)</f>
        <v>0</v>
      </c>
      <c r="L53" s="111">
        <f>IF(T$49="Y",May!L63,0)</f>
        <v>0</v>
      </c>
      <c r="M53" s="100" t="str">
        <f>IF(E53=" "," ",IF(T$49="Y",May!M63,IF((H53+K53+L53)&gt;0,H53+K53+L53,"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IF(Employee!H$87=E$49,Employee!D$86+SUM(M53)+May!V63,SUM(M53)+May!V63)</f>
        <v>0</v>
      </c>
      <c r="W53" s="49">
        <f>IF(Employee!H$87=E$49,Employee!D$87+SUM(N53)+May!W63,SUM(N53)+May!W63)</f>
        <v>0</v>
      </c>
      <c r="X53" s="49">
        <f>IF(O53=" ",May!X63,O53+May!X63)</f>
        <v>0</v>
      </c>
      <c r="Y53" s="49">
        <f>IF(P53=" ",May!Y63,P53+May!Y63)</f>
        <v>0</v>
      </c>
      <c r="Z53" s="49">
        <f>IF(Q53=" ",May!Z63,Q53+May!Z63)</f>
        <v>0</v>
      </c>
      <c r="AA53" s="49">
        <f>IF(R53=" ",May!AA63,R53+May!AA63)</f>
        <v>0</v>
      </c>
      <c r="AC53" s="49">
        <f>IF(T53=" ",May!AC63,T53+May!AC63)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IF(T$49="Y",May!H64,0)</f>
        <v>0</v>
      </c>
      <c r="I54" s="92">
        <f>IF(T$49="Y",May!I64,0)</f>
        <v>0</v>
      </c>
      <c r="J54" s="92">
        <f>IF(T$49="Y",May!J64,0)</f>
        <v>0</v>
      </c>
      <c r="K54" s="92">
        <f>IF(T$49="Y",May!K64,I54*J54)</f>
        <v>0</v>
      </c>
      <c r="L54" s="111">
        <f>IF(T$49="Y",May!L64,0)</f>
        <v>0</v>
      </c>
      <c r="M54" s="100" t="str">
        <f>IF(E54=" "," ",IF(T$49="Y",May!M64,IF((H54+K54+L54)&gt;0,H54+K54+L54,"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IF(Employee!H$113=E$49,Employee!D$112+SUM(M54)+May!V64,SUM(M54)+May!V64)</f>
        <v>0</v>
      </c>
      <c r="W54" s="49">
        <f>IF(Employee!H$113=E$49,Employee!D$113+SUM(N54)+May!W64,SUM(N54)+May!W64)</f>
        <v>0</v>
      </c>
      <c r="X54" s="49">
        <f>IF(O54=" ",May!X64,O54+May!X64)</f>
        <v>0</v>
      </c>
      <c r="Y54" s="49">
        <f>IF(P54=" ",May!Y64,P54+May!Y64)</f>
        <v>0</v>
      </c>
      <c r="Z54" s="49">
        <f>IF(Q54=" ",May!Z64,Q54+May!Z64)</f>
        <v>0</v>
      </c>
      <c r="AA54" s="49">
        <f>IF(R54=" ",May!AA64,R54+May!AA64)</f>
        <v>0</v>
      </c>
      <c r="AC54" s="49">
        <f>IF(T54=" ",May!AC64,T54+May!AC64)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IF(T$49="Y",May!H65,0)</f>
        <v>0</v>
      </c>
      <c r="I55" s="245">
        <f>IF(T$49="Y",May!I65,0)</f>
        <v>0</v>
      </c>
      <c r="J55" s="245">
        <f>IF(T$49="Y",May!J65,0)</f>
        <v>0</v>
      </c>
      <c r="K55" s="245">
        <f>IF(T$49="Y",May!K65,I55*J55)</f>
        <v>0</v>
      </c>
      <c r="L55" s="246">
        <f>IF(T$49="Y",May!L65,0)</f>
        <v>0</v>
      </c>
      <c r="M55" s="100" t="str">
        <f>IF(E55=" "," ",IF(T$49="Y",May!M65,IF((H55+K55+L55)&gt;0,H55+K55+L55,"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IF(Employee!H$139=E$49,Employee!D$138+SUM(M55)+May!V65,SUM(M55)+May!V65)</f>
        <v>0</v>
      </c>
      <c r="W55" s="49">
        <f>IF(Employee!H$139=E$49,Employee!D$139+SUM(N55)+May!W65,SUM(N55)+May!W65)</f>
        <v>0</v>
      </c>
      <c r="X55" s="49">
        <f>IF(O55=" ",May!X65,O55+May!X65)</f>
        <v>0</v>
      </c>
      <c r="Y55" s="49">
        <f>IF(P55=" ",May!Y65,P55+May!Y65)</f>
        <v>0</v>
      </c>
      <c r="Z55" s="49">
        <f>IF(Q55=" ",May!Z65,Q55+May!Z65)</f>
        <v>0</v>
      </c>
      <c r="AA55" s="49">
        <f>IF(R55=" ",May!AA65,R55+May!AA65)</f>
        <v>0</v>
      </c>
      <c r="AC55" s="49">
        <f>IF(T55=" ",May!AC65,T55+May!AC65)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AD60+May!AD75</f>
        <v>0</v>
      </c>
      <c r="AE65" s="158">
        <f>AE60+May!AE75</f>
        <v>0</v>
      </c>
      <c r="AF65" s="158">
        <f>AF60+May!AF75</f>
        <v>0</v>
      </c>
      <c r="AG65" s="158">
        <f>AG60+May!AG75</f>
        <v>0</v>
      </c>
    </row>
    <row r="66" spans="6:33" ht="14" thickTop="1" x14ac:dyDescent="0.15"/>
    <row r="67" spans="6:33" x14ac:dyDescent="0.15">
      <c r="AD67" s="162"/>
      <c r="AE67" s="158">
        <f>AE62+May!AE77</f>
        <v>0</v>
      </c>
      <c r="AF67" s="158">
        <f>AF62+May!AF77</f>
        <v>0</v>
      </c>
      <c r="AG67" s="158">
        <f>AG62+May!AG77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IF(T$9="Y",Jun!#REF!,0)</f>
        <v>0</v>
      </c>
      <c r="I11" s="89">
        <f>IF(T$9="Y",Jun!#REF!,0)</f>
        <v>0</v>
      </c>
      <c r="J11" s="89">
        <f>IF(T$9="Y",Jun!#REF!,0)</f>
        <v>0</v>
      </c>
      <c r="K11" s="89">
        <v>0</v>
      </c>
      <c r="L11" s="110">
        <f>IF(T$9="Y",Jun!#REF!,0)</f>
        <v>0</v>
      </c>
      <c r="M11" s="110" t="str">
        <f>IF(E11=" "," ",IF(T$9="Y",Jun!#REF!,IF((H11+K11+L11)&gt;0,H11+K11+L11,"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IF(T$9="Y",Jun!#REF!,0)</f>
        <v>0</v>
      </c>
      <c r="I12" s="92">
        <f>IF(T$9="Y",Jun!#REF!,0)</f>
        <v>0</v>
      </c>
      <c r="J12" s="92">
        <f>IF(T$9="Y",Jun!#REF!,0)</f>
        <v>0</v>
      </c>
      <c r="K12" s="92">
        <f>IF(T$9="Y",Jun!#REF!,I12*J12)</f>
        <v>0</v>
      </c>
      <c r="L12" s="111">
        <f>IF(T$9="Y",Jun!#REF!,0)</f>
        <v>0</v>
      </c>
      <c r="M12" s="111" t="str">
        <f>IF(E12=" "," ",IF(T$9="Y",Jun!#REF!,IF((H12+K12+L12)&gt;0,H12+K12+L12,"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IF(T$9="Y",Jun!#REF!,0)</f>
        <v>0</v>
      </c>
      <c r="I13" s="92">
        <f>IF(T$9="Y",Jun!#REF!,0)</f>
        <v>0</v>
      </c>
      <c r="J13" s="92">
        <f>IF(T$9="Y",Jun!#REF!,0)</f>
        <v>0</v>
      </c>
      <c r="K13" s="92">
        <f>IF(T$9="Y",Jun!#REF!,I13*J13)</f>
        <v>0</v>
      </c>
      <c r="L13" s="111">
        <f>IF(T$9="Y",Jun!#REF!,0)</f>
        <v>0</v>
      </c>
      <c r="M13" s="111" t="str">
        <f>IF(E13=" "," ",IF(T$9="Y",Jun!#REF!,IF((H13+K13+L13)&gt;0,H13+K13+L13,"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IF(T$9="Y",Jun!#REF!,0)</f>
        <v>0</v>
      </c>
      <c r="I14" s="92">
        <f>IF(T$9="Y",Jun!#REF!,0)</f>
        <v>0</v>
      </c>
      <c r="J14" s="92">
        <f>IF(T$9="Y",Jun!#REF!,0)</f>
        <v>0</v>
      </c>
      <c r="K14" s="92">
        <f>IF(T$9="Y",Jun!#REF!,I14*J14)</f>
        <v>0</v>
      </c>
      <c r="L14" s="111">
        <f>IF(T$9="Y",Jun!#REF!,0)</f>
        <v>0</v>
      </c>
      <c r="M14" s="111" t="str">
        <f>IF(E14=" "," ",IF(T$9="Y",Jun!#REF!,IF((H14+K14+L14)&gt;0,H14+K14+L14,"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IF(T$9="Y",Jun!#REF!,0)</f>
        <v>0</v>
      </c>
      <c r="I15" s="245">
        <f>IF(T$9="Y",Jun!#REF!,0)</f>
        <v>0</v>
      </c>
      <c r="J15" s="245">
        <f>IF(T$9="Y",Jun!#REF!,0)</f>
        <v>0</v>
      </c>
      <c r="K15" s="245">
        <f>IF(T$9="Y",Jun!#REF!,I15*J15)</f>
        <v>0</v>
      </c>
      <c r="L15" s="246">
        <f>IF(T$9="Y",Jun!#REF!,0)</f>
        <v>0</v>
      </c>
      <c r="M15" s="246" t="str">
        <f>IF(E15=" "," ",IF(T$9="Y",Jun!#REF!,IF((H15+K15+L15)&gt;0,H15+K15+L15,"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IF(T$49="Y",Jun!H51,0)</f>
        <v>0</v>
      </c>
      <c r="I51" s="89">
        <f>IF(T$49="Y",Jun!I51,0)</f>
        <v>0</v>
      </c>
      <c r="J51" s="89">
        <f>IF(T$49="Y",Jun!J51,0)</f>
        <v>0</v>
      </c>
      <c r="K51" s="89">
        <f>IF(T$49="Y",Jun!K51,I51*J51)</f>
        <v>0</v>
      </c>
      <c r="L51" s="89">
        <f>IF(T$49="Y",Jun!L51,0)</f>
        <v>0</v>
      </c>
      <c r="M51" s="99" t="str">
        <f>IF(E51=" "," ",IF(T$49="Y",Jun!M51,IF((H51+K51+L51)&gt;0,H51+K51+L51,"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IF(Employee!H$35=E$49,Employee!D$34+SUM(M51)+Jun!V51,SUM(M51)+Jun!V51)</f>
        <v>0</v>
      </c>
      <c r="W51" s="49">
        <f>IF(Employee!H$35=E$49,Employee!D$35+SUM(N51)+Jun!W51,SUM(N51)+Jun!W51)</f>
        <v>0</v>
      </c>
      <c r="X51" s="49">
        <f>IF(O51=" ",Jun!X51,O51+Jun!X51)</f>
        <v>0</v>
      </c>
      <c r="Y51" s="49">
        <f>IF(P51=" ",Jun!Y51,P51+Jun!Y51)</f>
        <v>0</v>
      </c>
      <c r="Z51" s="49">
        <f>IF(Q51=" ",Jun!Z51,Q51+Jun!Z51)</f>
        <v>0</v>
      </c>
      <c r="AA51" s="49">
        <f>IF(R51=" ",Jun!AA51,R51+Jun!AA51)</f>
        <v>0</v>
      </c>
      <c r="AC51" s="49">
        <f>IF(T51=" ",Jun!AC51,T51+Jun!AC51)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IF(T$49="Y",Jun!H52,0)</f>
        <v>0</v>
      </c>
      <c r="I52" s="92">
        <f>IF(T$49="Y",Jun!I52,0)</f>
        <v>0</v>
      </c>
      <c r="J52" s="92">
        <f>IF(T$49="Y",Jun!J52,0)</f>
        <v>0</v>
      </c>
      <c r="K52" s="92">
        <f>IF(T$49="Y",Jun!K52,I52*J52)</f>
        <v>0</v>
      </c>
      <c r="L52" s="92">
        <f>IF(T$49="Y",Jun!L52,0)</f>
        <v>0</v>
      </c>
      <c r="M52" s="100" t="str">
        <f>IF(E52=" "," ",IF(T$49="Y",Jun!M52,IF((H52+K52+L52)&gt;0,H52+K52+L52,"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IF(Employee!H$61=E$49,Employee!D$60+SUM(M52)+Jun!V52,SUM(M52)+Jun!V52)</f>
        <v>0</v>
      </c>
      <c r="W52" s="49">
        <f>IF(Employee!H$61=E$49,Employee!D$61+SUM(N52)+Jun!W52,SUM(N52)+Jun!W52)</f>
        <v>0</v>
      </c>
      <c r="X52" s="49">
        <f>IF(O52=" ",Jun!X52,O52+Jun!X52)</f>
        <v>0</v>
      </c>
      <c r="Y52" s="49">
        <f>IF(P52=" ",Jun!Y52,P52+Jun!Y52)</f>
        <v>0</v>
      </c>
      <c r="Z52" s="49">
        <f>IF(Q52=" ",Jun!Z52,Q52+Jun!Z52)</f>
        <v>0</v>
      </c>
      <c r="AA52" s="49">
        <f>IF(R52=" ",Jun!AA52,R52+Jun!AA52)</f>
        <v>0</v>
      </c>
      <c r="AC52" s="49">
        <f>IF(T52=" ",Jun!AC52,T52+Jun!AC52)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IF(T$49="Y",Jun!H53,0)</f>
        <v>0</v>
      </c>
      <c r="I53" s="92">
        <f>IF(T$49="Y",Jun!I53,0)</f>
        <v>0</v>
      </c>
      <c r="J53" s="92">
        <f>IF(T$49="Y",Jun!J53,0)</f>
        <v>0</v>
      </c>
      <c r="K53" s="92">
        <f>IF(T$49="Y",Jun!K53,I53*J53)</f>
        <v>0</v>
      </c>
      <c r="L53" s="92">
        <f>IF(T$49="Y",Jun!L53,0)</f>
        <v>0</v>
      </c>
      <c r="M53" s="100" t="str">
        <f>IF(E53=" "," ",IF(T$49="Y",Jun!M53,IF((H53+K53+L53)&gt;0,H53+K53+L53,"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IF(Employee!H$87=E$49,Employee!D$86+SUM(M53)+Jun!V53,SUM(M53)+Jun!V53)</f>
        <v>0</v>
      </c>
      <c r="W53" s="49">
        <f>IF(Employee!H$87=E$49,Employee!D$87+SUM(N53)+Jun!W53,SUM(N53)+Jun!W53)</f>
        <v>0</v>
      </c>
      <c r="X53" s="49">
        <f>IF(O53=" ",Jun!X53,O53+Jun!X53)</f>
        <v>0</v>
      </c>
      <c r="Y53" s="49">
        <f>IF(P53=" ",Jun!Y53,P53+Jun!Y53)</f>
        <v>0</v>
      </c>
      <c r="Z53" s="49">
        <f>IF(Q53=" ",Jun!Z53,Q53+Jun!Z53)</f>
        <v>0</v>
      </c>
      <c r="AA53" s="49">
        <f>IF(R53=" ",Jun!AA53,R53+Jun!AA53)</f>
        <v>0</v>
      </c>
      <c r="AC53" s="49">
        <f>IF(T53=" ",Jun!AC53,T53+Jun!AC53)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IF(T$49="Y",Jun!H54,0)</f>
        <v>0</v>
      </c>
      <c r="I54" s="92">
        <f>IF(T$49="Y",Jun!I54,0)</f>
        <v>0</v>
      </c>
      <c r="J54" s="92">
        <f>IF(T$49="Y",Jun!J54,0)</f>
        <v>0</v>
      </c>
      <c r="K54" s="92">
        <f>IF(T$49="Y",Jun!K54,I54*J54)</f>
        <v>0</v>
      </c>
      <c r="L54" s="92">
        <f>IF(T$49="Y",Jun!L54,0)</f>
        <v>0</v>
      </c>
      <c r="M54" s="100" t="str">
        <f>IF(E54=" "," ",IF(T$49="Y",Jun!M54,IF((H54+K54+L54)&gt;0,H54+K54+L54,"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IF(Employee!H$113=E$49,Employee!D$112+SUM(M54)+Jun!V54,SUM(M54)+Jun!V54)</f>
        <v>0</v>
      </c>
      <c r="W54" s="49">
        <f>IF(Employee!H$113=E$49,Employee!D$113+SUM(N54)+Jun!W54,SUM(N54)+Jun!W54)</f>
        <v>0</v>
      </c>
      <c r="X54" s="49">
        <f>IF(O54=" ",Jun!X54,O54+Jun!X54)</f>
        <v>0</v>
      </c>
      <c r="Y54" s="49">
        <f>IF(P54=" ",Jun!Y54,P54+Jun!Y54)</f>
        <v>0</v>
      </c>
      <c r="Z54" s="49">
        <f>IF(Q54=" ",Jun!Z54,Q54+Jun!Z54)</f>
        <v>0</v>
      </c>
      <c r="AA54" s="49">
        <f>IF(R54=" ",Jun!AA54,R54+Jun!AA54)</f>
        <v>0</v>
      </c>
      <c r="AC54" s="49">
        <f>IF(T54=" ",Jun!AC54,T54+Jun!AC54)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IF(T$49="Y",Jun!H55,0)</f>
        <v>0</v>
      </c>
      <c r="I55" s="92">
        <f>IF(T$49="Y",Jun!I55,0)</f>
        <v>0</v>
      </c>
      <c r="J55" s="92">
        <f>IF(T$49="Y",Jun!J55,0)</f>
        <v>0</v>
      </c>
      <c r="K55" s="92">
        <f>IF(T$49="Y",Jun!K55,I55*J55)</f>
        <v>0</v>
      </c>
      <c r="L55" s="92">
        <f>IF(T$49="Y",Jun!L55,0)</f>
        <v>0</v>
      </c>
      <c r="M55" s="100" t="str">
        <f>IF(E55=" "," ",IF(T$49="Y",Jun!M55,IF((H55+K55+L55)&gt;0,H55+K55+L55,"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IF(Employee!H$139=E$49,Employee!D$138+SUM(M55)+Jun!V55,SUM(M55)+Jun!V55)</f>
        <v>0</v>
      </c>
      <c r="W55" s="49">
        <f>IF(Employee!H$139=E$49,Employee!D$139+SUM(N55)+Jun!W55,SUM(N55)+Jun!W55)</f>
        <v>0</v>
      </c>
      <c r="X55" s="49">
        <f>IF(O55=" ",Jun!X55,O55+Jun!X55)</f>
        <v>0</v>
      </c>
      <c r="Y55" s="49">
        <f>IF(P55=" ",Jun!Y55,P55+Jun!Y55)</f>
        <v>0</v>
      </c>
      <c r="Z55" s="49">
        <f>IF(Q55=" ",Jun!Z55,Q55+Jun!Z55)</f>
        <v>0</v>
      </c>
      <c r="AA55" s="49">
        <f>IF(R55=" ",Jun!AA55,R55+Jun!AA55)</f>
        <v>0</v>
      </c>
      <c r="AC55" s="49">
        <f>IF(T55=" ",Jun!AC55,T55+Jun!AC55)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AD60+Jun!AD65</f>
        <v>0</v>
      </c>
      <c r="AE65" s="158">
        <f>AE60+Jun!AE65</f>
        <v>0</v>
      </c>
      <c r="AF65" s="158">
        <f>AF60+Jun!AF65</f>
        <v>0</v>
      </c>
      <c r="AG65" s="158">
        <f>AG60+Jun!AG65</f>
        <v>0</v>
      </c>
    </row>
    <row r="66" spans="6:33" ht="14" thickTop="1" x14ac:dyDescent="0.15"/>
    <row r="67" spans="6:33" x14ac:dyDescent="0.15">
      <c r="AD67" s="162"/>
      <c r="AE67" s="158">
        <f>AE62+Jun!AE67</f>
        <v>0</v>
      </c>
      <c r="AF67" s="158">
        <f>AF62+Jun!AF67</f>
        <v>0</v>
      </c>
      <c r="AG67" s="158">
        <f>AG62+Jun!AG67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Jul!M39+1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110">
        <f>IF(T$9="Y",Jul!L41,0)</f>
        <v>0</v>
      </c>
      <c r="M11" s="110" t="str">
        <f>IF(E11=" "," ",IF(T$9="Y",Jul!M41,IF((H11+K11+L11)&gt;0,H11+K11+L11,"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111">
        <f>IF(T$9="Y",Jul!L42,0)</f>
        <v>0</v>
      </c>
      <c r="M12" s="111" t="str">
        <f>IF(E12=" "," ",IF(T$9="Y",Jul!M42,IF((H12+K12+L12)&gt;0,H12+K12+L12,"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111">
        <f>IF(T$9="Y",Jul!L43,0)</f>
        <v>0</v>
      </c>
      <c r="M13" s="111" t="str">
        <f>IF(E13=" "," ",IF(T$9="Y",Jul!M43,IF((H13+K13+L13)&gt;0,H13+K13+L13,"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111">
        <f>IF(T$9="Y",Jul!L44,0)</f>
        <v>0</v>
      </c>
      <c r="M14" s="111" t="str">
        <f>IF(E14=" "," ",IF(T$9="Y",Jul!M44,IF((H14+K14+L14)&gt;0,H14+K14+L14,"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6">
        <f>IF(T$9="Y",Jul!L45,0)</f>
        <v>0</v>
      </c>
      <c r="M15" s="111" t="str">
        <f>IF(E15=" "," ",IF(T$9="Y",Jul!M45,IF((H15+K15+L15)&gt;0,H15+K15+L15,"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IF(T$59="Y",Jul!H51,0)</f>
        <v>0</v>
      </c>
      <c r="I61" s="89">
        <f>IF(T$59="Y",Jul!I51,0)</f>
        <v>0</v>
      </c>
      <c r="J61" s="89">
        <f>IF(T$59="Y",Jul!J51,0)</f>
        <v>0</v>
      </c>
      <c r="K61" s="89">
        <f>IF(T$59="Y",Jul!K51,I61*J61)</f>
        <v>0</v>
      </c>
      <c r="L61" s="110">
        <f>IF(T$59="Y",Jul!L51,0)</f>
        <v>0</v>
      </c>
      <c r="M61" s="99" t="str">
        <f>IF(E61=" "," ",IF(T$59="Y",Jul!M51,IF((H61+K61+L61)&gt;0,H61+K61+L61,"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IF(Employee!H$35=E$59,Employee!D$34+SUM(M61)+Jul!V51,SUM(M61)+Jul!V51)</f>
        <v>0</v>
      </c>
      <c r="W61" s="49">
        <f>IF(Employee!H$35=E$59,Employee!D$35+SUM(N61)+Jul!W51,SUM(N61)+Jul!W51)</f>
        <v>0</v>
      </c>
      <c r="X61" s="49">
        <f>IF(O61=" ",Jul!X51,O61+Jul!X51)</f>
        <v>0</v>
      </c>
      <c r="Y61" s="49">
        <f>IF(P61=" ",Jul!Y51,P61+Jul!Y51)</f>
        <v>0</v>
      </c>
      <c r="Z61" s="49">
        <f>IF(Q61=" ",Jul!Z51,Q61+Jul!Z51)</f>
        <v>0</v>
      </c>
      <c r="AA61" s="49">
        <f>IF(R61=" ",Jul!AA51,R61+Jul!AA51)</f>
        <v>0</v>
      </c>
      <c r="AC61" s="49">
        <f>IF(T61=" ",Jul!AC51,T61+Jul!AC51)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IF(T$59="Y",Jul!H52,0)</f>
        <v>0</v>
      </c>
      <c r="I62" s="92">
        <f>IF(T$59="Y",Jul!I52,0)</f>
        <v>0</v>
      </c>
      <c r="J62" s="92">
        <f>IF(T$59="Y",Jul!J52,0)</f>
        <v>0</v>
      </c>
      <c r="K62" s="92">
        <f>IF(T$59="Y",Jul!K52,I62*J62)</f>
        <v>0</v>
      </c>
      <c r="L62" s="111">
        <f>IF(T$59="Y",Jul!L52,0)</f>
        <v>0</v>
      </c>
      <c r="M62" s="100" t="str">
        <f>IF(E62=" "," ",IF(T$59="Y",Jul!M52,IF((H62+K62+L62)&gt;0,H62+K62+L62,"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IF(Employee!H$61=E$59,Employee!D$60+SUM(M62)+Jul!V52,SUM(M62)+Jul!V52)</f>
        <v>0</v>
      </c>
      <c r="W62" s="49">
        <f>IF(Employee!H$61=E$59,Employee!D$61+SUM(N62)+Jul!W52,SUM(N62)+Jul!W52)</f>
        <v>0</v>
      </c>
      <c r="X62" s="49">
        <f>IF(O62=" ",Jul!X52,O62+Jul!X52)</f>
        <v>0</v>
      </c>
      <c r="Y62" s="49">
        <f>IF(P62=" ",Jul!Y52,P62+Jul!Y52)</f>
        <v>0</v>
      </c>
      <c r="Z62" s="49">
        <f>IF(Q62=" ",Jul!Z52,Q62+Jul!Z52)</f>
        <v>0</v>
      </c>
      <c r="AA62" s="49">
        <f>IF(R62=" ",Jul!AA52,R62+Jul!AA52)</f>
        <v>0</v>
      </c>
      <c r="AC62" s="49">
        <f>IF(T62=" ",Jul!AC52,T62+Jul!AC52)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IF(T$59="Y",Jul!H53,0)</f>
        <v>0</v>
      </c>
      <c r="I63" s="92">
        <f>IF(T$59="Y",Jul!I53,0)</f>
        <v>0</v>
      </c>
      <c r="J63" s="92">
        <f>IF(T$59="Y",Jul!J53,0)</f>
        <v>0</v>
      </c>
      <c r="K63" s="92">
        <f>IF(T$59="Y",Jul!K53,I63*J63)</f>
        <v>0</v>
      </c>
      <c r="L63" s="111">
        <f>IF(T$59="Y",Jul!L53,0)</f>
        <v>0</v>
      </c>
      <c r="M63" s="100" t="str">
        <f>IF(E63=" "," ",IF(T$59="Y",Jul!M53,IF((H63+K63+L63)&gt;0,H63+K63+L63,"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IF(Employee!H$87=E$59,Employee!D$86+SUM(M63)+Jul!V53,SUM(M63)+Jul!V53)</f>
        <v>0</v>
      </c>
      <c r="W63" s="49">
        <f>IF(Employee!H$87=E$59,Employee!D$87+SUM(N63)+Jul!W53,SUM(N63)+Jul!W53)</f>
        <v>0</v>
      </c>
      <c r="X63" s="49">
        <f>IF(O63=" ",Jul!X53,O63+Jul!X53)</f>
        <v>0</v>
      </c>
      <c r="Y63" s="49">
        <f>IF(P63=" ",Jul!Y53,P63+Jul!Y53)</f>
        <v>0</v>
      </c>
      <c r="Z63" s="49">
        <f>IF(Q63=" ",Jul!Z53,Q63+Jul!Z53)</f>
        <v>0</v>
      </c>
      <c r="AA63" s="49">
        <f>IF(R63=" ",Jul!AA53,R63+Jul!AA53)</f>
        <v>0</v>
      </c>
      <c r="AC63" s="49">
        <f>IF(T63=" ",Jul!AC53,T63+Jul!AC53)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IF(T$59="Y",Jul!H54,0)</f>
        <v>0</v>
      </c>
      <c r="I64" s="92">
        <f>IF(T$59="Y",Jul!I54,0)</f>
        <v>0</v>
      </c>
      <c r="J64" s="92">
        <f>IF(T$59="Y",Jul!J54,0)</f>
        <v>0</v>
      </c>
      <c r="K64" s="92">
        <f>IF(T$59="Y",Jul!K54,I64*J64)</f>
        <v>0</v>
      </c>
      <c r="L64" s="111">
        <f>IF(T$59="Y",Jul!L54,0)</f>
        <v>0</v>
      </c>
      <c r="M64" s="100" t="str">
        <f>IF(E64=" "," ",IF(T$59="Y",Jul!M54,IF((H64+K64+L64)&gt;0,H64+K64+L64,"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IF(Employee!H$113=E$59,Employee!D$112+SUM(M64)+Jul!V54,SUM(M64)+Jul!V54)</f>
        <v>0</v>
      </c>
      <c r="W64" s="49">
        <f>IF(Employee!H$113=E$59,Employee!D$113+SUM(N64)+Jul!W54,SUM(N64)+Jul!W54)</f>
        <v>0</v>
      </c>
      <c r="X64" s="49">
        <f>IF(O64=" ",Jul!X54,O64+Jul!X54)</f>
        <v>0</v>
      </c>
      <c r="Y64" s="49">
        <f>IF(P64=" ",Jul!Y54,P64+Jul!Y54)</f>
        <v>0</v>
      </c>
      <c r="Z64" s="49">
        <f>IF(Q64=" ",Jul!Z54,Q64+Jul!Z54)</f>
        <v>0</v>
      </c>
      <c r="AA64" s="49">
        <f>IF(R64=" ",Jul!AA54,R64+Jul!AA54)</f>
        <v>0</v>
      </c>
      <c r="AC64" s="49">
        <f>IF(T64=" ",Jul!AC54,T64+Jul!AC54)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IF(T$59="Y",Jul!H55,0)</f>
        <v>0</v>
      </c>
      <c r="I65" s="245">
        <f>IF(T$59="Y",Jul!I55,0)</f>
        <v>0</v>
      </c>
      <c r="J65" s="245">
        <f>IF(T$59="Y",Jul!J55,0)</f>
        <v>0</v>
      </c>
      <c r="K65" s="245">
        <f>IF(T$59="Y",Jul!K55,I65*J65)</f>
        <v>0</v>
      </c>
      <c r="L65" s="246">
        <f>IF(T$59="Y",Jul!L55,0)</f>
        <v>0</v>
      </c>
      <c r="M65" s="100" t="str">
        <f>IF(E65=" "," ",IF(T$59="Y",Jul!M55,IF((H65+K65+L65)&gt;0,H65+K65+L65,"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IF(Employee!H$139=E$59,Employee!D$138+SUM(M65)+Jul!V55,SUM(M65)+Jul!V55)</f>
        <v>0</v>
      </c>
      <c r="W65" s="49">
        <f>IF(Employee!H$139=E$59,Employee!D$139+SUM(N65)+Jul!W55,SUM(N65)+Jul!W55)</f>
        <v>0</v>
      </c>
      <c r="X65" s="49">
        <f>IF(O65=" ",Jul!X55,O65+Jul!X55)</f>
        <v>0</v>
      </c>
      <c r="Y65" s="49">
        <f>IF(P65=" ",Jul!Y55,P65+Jul!Y55)</f>
        <v>0</v>
      </c>
      <c r="Z65" s="49">
        <f>IF(Q65=" ",Jul!Z55,Q65+Jul!Z55)</f>
        <v>0</v>
      </c>
      <c r="AA65" s="49">
        <f>IF(R65=" ",Jul!AA55,R65+Jul!AA55)</f>
        <v>0</v>
      </c>
      <c r="AC65" s="49">
        <f>IF(T65=" ",Jul!AC55,T65+Jul!AC55)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AD70+Jul!AD65</f>
        <v>0</v>
      </c>
      <c r="AE75" s="158">
        <f>AE70+Jul!AE65</f>
        <v>0</v>
      </c>
      <c r="AF75" s="158">
        <f>AF70+Jul!AF65</f>
        <v>0</v>
      </c>
      <c r="AG75" s="158">
        <f>AG70+Jul!AG65</f>
        <v>0</v>
      </c>
    </row>
    <row r="76" spans="1:34" ht="14" thickTop="1" x14ac:dyDescent="0.15"/>
    <row r="77" spans="1:34" x14ac:dyDescent="0.15">
      <c r="AD77" s="162"/>
      <c r="AE77" s="158">
        <f>AE72+Jul!AE67</f>
        <v>0</v>
      </c>
      <c r="AF77" s="158">
        <f>AF72+Jul!AF67</f>
        <v>0</v>
      </c>
      <c r="AG77" s="158">
        <f>AG72+Jul!AG67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IF(T$9="Y",Aug!H51,0)</f>
        <v>0</v>
      </c>
      <c r="I11" s="89">
        <f>IF(T$9="Y",Aug!I51,0)</f>
        <v>0</v>
      </c>
      <c r="J11" s="89">
        <f>IF(T$9="Y",Aug!J51,0)</f>
        <v>0</v>
      </c>
      <c r="K11" s="89">
        <f>IF(T$9="Y",Aug!K51,I11*J11)</f>
        <v>0</v>
      </c>
      <c r="L11" s="110">
        <f>IF(T$9="Y",Aug!L51,0)</f>
        <v>0</v>
      </c>
      <c r="M11" s="99" t="str">
        <f>IF(E11=" "," ",IF(T$9="Y",Aug!M51,IF((H11+K11+L11)&gt;0,H11+K11+L11,"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IF(Employee!H$34=E$9,Employee!D$34+SUM(M11)+Aug!V51,SUM(M11)+Aug!V51)</f>
        <v>0</v>
      </c>
      <c r="W11" s="49">
        <f>IF(Employee!H$34=E$9,Employee!D$35+SUM(N11)+Aug!W51,SUM(N11)+Aug!W51)</f>
        <v>0</v>
      </c>
      <c r="X11" s="49">
        <f>IF(O11=" ",Aug!X51,O11+Aug!X51)</f>
        <v>0</v>
      </c>
      <c r="Y11" s="49">
        <f>IF(P11=" ",Aug!Y51,P11+Aug!Y51)</f>
        <v>0</v>
      </c>
      <c r="Z11" s="49">
        <f>IF(Q11=" ",Aug!Z51,Q11+Aug!Z51)</f>
        <v>0</v>
      </c>
      <c r="AA11" s="49">
        <f>IF(R11=" ",Aug!AA51,R11+Aug!AA51)</f>
        <v>0</v>
      </c>
      <c r="AC11" s="49">
        <f>IF(T11=" ",Aug!AC51,T11+Aug!AC51)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IF(T$9="Y",Aug!H52,0)</f>
        <v>0</v>
      </c>
      <c r="I12" s="92">
        <f>IF(T$9="Y",Aug!I52,0)</f>
        <v>0</v>
      </c>
      <c r="J12" s="92">
        <f>IF(T$9="Y",Aug!J52,0)</f>
        <v>0</v>
      </c>
      <c r="K12" s="92">
        <f>IF(T$9="Y",Aug!K52,I12*J12)</f>
        <v>0</v>
      </c>
      <c r="L12" s="111">
        <f>IF(T$9="Y",Aug!L52,0)</f>
        <v>0</v>
      </c>
      <c r="M12" s="100" t="str">
        <f>IF(E12=" "," ",IF(T$9="Y",Aug!M52,IF((H12+K12+L12)&gt;0,H12+K12+L12,"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IF(Employee!H$60=E$9,Employee!D$60+SUM(M12)+Aug!V52,SUM(M12)+Aug!V52)</f>
        <v>0</v>
      </c>
      <c r="W12" s="49">
        <f>IF(Employee!H$60=E$9,Employee!D$61+SUM(N12)+Aug!W52,SUM(N12)+Aug!W52)</f>
        <v>0</v>
      </c>
      <c r="X12" s="49">
        <f>IF(O12=" ",Aug!X52,O12+Aug!X52)</f>
        <v>0</v>
      </c>
      <c r="Y12" s="49">
        <f>IF(P12=" ",Aug!Y52,P12+Aug!Y52)</f>
        <v>0</v>
      </c>
      <c r="Z12" s="49">
        <f>IF(Q12=" ",Aug!Z52,Q12+Aug!Z52)</f>
        <v>0</v>
      </c>
      <c r="AA12" s="49">
        <f>IF(R12=" ",Aug!AA52,R12+Aug!AA52)</f>
        <v>0</v>
      </c>
      <c r="AC12" s="49">
        <f>IF(T12=" ",Aug!AC52,T12+Aug!AC52)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IF(T$9="Y",Aug!H53,0)</f>
        <v>0</v>
      </c>
      <c r="I13" s="92">
        <f>IF(T$9="Y",Aug!I53,0)</f>
        <v>0</v>
      </c>
      <c r="J13" s="92">
        <f>IF(T$9="Y",Aug!J53,0)</f>
        <v>0</v>
      </c>
      <c r="K13" s="92">
        <f>IF(T$9="Y",Aug!K53,I13*J13)</f>
        <v>0</v>
      </c>
      <c r="L13" s="111">
        <f>IF(T$9="Y",Aug!L53,0)</f>
        <v>0</v>
      </c>
      <c r="M13" s="100" t="str">
        <f>IF(E13=" "," ",IF(T$9="Y",Aug!M53,IF((H13+K13+L13)&gt;0,H13+K13+L13,"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IF(Employee!H$86=E$9,Employee!D$86+SUM(M13)+Aug!V53,SUM(M13)+Aug!V53)</f>
        <v>0</v>
      </c>
      <c r="W13" s="49">
        <f>IF(Employee!H$86=E$9,Employee!D$87+SUM(N13)+Aug!W53,SUM(N13)+Aug!W53)</f>
        <v>0</v>
      </c>
      <c r="X13" s="49">
        <f>IF(O13=" ",Aug!X53,O13+Aug!X53)</f>
        <v>0</v>
      </c>
      <c r="Y13" s="49">
        <f>IF(P13=" ",Aug!Y53,P13+Aug!Y53)</f>
        <v>0</v>
      </c>
      <c r="Z13" s="49">
        <f>IF(Q13=" ",Aug!Z53,Q13+Aug!Z53)</f>
        <v>0</v>
      </c>
      <c r="AA13" s="49">
        <f>IF(R13=" ",Aug!AA53,R13+Aug!AA53)</f>
        <v>0</v>
      </c>
      <c r="AC13" s="49">
        <f>IF(T13=" ",Aug!AC53,T13+Aug!AC53)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IF(T$9="Y",Aug!H54,0)</f>
        <v>0</v>
      </c>
      <c r="I14" s="92">
        <f>IF(T$9="Y",Aug!I54,0)</f>
        <v>0</v>
      </c>
      <c r="J14" s="92">
        <f>IF(T$9="Y",Aug!J54,0)</f>
        <v>0</v>
      </c>
      <c r="K14" s="92">
        <f>IF(T$9="Y",Aug!K54,I14*J14)</f>
        <v>0</v>
      </c>
      <c r="L14" s="111">
        <f>IF(T$9="Y",Aug!L54,0)</f>
        <v>0</v>
      </c>
      <c r="M14" s="100" t="str">
        <f>IF(E14=" "," ",IF(T$9="Y",Aug!M54,IF((H14+K14+L14)&gt;0,H14+K14+L14,"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IF(Employee!H$112=E$9,Employee!D$112+SUM(M14)+Aug!V54,SUM(M14)+Aug!V54)</f>
        <v>0</v>
      </c>
      <c r="W14" s="49">
        <f>IF(Employee!H$112=E$9,Employee!D$113+SUM(N14)+Aug!W54,SUM(N14)+Aug!W54)</f>
        <v>0</v>
      </c>
      <c r="X14" s="49">
        <f>IF(O14=" ",Aug!X54,O14+Aug!X54)</f>
        <v>0</v>
      </c>
      <c r="Y14" s="49">
        <f>IF(P14=" ",Aug!Y54,P14+Aug!Y54)</f>
        <v>0</v>
      </c>
      <c r="Z14" s="49">
        <f>IF(Q14=" ",Aug!Z54,Q14+Aug!Z54)</f>
        <v>0</v>
      </c>
      <c r="AA14" s="49">
        <f>IF(R14=" ",Aug!AA54,R14+Aug!AA54)</f>
        <v>0</v>
      </c>
      <c r="AC14" s="49">
        <f>IF(T14=" ",Aug!AC54,T14+Aug!AC54)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IF(T$9="Y",Aug!H55,0)</f>
        <v>0</v>
      </c>
      <c r="I15" s="245">
        <f>IF(T$9="Y",Aug!I55,0)</f>
        <v>0</v>
      </c>
      <c r="J15" s="245">
        <f>IF(T$9="Y",Aug!J55,0)</f>
        <v>0</v>
      </c>
      <c r="K15" s="245">
        <f>IF(T$9="Y",Aug!K55,I15*J15)</f>
        <v>0</v>
      </c>
      <c r="L15" s="246">
        <f>IF(T$9="Y",Aug!L55,0)</f>
        <v>0</v>
      </c>
      <c r="M15" s="247" t="str">
        <f>IF(E15=" "," ",IF(T$9="Y",Aug!M55,IF((H15+K15+L15)&gt;0,H15+K15+L15,"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IF(Employee!H$138=E$9,Employee!D$138+SUM(M15)+Aug!V55,SUM(M15)+Aug!V55)</f>
        <v>0</v>
      </c>
      <c r="W15" s="49">
        <f>IF(Employee!H$138=E$9,Employee!D$139+SUM(N15)+Aug!W55,SUM(N15)+Aug!W55)</f>
        <v>0</v>
      </c>
      <c r="X15" s="49">
        <f>IF(O15=" ",Aug!X55,O15+Aug!X55)</f>
        <v>0</v>
      </c>
      <c r="Y15" s="49">
        <f>IF(P15=" ",Aug!Y55,P15+Aug!Y55)</f>
        <v>0</v>
      </c>
      <c r="Z15" s="49">
        <f>IF(Q15=" ",Aug!Z55,Q15+Aug!Z55)</f>
        <v>0</v>
      </c>
      <c r="AA15" s="49">
        <f>IF(R15=" ",Aug!AA55,R15+Aug!AA55)</f>
        <v>0</v>
      </c>
      <c r="AC15" s="49">
        <f>IF(T15=" ",Aug!AC55,T15+Aug!AC55)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IF(T$49="Y",Aug!H61,0)</f>
        <v>0</v>
      </c>
      <c r="I51" s="89">
        <f>IF(T$49="Y",Aug!I61,0)</f>
        <v>0</v>
      </c>
      <c r="J51" s="89">
        <f>IF(T$49="Y",Aug!J61,0)</f>
        <v>0</v>
      </c>
      <c r="K51" s="89">
        <f>IF(T$49="Y",Aug!K61,I51*J51)</f>
        <v>0</v>
      </c>
      <c r="L51" s="110">
        <f>IF(T$49="Y",Aug!L61,0)</f>
        <v>0</v>
      </c>
      <c r="M51" s="99" t="str">
        <f>IF(E51=" "," ",IF(T$49="Y",Aug!M61,IF((H51+K51+L51)&gt;0,H51+K51+L51,"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IF(Employee!H$35=E$49,Employee!D$34+SUM(M51)+Aug!V61,SUM(M51)+Aug!V61)</f>
        <v>0</v>
      </c>
      <c r="W51" s="49">
        <f>IF(Employee!H$35=E$49,Employee!D$35+SUM(N51)+Aug!W61,SUM(N51)+Aug!W61)</f>
        <v>0</v>
      </c>
      <c r="X51" s="49">
        <f>IF(O51=" ",Aug!X61,O51+Aug!X61)</f>
        <v>0</v>
      </c>
      <c r="Y51" s="49">
        <f>IF(P51=" ",Aug!Y61,P51+Aug!Y61)</f>
        <v>0</v>
      </c>
      <c r="Z51" s="49">
        <f>IF(Q51=" ",Aug!Z61,Q51+Aug!Z61)</f>
        <v>0</v>
      </c>
      <c r="AA51" s="49">
        <f>IF(R51=" ",Aug!AA61,R51+Aug!AA61)</f>
        <v>0</v>
      </c>
      <c r="AC51" s="49">
        <f>IF(T51=" ",Aug!AC61,T51+Aug!AC61)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IF(T$49="Y",Aug!H62,0)</f>
        <v>0</v>
      </c>
      <c r="I52" s="92">
        <f>IF(T$49="Y",Aug!I62,0)</f>
        <v>0</v>
      </c>
      <c r="J52" s="92">
        <f>IF(T$49="Y",Aug!J62,0)</f>
        <v>0</v>
      </c>
      <c r="K52" s="92">
        <f>IF(T$49="Y",Aug!K62,I52*J52)</f>
        <v>0</v>
      </c>
      <c r="L52" s="111">
        <f>IF(T$49="Y",Aug!L62,0)</f>
        <v>0</v>
      </c>
      <c r="M52" s="100" t="str">
        <f>IF(E52=" "," ",IF(T$49="Y",Aug!M62,IF((H52+K52+L52)&gt;0,H52+K52+L52,"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IF(Employee!H$61=E$49,Employee!D$60+SUM(M52)+Aug!V62,SUM(M52)+Aug!V62)</f>
        <v>0</v>
      </c>
      <c r="W52" s="49">
        <f>IF(Employee!H$61=E$49,Employee!D$61+SUM(N52)+Aug!W62,SUM(N52)+Aug!W62)</f>
        <v>0</v>
      </c>
      <c r="X52" s="49">
        <f>IF(O52=" ",Aug!X62,O52+Aug!X62)</f>
        <v>0</v>
      </c>
      <c r="Y52" s="49">
        <f>IF(P52=" ",Aug!Y62,P52+Aug!Y62)</f>
        <v>0</v>
      </c>
      <c r="Z52" s="49">
        <f>IF(Q52=" ",Aug!Z62,Q52+Aug!Z62)</f>
        <v>0</v>
      </c>
      <c r="AA52" s="49">
        <f>IF(R52=" ",Aug!AA62,R52+Aug!AA62)</f>
        <v>0</v>
      </c>
      <c r="AC52" s="49">
        <f>IF(T52=" ",Aug!AC62,T52+Aug!AC62)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IF(T$49="Y",Aug!H63,0)</f>
        <v>0</v>
      </c>
      <c r="I53" s="92">
        <f>IF(T$49="Y",Aug!I63,0)</f>
        <v>0</v>
      </c>
      <c r="J53" s="92">
        <f>IF(T$49="Y",Aug!J63,0)</f>
        <v>0</v>
      </c>
      <c r="K53" s="92">
        <f>IF(T$49="Y",Aug!K63,I53*J53)</f>
        <v>0</v>
      </c>
      <c r="L53" s="111">
        <f>IF(T$49="Y",Aug!L63,0)</f>
        <v>0</v>
      </c>
      <c r="M53" s="100" t="str">
        <f>IF(E53=" "," ",IF(T$49="Y",Aug!M63,IF((H53+K53+L53)&gt;0,H53+K53+L53,"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IF(Employee!H$87=E$49,Employee!D$86+SUM(M53)+Aug!V63,SUM(M53)+Aug!V63)</f>
        <v>0</v>
      </c>
      <c r="W53" s="49">
        <f>IF(Employee!H$87=E$49,Employee!D$87+SUM(N53)+Aug!W63,SUM(N53)+Aug!W63)</f>
        <v>0</v>
      </c>
      <c r="X53" s="49">
        <f>IF(O53=" ",Aug!X63,O53+Aug!X63)</f>
        <v>0</v>
      </c>
      <c r="Y53" s="49">
        <f>IF(P53=" ",Aug!Y63,P53+Aug!Y63)</f>
        <v>0</v>
      </c>
      <c r="Z53" s="49">
        <f>IF(Q53=" ",Aug!Z63,Q53+Aug!Z63)</f>
        <v>0</v>
      </c>
      <c r="AA53" s="49">
        <f>IF(R53=" ",Aug!AA63,R53+Aug!AA63)</f>
        <v>0</v>
      </c>
      <c r="AC53" s="49">
        <f>IF(T53=" ",Aug!AC63,T53+Aug!AC63)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IF(T$49="Y",Aug!H64,0)</f>
        <v>0</v>
      </c>
      <c r="I54" s="92">
        <f>IF(T$49="Y",Aug!I64,0)</f>
        <v>0</v>
      </c>
      <c r="J54" s="92">
        <f>IF(T$49="Y",Aug!J64,0)</f>
        <v>0</v>
      </c>
      <c r="K54" s="92">
        <f>IF(T$49="Y",Aug!K64,I54*J54)</f>
        <v>0</v>
      </c>
      <c r="L54" s="111">
        <f>IF(T$49="Y",Aug!L64,0)</f>
        <v>0</v>
      </c>
      <c r="M54" s="100" t="str">
        <f>IF(E54=" "," ",IF(T$49="Y",Aug!M64,IF((H54+K54+L54)&gt;0,H54+K54+L54,"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IF(Employee!H$113=E$49,Employee!D$112+SUM(M54)+Aug!V64,SUM(M54)+Aug!V64)</f>
        <v>0</v>
      </c>
      <c r="W54" s="49">
        <f>IF(Employee!H$113=E$49,Employee!D$113+SUM(N54)+Aug!W64,SUM(N54)+Aug!W64)</f>
        <v>0</v>
      </c>
      <c r="X54" s="49">
        <f>IF(O54=" ",Aug!X64,O54+Aug!X64)</f>
        <v>0</v>
      </c>
      <c r="Y54" s="49">
        <f>IF(P54=" ",Aug!Y64,P54+Aug!Y64)</f>
        <v>0</v>
      </c>
      <c r="Z54" s="49">
        <f>IF(Q54=" ",Aug!Z64,Q54+Aug!Z64)</f>
        <v>0</v>
      </c>
      <c r="AA54" s="49">
        <f>IF(R54=" ",Aug!AA64,R54+Aug!AA64)</f>
        <v>0</v>
      </c>
      <c r="AC54" s="49">
        <f>IF(T54=" ",Aug!AC64,T54+Aug!AC64)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IF(T$49="Y",Aug!H65,0)</f>
        <v>0</v>
      </c>
      <c r="I55" s="245">
        <f>IF(T$49="Y",Aug!I65,0)</f>
        <v>0</v>
      </c>
      <c r="J55" s="245">
        <f>IF(T$49="Y",Aug!J65,0)</f>
        <v>0</v>
      </c>
      <c r="K55" s="245">
        <f>IF(T$49="Y",Aug!K65,I55*J55)</f>
        <v>0</v>
      </c>
      <c r="L55" s="246">
        <f>IF(T$49="Y",Aug!L65,0)</f>
        <v>0</v>
      </c>
      <c r="M55" s="100" t="str">
        <f>IF(E55=" "," ",IF(T$49="Y",Aug!M65,IF((H55+K55+L55)&gt;0,H55+K55+L55,"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IF(Employee!H$139=E$49,Employee!D$138+SUM(M55)+Aug!V65,SUM(M55)+Aug!V65)</f>
        <v>0</v>
      </c>
      <c r="W55" s="49">
        <f>IF(Employee!H$139=E$49,Employee!D$139+SUM(N55)+Aug!W65,SUM(N55)+Aug!W65)</f>
        <v>0</v>
      </c>
      <c r="X55" s="49">
        <f>IF(O55=" ",Aug!X65,O55+Aug!X65)</f>
        <v>0</v>
      </c>
      <c r="Y55" s="49">
        <f>IF(P55=" ",Aug!Y65,P55+Aug!Y65)</f>
        <v>0</v>
      </c>
      <c r="Z55" s="49">
        <f>IF(Q55=" ",Aug!Z65,Q55+Aug!Z65)</f>
        <v>0</v>
      </c>
      <c r="AA55" s="49">
        <f>IF(R55=" ",Aug!AA65,R55+Aug!AA65)</f>
        <v>0</v>
      </c>
      <c r="AC55" s="49">
        <f>IF(T55=" ",Aug!AC65,T55+Aug!AC65)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AD60+Aug!AD75</f>
        <v>0</v>
      </c>
      <c r="AE65" s="158">
        <f>AE60+Aug!AE75</f>
        <v>0</v>
      </c>
      <c r="AF65" s="158">
        <f>AF60+Aug!AF75</f>
        <v>0</v>
      </c>
      <c r="AG65" s="158">
        <f>AG60+Aug!AG75</f>
        <v>0</v>
      </c>
    </row>
    <row r="66" spans="6:33" ht="14" thickTop="1" x14ac:dyDescent="0.15"/>
    <row r="67" spans="6:33" x14ac:dyDescent="0.15">
      <c r="AD67" s="162"/>
      <c r="AE67" s="158">
        <f>AE62+Aug!AE77</f>
        <v>0</v>
      </c>
      <c r="AF67" s="158">
        <f>AF62+Aug!AF77</f>
        <v>0</v>
      </c>
      <c r="AG67" s="158">
        <f>AG62+Aug!AG77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110">
        <f>IF(T$9="Y",Sep!L41,0)</f>
        <v>0</v>
      </c>
      <c r="M11" s="99" t="str">
        <f>IF(E11=" "," ",IF(T$9="Y",Sep!M41,IF((H11+K11+L11)&gt;0,H11+K11+L11,"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111">
        <f>IF(T$9="Y",Sep!L42,0)</f>
        <v>0</v>
      </c>
      <c r="M12" s="100" t="str">
        <f>IF(E12=" "," ",IF(T$9="Y",Sep!M42,IF((H12+K12+L12)&gt;0,H12+K12+L12,"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111">
        <f>IF(T$9="Y",Sep!L43,0)</f>
        <v>0</v>
      </c>
      <c r="M13" s="100" t="str">
        <f>IF(E13=" "," ",IF(T$9="Y",Sep!M43,IF((H13+K13+L13)&gt;0,H13+K13+L13,"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111">
        <f>IF(T$9="Y",Sep!L44,0)</f>
        <v>0</v>
      </c>
      <c r="M14" s="100" t="str">
        <f>IF(E14=" "," ",IF(T$9="Y",Sep!M44,IF((H14+K14+L14)&gt;0,H14+K14+L14,"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6">
        <f>IF(T$9="Y",Sep!L45,0)</f>
        <v>0</v>
      </c>
      <c r="M15" s="247" t="str">
        <f>IF(E15=" "," ",IF(T$9="Y",Sep!M45,IF((H15+K15+L15)&gt;0,H15+K15+L15,"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IF(T$49="Y",Sep!H51,0)</f>
        <v>0</v>
      </c>
      <c r="I51" s="89">
        <f>IF(T$49="Y",Sep!I51,0)</f>
        <v>0</v>
      </c>
      <c r="J51" s="89">
        <f>IF(T$49="Y",Sep!J51,0)</f>
        <v>0</v>
      </c>
      <c r="K51" s="89">
        <f>IF(T$49="Y",Sep!K51,I51*J51)</f>
        <v>0</v>
      </c>
      <c r="L51" s="110">
        <f>IF(T$49="Y",Sep!L51,0)</f>
        <v>0</v>
      </c>
      <c r="M51" s="99" t="str">
        <f>IF(E51=" "," ",IF(T$49="Y",Sep!M51,IF((H51+K51+L51)&gt;0,H51+K51+L51,"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IF(Employee!H$35=E$49,Employee!D$34+SUM(M51)+Sep!V51,SUM(M51)+Sep!V51)</f>
        <v>0</v>
      </c>
      <c r="W51" s="49">
        <f>IF(Employee!H$35=E$49,Employee!D$35+SUM(N51)+Sep!W51,SUM(N51)+Sep!W51)</f>
        <v>0</v>
      </c>
      <c r="X51" s="49">
        <f>IF(O51=" ",Sep!X51,O51+Sep!X51)</f>
        <v>0</v>
      </c>
      <c r="Y51" s="49">
        <f>IF(P51=" ",Sep!Y51,P51+Sep!Y51)</f>
        <v>0</v>
      </c>
      <c r="Z51" s="49">
        <f>IF(Q51=" ",Sep!Z51,Q51+Sep!Z51)</f>
        <v>0</v>
      </c>
      <c r="AA51" s="49">
        <f>IF(R51=" ",Sep!AA51,R51+Sep!AA51)</f>
        <v>0</v>
      </c>
      <c r="AC51" s="49">
        <f>IF(T51=" ",Sep!AC51,T51+Sep!AC51)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IF(T$49="Y",Sep!H52,0)</f>
        <v>0</v>
      </c>
      <c r="I52" s="92">
        <f>IF(T$49="Y",Sep!I52,0)</f>
        <v>0</v>
      </c>
      <c r="J52" s="92">
        <f>IF(T$49="Y",Sep!J52,0)</f>
        <v>0</v>
      </c>
      <c r="K52" s="92">
        <f>IF(T$49="Y",Sep!K52,I52*J52)</f>
        <v>0</v>
      </c>
      <c r="L52" s="111">
        <f>IF(T$49="Y",Sep!L52,0)</f>
        <v>0</v>
      </c>
      <c r="M52" s="100" t="str">
        <f>IF(E52=" "," ",IF(T$49="Y",Sep!M52,IF((H52+K52+L52)&gt;0,H52+K52+L52,"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IF(Employee!H$61=E$49,Employee!D$60+SUM(M52)+Sep!V52,SUM(M52)+Sep!V52)</f>
        <v>0</v>
      </c>
      <c r="W52" s="49">
        <f>IF(Employee!H$61=E$49,Employee!D$61+SUM(N52)+Sep!W52,SUM(N52)+Sep!W52)</f>
        <v>0</v>
      </c>
      <c r="X52" s="49">
        <f>IF(O52=" ",Sep!X52,O52+Sep!X52)</f>
        <v>0</v>
      </c>
      <c r="Y52" s="49">
        <f>IF(P52=" ",Sep!Y52,P52+Sep!Y52)</f>
        <v>0</v>
      </c>
      <c r="Z52" s="49">
        <f>IF(Q52=" ",Sep!Z52,Q52+Sep!Z52)</f>
        <v>0</v>
      </c>
      <c r="AA52" s="49">
        <f>IF(R52=" ",Sep!AA52,R52+Sep!AA52)</f>
        <v>0</v>
      </c>
      <c r="AC52" s="49">
        <f>IF(T52=" ",Sep!AC52,T52+Sep!AC52)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IF(T$49="Y",Sep!H53,0)</f>
        <v>0</v>
      </c>
      <c r="I53" s="92">
        <f>IF(T$49="Y",Sep!I53,0)</f>
        <v>0</v>
      </c>
      <c r="J53" s="92">
        <f>IF(T$49="Y",Sep!J53,0)</f>
        <v>0</v>
      </c>
      <c r="K53" s="92">
        <f>IF(T$49="Y",Sep!K53,I53*J53)</f>
        <v>0</v>
      </c>
      <c r="L53" s="111">
        <f>IF(T$49="Y",Sep!L53,0)</f>
        <v>0</v>
      </c>
      <c r="M53" s="100" t="str">
        <f>IF(E53=" "," ",IF(T$49="Y",Sep!M53,IF((H53+K53+L53)&gt;0,H53+K53+L53,"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IF(Employee!H$87=E$49,Employee!D$86+SUM(M53)+Sep!V53,SUM(M53)+Sep!V53)</f>
        <v>0</v>
      </c>
      <c r="W53" s="49">
        <f>IF(Employee!H$87=E$49,Employee!D$87+SUM(N53)+Sep!W53,SUM(N53)+Sep!W53)</f>
        <v>0</v>
      </c>
      <c r="X53" s="49">
        <f>IF(O53=" ",Sep!X53,O53+Sep!X53)</f>
        <v>0</v>
      </c>
      <c r="Y53" s="49">
        <f>IF(P53=" ",Sep!Y53,P53+Sep!Y53)</f>
        <v>0</v>
      </c>
      <c r="Z53" s="49">
        <f>IF(Q53=" ",Sep!Z53,Q53+Sep!Z53)</f>
        <v>0</v>
      </c>
      <c r="AA53" s="49">
        <f>IF(R53=" ",Sep!AA53,R53+Sep!AA53)</f>
        <v>0</v>
      </c>
      <c r="AC53" s="49">
        <f>IF(T53=" ",Sep!AC53,T53+Sep!AC53)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IF(T$49="Y",Sep!H54,0)</f>
        <v>0</v>
      </c>
      <c r="I54" s="92">
        <f>IF(T$49="Y",Sep!I54,0)</f>
        <v>0</v>
      </c>
      <c r="J54" s="92">
        <f>IF(T$49="Y",Sep!J54,0)</f>
        <v>0</v>
      </c>
      <c r="K54" s="92">
        <f>IF(T$49="Y",Sep!K54,I54*J54)</f>
        <v>0</v>
      </c>
      <c r="L54" s="111">
        <f>IF(T$49="Y",Sep!L54,0)</f>
        <v>0</v>
      </c>
      <c r="M54" s="100" t="str">
        <f>IF(E54=" "," ",IF(T$49="Y",Sep!M54,IF((H54+K54+L54)&gt;0,H54+K54+L54,"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IF(Employee!H$113=E$49,Employee!D$112+SUM(M54)+Sep!V54,SUM(M54)+Sep!V54)</f>
        <v>0</v>
      </c>
      <c r="W54" s="49">
        <f>IF(Employee!H$113=E$49,Employee!D$113+SUM(N54)+Sep!W54,SUM(N54)+Sep!W54)</f>
        <v>0</v>
      </c>
      <c r="X54" s="49">
        <f>IF(O54=" ",Sep!X54,O54+Sep!X54)</f>
        <v>0</v>
      </c>
      <c r="Y54" s="49">
        <f>IF(P54=" ",Sep!Y54,P54+Sep!Y54)</f>
        <v>0</v>
      </c>
      <c r="Z54" s="49">
        <f>IF(Q54=" ",Sep!Z54,Q54+Sep!Z54)</f>
        <v>0</v>
      </c>
      <c r="AA54" s="49">
        <f>IF(R54=" ",Sep!AA54,R54+Sep!AA54)</f>
        <v>0</v>
      </c>
      <c r="AC54" s="49">
        <f>IF(T54=" ",Sep!AC54,T54+Sep!AC54)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IF(T$49="Y",Sep!H55,0)</f>
        <v>0</v>
      </c>
      <c r="I55" s="245">
        <f>IF(T$49="Y",Sep!I55,0)</f>
        <v>0</v>
      </c>
      <c r="J55" s="245">
        <f>IF(T$49="Y",Sep!J55,0)</f>
        <v>0</v>
      </c>
      <c r="K55" s="245">
        <f>IF(T$49="Y",Sep!K55,I55*J55)</f>
        <v>0</v>
      </c>
      <c r="L55" s="246">
        <f>IF(T$49="Y",Sep!L55,0)</f>
        <v>0</v>
      </c>
      <c r="M55" s="100" t="str">
        <f>IF(E55=" "," ",IF(T$49="Y",Sep!M55,IF((H55+K55+L55)&gt;0,H55+K55+L55,"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IF(Employee!H$139=E$49,Employee!D$138+SUM(M55)+Sep!V55,SUM(M55)+Sep!V55)</f>
        <v>0</v>
      </c>
      <c r="W55" s="49">
        <f>IF(Employee!H$139=E$49,Employee!D$139+SUM(N55)+Sep!W55,SUM(N55)+Sep!W55)</f>
        <v>0</v>
      </c>
      <c r="X55" s="49">
        <f>IF(O55=" ",Sep!X55,O55+Sep!X55)</f>
        <v>0</v>
      </c>
      <c r="Y55" s="49">
        <f>IF(P55=" ",Sep!Y55,P55+Sep!Y55)</f>
        <v>0</v>
      </c>
      <c r="Z55" s="49">
        <f>IF(Q55=" ",Sep!Z55,Q55+Sep!Z55)</f>
        <v>0</v>
      </c>
      <c r="AA55" s="49">
        <f>IF(R55=" ",Sep!AA55,R55+Sep!AA55)</f>
        <v>0</v>
      </c>
      <c r="AC55" s="49">
        <f>IF(T55=" ",Sep!AC55,T55+Sep!AC55)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AD60+Sep!AD65</f>
        <v>0</v>
      </c>
      <c r="AE65" s="158">
        <f>AE60+Sep!AE65</f>
        <v>0</v>
      </c>
      <c r="AF65" s="158">
        <f>AF60+Sep!AF65</f>
        <v>0</v>
      </c>
      <c r="AG65" s="158">
        <f>AG60+Sep!AG65</f>
        <v>0</v>
      </c>
    </row>
    <row r="66" spans="6:33" ht="14" thickTop="1" x14ac:dyDescent="0.15"/>
    <row r="67" spans="6:33" x14ac:dyDescent="0.15">
      <c r="AD67" s="162"/>
      <c r="AE67" s="158">
        <f>AE62+Sep!AE67</f>
        <v>0</v>
      </c>
      <c r="AF67" s="158">
        <f>AF62+Sep!AF67</f>
        <v>0</v>
      </c>
      <c r="AG67" s="158">
        <f>AG62+Sep!AG67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Oct!M39+1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110" t="str">
        <f>IF(E11=" "," ",IF(T$9="Y",Oct!M41,IF((H11+K11+L11)&gt;0,H11+K11+L11,"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11" t="str">
        <f>IF(E12=" "," ",IF(T$9="Y",Oct!M42,IF((H12+K12+L12)&gt;0,H12+K12+L12,"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11" t="str">
        <f>IF(E13=" "," ",IF(T$9="Y",Oct!M43,IF((H13+K13+L13)&gt;0,H13+K13+L13,"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11" t="str">
        <f>IF(E14=" "," ",IF(T$9="Y",Oct!M44,IF((H14+K14+L14)&gt;0,H14+K14+L14,"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111" t="str">
        <f>IF(E15=" "," ",IF(T$9="Y",Oct!M45,IF((H15+K15+L15)&gt;0,H15+K15+L15,"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IF(T$59="Y",Oct!H51,0)</f>
        <v>0</v>
      </c>
      <c r="I61" s="89">
        <f>IF(T$59="Y",Oct!I51,0)</f>
        <v>0</v>
      </c>
      <c r="J61" s="89">
        <f>IF(T$59="Y",Oct!J51,0)</f>
        <v>0</v>
      </c>
      <c r="K61" s="89">
        <f>IF(T$59="Y",Oct!K51,I61*J61)</f>
        <v>0</v>
      </c>
      <c r="L61" s="110">
        <f>IF(T$59="Y",Oct!L51,0)</f>
        <v>0</v>
      </c>
      <c r="M61" s="99" t="str">
        <f>IF(E61=" "," ",IF(T$59="Y",Oct!M51,IF((H61+K61+L61)&gt;0,H61+K61+L61,"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IF(Employee!H$35=E$59,Employee!D$34+SUM(M61)+Oct!V51,SUM(M61)+Oct!V51)</f>
        <v>0</v>
      </c>
      <c r="W61" s="49">
        <f>IF(Employee!H$35=E$59,Employee!D$35+SUM(N61)+Oct!W51,SUM(N61)+Oct!W51)</f>
        <v>0</v>
      </c>
      <c r="X61" s="49">
        <f>IF(O61=" ",Oct!X51,O61+Oct!X51)</f>
        <v>0</v>
      </c>
      <c r="Y61" s="49">
        <f>IF(P61=" ",Oct!Y51,P61+Oct!Y51)</f>
        <v>0</v>
      </c>
      <c r="Z61" s="49">
        <f>IF(Q61=" ",Oct!Z51,Q61+Oct!Z51)</f>
        <v>0</v>
      </c>
      <c r="AA61" s="49">
        <f>IF(R61=" ",Oct!AA51,R61+Oct!AA51)</f>
        <v>0</v>
      </c>
      <c r="AC61" s="49">
        <f>IF(T61=" ",Oct!AC51,T61+Oct!AC51)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IF(T$59="Y",Oct!H52,0)</f>
        <v>0</v>
      </c>
      <c r="I62" s="92">
        <f>IF(T$59="Y",Oct!I52,0)</f>
        <v>0</v>
      </c>
      <c r="J62" s="92">
        <f>IF(T$59="Y",Oct!J52,0)</f>
        <v>0</v>
      </c>
      <c r="K62" s="92">
        <f>IF(T$59="Y",Oct!K52,I62*J62)</f>
        <v>0</v>
      </c>
      <c r="L62" s="111">
        <f>IF(T$59="Y",Oct!L52,0)</f>
        <v>0</v>
      </c>
      <c r="M62" s="100" t="str">
        <f>IF(E62=" "," ",IF(T$59="Y",Oct!M52,IF((H62+K62+L62)&gt;0,H62+K62+L62,"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IF(Employee!H$61=E$59,Employee!D$60+SUM(M62)+Oct!V52,SUM(M62)+Oct!V52)</f>
        <v>0</v>
      </c>
      <c r="W62" s="49">
        <f>IF(Employee!H$61=E$59,Employee!D$61+SUM(N62)+Oct!W52,SUM(N62)+Oct!W52)</f>
        <v>0</v>
      </c>
      <c r="X62" s="49">
        <f>IF(O62=" ",Oct!X52,O62+Oct!X52)</f>
        <v>0</v>
      </c>
      <c r="Y62" s="49">
        <f>IF(P62=" ",Oct!Y52,P62+Oct!Y52)</f>
        <v>0</v>
      </c>
      <c r="Z62" s="49">
        <f>IF(Q62=" ",Oct!Z52,Q62+Oct!Z52)</f>
        <v>0</v>
      </c>
      <c r="AA62" s="49">
        <f>IF(R62=" ",Oct!AA52,R62+Oct!AA52)</f>
        <v>0</v>
      </c>
      <c r="AC62" s="49">
        <f>IF(T62=" ",Oct!AC52,T62+Oct!AC52)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IF(T$59="Y",Oct!H53,0)</f>
        <v>0</v>
      </c>
      <c r="I63" s="92">
        <f>IF(T$59="Y",Oct!I53,0)</f>
        <v>0</v>
      </c>
      <c r="J63" s="92">
        <f>IF(T$59="Y",Oct!J53,0)</f>
        <v>0</v>
      </c>
      <c r="K63" s="92">
        <f>IF(T$59="Y",Oct!K53,I63*J63)</f>
        <v>0</v>
      </c>
      <c r="L63" s="111">
        <f>IF(T$59="Y",Oct!L53,0)</f>
        <v>0</v>
      </c>
      <c r="M63" s="100" t="str">
        <f>IF(E63=" "," ",IF(T$59="Y",Oct!M53,IF((H63+K63+L63)&gt;0,H63+K63+L63,"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IF(Employee!H$87=E$59,Employee!D$86+SUM(M63)+Oct!V53,SUM(M63)+Oct!V53)</f>
        <v>0</v>
      </c>
      <c r="W63" s="49">
        <f>IF(Employee!H$87=E$59,Employee!D$87+SUM(N63)+Oct!W53,SUM(N63)+Oct!W53)</f>
        <v>0</v>
      </c>
      <c r="X63" s="49">
        <f>IF(O63=" ",Oct!X53,O63+Oct!X53)</f>
        <v>0</v>
      </c>
      <c r="Y63" s="49">
        <f>IF(P63=" ",Oct!Y53,P63+Oct!Y53)</f>
        <v>0</v>
      </c>
      <c r="Z63" s="49">
        <f>IF(Q63=" ",Oct!Z53,Q63+Oct!Z53)</f>
        <v>0</v>
      </c>
      <c r="AA63" s="49">
        <f>IF(R63=" ",Oct!AA53,R63+Oct!AA53)</f>
        <v>0</v>
      </c>
      <c r="AC63" s="49">
        <f>IF(T63=" ",Oct!AC53,T63+Oct!AC53)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IF(T$59="Y",Oct!H54,0)</f>
        <v>0</v>
      </c>
      <c r="I64" s="92">
        <f>IF(T$59="Y",Oct!I54,0)</f>
        <v>0</v>
      </c>
      <c r="J64" s="92">
        <f>IF(T$59="Y",Oct!J54,0)</f>
        <v>0</v>
      </c>
      <c r="K64" s="92">
        <f>IF(T$59="Y",Oct!K54,I64*J64)</f>
        <v>0</v>
      </c>
      <c r="L64" s="111">
        <f>IF(T$59="Y",Oct!L54,0)</f>
        <v>0</v>
      </c>
      <c r="M64" s="100" t="str">
        <f>IF(E64=" "," ",IF(T$59="Y",Oct!M54,IF((H64+K64+L64)&gt;0,H64+K64+L64,"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IF(Employee!H$113=E$59,Employee!D$112+SUM(M64)+Oct!V54,SUM(M64)+Oct!V54)</f>
        <v>0</v>
      </c>
      <c r="W64" s="49">
        <f>IF(Employee!H$113=E$59,Employee!D$113+SUM(N64)+Oct!W54,SUM(N64)+Oct!W54)</f>
        <v>0</v>
      </c>
      <c r="X64" s="49">
        <f>IF(O64=" ",Oct!X54,O64+Oct!X54)</f>
        <v>0</v>
      </c>
      <c r="Y64" s="49">
        <f>IF(P64=" ",Oct!Y54,P64+Oct!Y54)</f>
        <v>0</v>
      </c>
      <c r="Z64" s="49">
        <f>IF(Q64=" ",Oct!Z54,Q64+Oct!Z54)</f>
        <v>0</v>
      </c>
      <c r="AA64" s="49">
        <f>IF(R64=" ",Oct!AA54,R64+Oct!AA54)</f>
        <v>0</v>
      </c>
      <c r="AC64" s="49">
        <f>IF(T64=" ",Oct!AC54,T64+Oct!AC54)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IF(T$59="Y",Oct!H55,0)</f>
        <v>0</v>
      </c>
      <c r="I65" s="245">
        <f>IF(T$59="Y",Oct!I55,0)</f>
        <v>0</v>
      </c>
      <c r="J65" s="245">
        <f>IF(T$59="Y",Oct!J55,0)</f>
        <v>0</v>
      </c>
      <c r="K65" s="245">
        <f>IF(T$59="Y",Oct!K55,I65*J65)</f>
        <v>0</v>
      </c>
      <c r="L65" s="246">
        <f>IF(T$59="Y",Oct!L55,0)</f>
        <v>0</v>
      </c>
      <c r="M65" s="100" t="str">
        <f>IF(E65=" "," ",IF(T$59="Y",Oct!M55,IF((H65+K65+L65)&gt;0,H65+K65+L65,"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IF(Employee!H$139=E$59,Employee!D$138+SUM(M65)+Oct!V55,SUM(M65)+Oct!V55)</f>
        <v>0</v>
      </c>
      <c r="W65" s="49">
        <f>IF(Employee!H$139=E$59,Employee!D$139+SUM(N65)+Oct!W55,SUM(N65)+Oct!W55)</f>
        <v>0</v>
      </c>
      <c r="X65" s="49">
        <f>IF(O65=" ",Oct!X55,O65+Oct!X55)</f>
        <v>0</v>
      </c>
      <c r="Y65" s="49">
        <f>IF(P65=" ",Oct!Y55,P65+Oct!Y55)</f>
        <v>0</v>
      </c>
      <c r="Z65" s="49">
        <f>IF(Q65=" ",Oct!Z55,Q65+Oct!Z55)</f>
        <v>0</v>
      </c>
      <c r="AA65" s="49">
        <f>IF(R65=" ",Oct!AA55,R65+Oct!AA55)</f>
        <v>0</v>
      </c>
      <c r="AC65" s="49">
        <f>IF(T65=" ",Oct!AC55,T65+Oct!AC55)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AD70+Oct!AD65</f>
        <v>0</v>
      </c>
      <c r="AE75" s="158">
        <f>AE70+Oct!AE65</f>
        <v>0</v>
      </c>
      <c r="AF75" s="158">
        <f>AF70+Oct!AF65</f>
        <v>0</v>
      </c>
      <c r="AG75" s="158">
        <f>AG70+Oct!AG65</f>
        <v>0</v>
      </c>
    </row>
    <row r="76" spans="1:34" ht="14" thickTop="1" x14ac:dyDescent="0.15"/>
    <row r="77" spans="1:34" x14ac:dyDescent="0.15">
      <c r="AD77" s="162"/>
      <c r="AE77" s="158">
        <f>AE72+Oct!AE67</f>
        <v>0</v>
      </c>
      <c r="AF77" s="158">
        <f>AF72+Oct!AF67</f>
        <v>0</v>
      </c>
      <c r="AG77" s="158">
        <f>AG72+Oct!AG67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Nov!M49+1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IF(T$9="Y",Nov!H51,0)</f>
        <v>0</v>
      </c>
      <c r="I11" s="89">
        <f>IF(T$9="Y",Nov!I51,0)</f>
        <v>0</v>
      </c>
      <c r="J11" s="89">
        <f>IF(T$9="Y",Nov!J51,0)</f>
        <v>0</v>
      </c>
      <c r="K11" s="89">
        <f>IF(T$9="Y",Nov!K51,I11*J11)</f>
        <v>0</v>
      </c>
      <c r="L11" s="110">
        <f>IF(T$9="Y",Nov!L51,0)</f>
        <v>0</v>
      </c>
      <c r="M11" s="110" t="str">
        <f>IF(E11=" "," ",IF(T$9="Y",Nov!M51,IF((H11+K11+L11)&gt;0,H11+K11+L11,"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IF(Employee!H$34=E$9,Employee!D$34+SUM(M11)+Nov!V51,SUM(M11)+Nov!V51)</f>
        <v>0</v>
      </c>
      <c r="W11" s="49">
        <f>IF(Employee!H$34=E$9,Employee!D$35+SUM(N11)+Nov!W51,SUM(N11)+Nov!W51)</f>
        <v>0</v>
      </c>
      <c r="X11" s="49">
        <f>IF(O11=" ",Nov!X51,O11+Nov!X51)</f>
        <v>0</v>
      </c>
      <c r="Y11" s="49">
        <f>IF(P11=" ",Nov!Y51,P11+Nov!Y51)</f>
        <v>0</v>
      </c>
      <c r="Z11" s="49">
        <f>IF(Q11=" ",Nov!Z51,Q11+Nov!Z51)</f>
        <v>0</v>
      </c>
      <c r="AA11" s="49">
        <f>IF(R11=" ",Nov!AA51,R11+Nov!AA51)</f>
        <v>0</v>
      </c>
      <c r="AC11" s="49">
        <f>IF(T11=" ",Nov!AC51,T11+Nov!AC51)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IF(T$9="Y",Nov!H52,0)</f>
        <v>0</v>
      </c>
      <c r="I12" s="92">
        <f>IF(T$9="Y",Nov!I52,0)</f>
        <v>0</v>
      </c>
      <c r="J12" s="92">
        <f>IF(T$9="Y",Nov!J52,0)</f>
        <v>0</v>
      </c>
      <c r="K12" s="92">
        <f>IF(T$9="Y",Nov!K52,I12*J12)</f>
        <v>0</v>
      </c>
      <c r="L12" s="111">
        <f>IF(T$9="Y",Nov!L52,0)</f>
        <v>0</v>
      </c>
      <c r="M12" s="111" t="str">
        <f>IF(E12=" "," ",IF(T$9="Y",Nov!M52,IF((H12+K12+L12)&gt;0,H12+K12+L12,"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IF(Employee!H$60=E$9,Employee!D$60+SUM(M12)+Nov!V52,SUM(M12)+Nov!V52)</f>
        <v>0</v>
      </c>
      <c r="W12" s="49">
        <f>IF(Employee!H$60=E$9,Employee!D$61+SUM(N12)+Nov!W52,SUM(N12)+Nov!W52)</f>
        <v>0</v>
      </c>
      <c r="X12" s="49">
        <f>IF(O12=" ",Nov!X52,O12+Nov!X52)</f>
        <v>0</v>
      </c>
      <c r="Y12" s="49">
        <f>IF(P12=" ",Nov!Y52,P12+Nov!Y52)</f>
        <v>0</v>
      </c>
      <c r="Z12" s="49">
        <f>IF(Q12=" ",Nov!Z52,Q12+Nov!Z52)</f>
        <v>0</v>
      </c>
      <c r="AA12" s="49">
        <f>IF(R12=" ",Nov!AA52,R12+Nov!AA52)</f>
        <v>0</v>
      </c>
      <c r="AC12" s="49">
        <f>IF(T12=" ",Nov!AC52,T12+Nov!AC52)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IF(T$9="Y",Nov!H53,0)</f>
        <v>0</v>
      </c>
      <c r="I13" s="92">
        <f>IF(T$9="Y",Nov!I53,0)</f>
        <v>0</v>
      </c>
      <c r="J13" s="92">
        <f>IF(T$9="Y",Nov!J53,0)</f>
        <v>0</v>
      </c>
      <c r="K13" s="92">
        <f>IF(T$9="Y",Nov!K53,I13*J13)</f>
        <v>0</v>
      </c>
      <c r="L13" s="111">
        <f>IF(T$9="Y",Nov!L53,0)</f>
        <v>0</v>
      </c>
      <c r="M13" s="111" t="str">
        <f>IF(E13=" "," ",IF(T$9="Y",Nov!M53,IF((H13+K13+L13)&gt;0,H13+K13+L13,"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IF(Employee!H$86=E$9,Employee!D$86+SUM(M13)+Nov!V53,SUM(M13)+Nov!V53)</f>
        <v>0</v>
      </c>
      <c r="W13" s="49">
        <f>IF(Employee!H$86=E$9,Employee!D$87+SUM(N13)+Nov!W53,SUM(N13)+Nov!W53)</f>
        <v>0</v>
      </c>
      <c r="X13" s="49">
        <f>IF(O13=" ",Nov!X53,O13+Nov!X53)</f>
        <v>0</v>
      </c>
      <c r="Y13" s="49">
        <f>IF(P13=" ",Nov!Y53,P13+Nov!Y53)</f>
        <v>0</v>
      </c>
      <c r="Z13" s="49">
        <f>IF(Q13=" ",Nov!Z53,Q13+Nov!Z53)</f>
        <v>0</v>
      </c>
      <c r="AA13" s="49">
        <f>IF(R13=" ",Nov!AA53,R13+Nov!AA53)</f>
        <v>0</v>
      </c>
      <c r="AC13" s="49">
        <f>IF(T13=" ",Nov!AC53,T13+Nov!AC53)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IF(T$9="Y",Nov!H54,0)</f>
        <v>0</v>
      </c>
      <c r="I14" s="92">
        <f>IF(T$9="Y",Nov!I54,0)</f>
        <v>0</v>
      </c>
      <c r="J14" s="92">
        <f>IF(T$9="Y",Nov!J54,0)</f>
        <v>0</v>
      </c>
      <c r="K14" s="92">
        <f>IF(T$9="Y",Nov!K54,I14*J14)</f>
        <v>0</v>
      </c>
      <c r="L14" s="111">
        <f>IF(T$9="Y",Nov!L54,0)</f>
        <v>0</v>
      </c>
      <c r="M14" s="111" t="str">
        <f>IF(E14=" "," ",IF(T$9="Y",Nov!M54,IF((H14+K14+L14)&gt;0,H14+K14+L14,"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IF(Employee!H$112=E$9,Employee!D$112+SUM(M14)+Nov!V54,SUM(M14)+Nov!V54)</f>
        <v>0</v>
      </c>
      <c r="W14" s="49">
        <f>IF(Employee!H$112=E$9,Employee!D$113+SUM(N14)+Nov!W54,SUM(N14)+Nov!W54)</f>
        <v>0</v>
      </c>
      <c r="X14" s="49">
        <f>IF(O14=" ",Nov!X54,O14+Nov!X54)</f>
        <v>0</v>
      </c>
      <c r="Y14" s="49">
        <f>IF(P14=" ",Nov!Y54,P14+Nov!Y54)</f>
        <v>0</v>
      </c>
      <c r="Z14" s="49">
        <f>IF(Q14=" ",Nov!Z54,Q14+Nov!Z54)</f>
        <v>0</v>
      </c>
      <c r="AA14" s="49">
        <f>IF(R14=" ",Nov!AA54,R14+Nov!AA54)</f>
        <v>0</v>
      </c>
      <c r="AC14" s="49">
        <f>IF(T14=" ",Nov!AC54,T14+Nov!AC54)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IF(T$9="Y",Nov!H55,0)</f>
        <v>0</v>
      </c>
      <c r="I15" s="245">
        <f>IF(T$9="Y",Nov!I55,0)</f>
        <v>0</v>
      </c>
      <c r="J15" s="245">
        <f>IF(T$9="Y",Nov!J55,0)</f>
        <v>0</v>
      </c>
      <c r="K15" s="245">
        <f>IF(T$9="Y",Nov!K55,I15*J15)</f>
        <v>0</v>
      </c>
      <c r="L15" s="246">
        <f>IF(T$9="Y",Nov!L55,0)</f>
        <v>0</v>
      </c>
      <c r="M15" s="111" t="str">
        <f>IF(E15=" "," ",IF(T$9="Y",Nov!M55,IF((H15+K15+L15)&gt;0,H15+K15+L15,"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IF(Employee!H$138=E$9,Employee!D$138+SUM(M15)+Nov!V55,SUM(M15)+Nov!V55)</f>
        <v>0</v>
      </c>
      <c r="W15" s="49">
        <f>IF(Employee!H$138=E$9,Employee!D$139+SUM(N15)+Nov!W55,SUM(N15)+Nov!W55)</f>
        <v>0</v>
      </c>
      <c r="X15" s="49">
        <f>IF(O15=" ",Nov!X55,O15+Nov!X55)</f>
        <v>0</v>
      </c>
      <c r="Y15" s="49">
        <f>IF(P15=" ",Nov!Y55,P15+Nov!Y55)</f>
        <v>0</v>
      </c>
      <c r="Z15" s="49">
        <f>IF(Q15=" ",Nov!Z55,Q15+Nov!Z55)</f>
        <v>0</v>
      </c>
      <c r="AA15" s="49">
        <f>IF(R15=" ",Nov!AA55,R15+Nov!AA55)</f>
        <v>0</v>
      </c>
      <c r="AC15" s="49">
        <f>IF(T15=" ",Nov!AC55,T15+Nov!AC55)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IF(T$49="Y",Nov!H61,0)</f>
        <v>0</v>
      </c>
      <c r="I51" s="89">
        <f>IF(T$49="Y",Nov!I61,0)</f>
        <v>0</v>
      </c>
      <c r="J51" s="89">
        <f>IF(T$49="Y",Nov!J61,0)</f>
        <v>0</v>
      </c>
      <c r="K51" s="89">
        <f>IF(T$49="Y",Nov!K61,I51*J51)</f>
        <v>0</v>
      </c>
      <c r="L51" s="110">
        <f>IF(T$49="Y",Nov!L61,0)</f>
        <v>0</v>
      </c>
      <c r="M51" s="99" t="str">
        <f>IF(E51=" "," ",IF(T$49="Y",Nov!M61,IF((H51+K51+L51)&gt;0,H51+K51+L51,"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IF(Employee!H$35=E$49,Employee!D$34+SUM(M51)+Nov!V61,SUM(M51)+Nov!V61)</f>
        <v>0</v>
      </c>
      <c r="W51" s="49">
        <f>IF(Employee!H$35=E$49,Employee!D$35+SUM(N51)+Nov!W61,SUM(N51)+Nov!W61)</f>
        <v>0</v>
      </c>
      <c r="X51" s="49">
        <f>IF(O51=" ",Nov!X61,O51+Nov!X61)</f>
        <v>0</v>
      </c>
      <c r="Y51" s="49">
        <f>IF(P51=" ",Nov!Y61,P51+Nov!Y61)</f>
        <v>0</v>
      </c>
      <c r="Z51" s="49">
        <f>IF(Q51=" ",Nov!Z61,Q51+Nov!Z61)</f>
        <v>0</v>
      </c>
      <c r="AA51" s="49">
        <f>IF(R51=" ",Nov!AA61,R51+Nov!AA61)</f>
        <v>0</v>
      </c>
      <c r="AC51" s="49">
        <f>IF(T51=" ",Nov!AC61,T51+Nov!AC61)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IF(T$49="Y",Nov!H62,0)</f>
        <v>0</v>
      </c>
      <c r="I52" s="92">
        <f>IF(T$49="Y",Nov!I62,0)</f>
        <v>0</v>
      </c>
      <c r="J52" s="92">
        <f>IF(T$49="Y",Nov!J62,0)</f>
        <v>0</v>
      </c>
      <c r="K52" s="92">
        <f>IF(T$49="Y",Nov!K62,I52*J52)</f>
        <v>0</v>
      </c>
      <c r="L52" s="111">
        <f>IF(T$49="Y",Nov!L62,0)</f>
        <v>0</v>
      </c>
      <c r="M52" s="100" t="str">
        <f>IF(E52=" "," ",IF(T$49="Y",Nov!M62,IF((H52+K52+L52)&gt;0,H52+K52+L52,"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IF(Employee!H$61=E$49,Employee!D$60+SUM(M52)+Nov!V62,SUM(M52)+Nov!V62)</f>
        <v>0</v>
      </c>
      <c r="W52" s="49">
        <f>IF(Employee!H$61=E$49,Employee!D$61+SUM(N52)+Nov!W62,SUM(N52)+Nov!W62)</f>
        <v>0</v>
      </c>
      <c r="X52" s="49">
        <f>IF(O52=" ",Nov!X62,O52+Nov!X62)</f>
        <v>0</v>
      </c>
      <c r="Y52" s="49">
        <f>IF(P52=" ",Nov!Y62,P52+Nov!Y62)</f>
        <v>0</v>
      </c>
      <c r="Z52" s="49">
        <f>IF(Q52=" ",Nov!Z62,Q52+Nov!Z62)</f>
        <v>0</v>
      </c>
      <c r="AA52" s="49">
        <f>IF(R52=" ",Nov!AA62,R52+Nov!AA62)</f>
        <v>0</v>
      </c>
      <c r="AC52" s="49">
        <f>IF(T52=" ",Nov!AC62,T52+Nov!AC62)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IF(T$49="Y",Nov!H63,0)</f>
        <v>0</v>
      </c>
      <c r="I53" s="92">
        <f>IF(T$49="Y",Nov!I63,0)</f>
        <v>0</v>
      </c>
      <c r="J53" s="92">
        <f>IF(T$49="Y",Nov!J63,0)</f>
        <v>0</v>
      </c>
      <c r="K53" s="92">
        <f>IF(T$49="Y",Nov!K63,I53*J53)</f>
        <v>0</v>
      </c>
      <c r="L53" s="111">
        <f>IF(T$49="Y",Nov!L63,0)</f>
        <v>0</v>
      </c>
      <c r="M53" s="100" t="str">
        <f>IF(E53=" "," ",IF(T$49="Y",Nov!M63,IF((H53+K53+L53)&gt;0,H53+K53+L53,"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IF(Employee!H$87=E$49,Employee!D$86+SUM(M53)+Nov!V63,SUM(M53)+Nov!V63)</f>
        <v>0</v>
      </c>
      <c r="W53" s="49">
        <f>IF(Employee!H$87=E$49,Employee!D$87+SUM(N53)+Nov!W63,SUM(N53)+Nov!W63)</f>
        <v>0</v>
      </c>
      <c r="X53" s="49">
        <f>IF(O53=" ",Nov!X63,O53+Nov!X63)</f>
        <v>0</v>
      </c>
      <c r="Y53" s="49">
        <f>IF(P53=" ",Nov!Y63,P53+Nov!Y63)</f>
        <v>0</v>
      </c>
      <c r="Z53" s="49">
        <f>IF(Q53=" ",Nov!Z63,Q53+Nov!Z63)</f>
        <v>0</v>
      </c>
      <c r="AA53" s="49">
        <f>IF(R53=" ",Nov!AA63,R53+Nov!AA63)</f>
        <v>0</v>
      </c>
      <c r="AC53" s="49">
        <f>IF(T53=" ",Nov!AC63,T53+Nov!AC63)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IF(T$49="Y",Nov!H64,0)</f>
        <v>0</v>
      </c>
      <c r="I54" s="92">
        <f>IF(T$49="Y",Nov!I64,0)</f>
        <v>0</v>
      </c>
      <c r="J54" s="92">
        <f>IF(T$49="Y",Nov!J64,0)</f>
        <v>0</v>
      </c>
      <c r="K54" s="92">
        <f>IF(T$49="Y",Nov!K64,I54*J54)</f>
        <v>0</v>
      </c>
      <c r="L54" s="111">
        <f>IF(T$49="Y",Nov!L64,0)</f>
        <v>0</v>
      </c>
      <c r="M54" s="100" t="str">
        <f>IF(E54=" "," ",IF(T$49="Y",Nov!M64,IF((H54+K54+L54)&gt;0,H54+K54+L54,"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IF(Employee!H$113=E$49,Employee!D$112+SUM(M54)+Nov!V64,SUM(M54)+Nov!V64)</f>
        <v>0</v>
      </c>
      <c r="W54" s="49">
        <f>IF(Employee!H$113=E$49,Employee!D$113+SUM(N54)+Nov!W64,SUM(N54)+Nov!W64)</f>
        <v>0</v>
      </c>
      <c r="X54" s="49">
        <f>IF(O54=" ",Nov!X64,O54+Nov!X64)</f>
        <v>0</v>
      </c>
      <c r="Y54" s="49">
        <f>IF(P54=" ",Nov!Y64,P54+Nov!Y64)</f>
        <v>0</v>
      </c>
      <c r="Z54" s="49">
        <f>IF(Q54=" ",Nov!Z64,Q54+Nov!Z64)</f>
        <v>0</v>
      </c>
      <c r="AA54" s="49">
        <f>IF(R54=" ",Nov!AA64,R54+Nov!AA64)</f>
        <v>0</v>
      </c>
      <c r="AC54" s="49">
        <f>IF(T54=" ",Nov!AC64,T54+Nov!AC64)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IF(T$49="Y",Nov!H65,0)</f>
        <v>0</v>
      </c>
      <c r="I55" s="245">
        <f>IF(T$49="Y",Nov!I65,0)</f>
        <v>0</v>
      </c>
      <c r="J55" s="245">
        <f>IF(T$49="Y",Nov!J65,0)</f>
        <v>0</v>
      </c>
      <c r="K55" s="245">
        <f>IF(T$49="Y",Nov!K65,I55*J55)</f>
        <v>0</v>
      </c>
      <c r="L55" s="246">
        <f>IF(T$49="Y",Nov!L65,0)</f>
        <v>0</v>
      </c>
      <c r="M55" s="100" t="str">
        <f>IF(E55=" "," ",IF(T$49="Y",Nov!M65,IF((H55+K55+L55)&gt;0,H55+K55+L55,"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IF(Employee!H$139=E$49,Employee!D$138+SUM(M55)+Nov!V65,SUM(M55)+Nov!V65)</f>
        <v>0</v>
      </c>
      <c r="W55" s="49">
        <f>IF(Employee!H$139=E$49,Employee!D$139+SUM(N55)+Nov!W65,SUM(N55)+Nov!W65)</f>
        <v>0</v>
      </c>
      <c r="X55" s="49">
        <f>IF(O55=" ",Nov!X65,O55+Nov!X65)</f>
        <v>0</v>
      </c>
      <c r="Y55" s="49">
        <f>IF(P55=" ",Nov!Y65,P55+Nov!Y65)</f>
        <v>0</v>
      </c>
      <c r="Z55" s="49">
        <f>IF(Q55=" ",Nov!Z65,Q55+Nov!Z65)</f>
        <v>0</v>
      </c>
      <c r="AA55" s="49">
        <f>IF(R55=" ",Nov!AA65,R55+Nov!AA65)</f>
        <v>0</v>
      </c>
      <c r="AC55" s="49">
        <f>IF(T55=" ",Nov!AC65,T55+Nov!AC65)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AD60+Nov!AD75</f>
        <v>0</v>
      </c>
      <c r="AE65" s="158">
        <f>AE60+Nov!AE75</f>
        <v>0</v>
      </c>
      <c r="AF65" s="158">
        <f>AF60+Nov!AF75</f>
        <v>0</v>
      </c>
      <c r="AG65" s="158">
        <f>AG60+Nov!AG75</f>
        <v>0</v>
      </c>
    </row>
    <row r="66" spans="6:33" ht="14" thickTop="1" x14ac:dyDescent="0.15"/>
    <row r="67" spans="6:33" x14ac:dyDescent="0.15">
      <c r="AD67" s="162"/>
      <c r="AE67" s="158">
        <f>AE62+Nov!AE77</f>
        <v>0</v>
      </c>
      <c r="AF67" s="158">
        <f>AF62+Nov!AF77</f>
        <v>0</v>
      </c>
      <c r="AG67" s="158">
        <f>AG62+Nov!AG77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Dec!M39+1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110">
        <f>IF(T$9="Y",Dec!L41,0)</f>
        <v>0</v>
      </c>
      <c r="M11" s="110" t="str">
        <f>IF(E11=" "," ",IF(T$9="Y",Dec!M41,IF((H11+K11+L11)&gt;0,H11+K11+L11,"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111">
        <f>IF(T$9="Y",Dec!L42,0)</f>
        <v>0</v>
      </c>
      <c r="M12" s="111" t="str">
        <f>IF(E12=" "," ",IF(T$9="Y",Dec!M42,IF((H12+K12+L12)&gt;0,H12+K12+L12,"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111">
        <f>IF(T$9="Y",Dec!L43,0)</f>
        <v>0</v>
      </c>
      <c r="M13" s="111" t="str">
        <f>IF(E13=" "," ",IF(T$9="Y",Dec!M43,IF((H13+K13+L13)&gt;0,H13+K13+L13,"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111">
        <f>IF(T$9="Y",Dec!L44,0)</f>
        <v>0</v>
      </c>
      <c r="M14" s="111" t="str">
        <f>IF(E14=" "," ",IF(T$9="Y",Dec!M44,IF((H14+K14+L14)&gt;0,H14+K14+L14,"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6">
        <f>IF(T$19="Y",Dec!L45,0)</f>
        <v>0</v>
      </c>
      <c r="M15" s="111" t="str">
        <f>IF(E15=" "," ",IF(T$9="Y",Dec!M45,IF((H15+K15+L15)&gt;0,H15+K15+L15,"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IF(T$49="Y",Dec!H51,0)</f>
        <v>0</v>
      </c>
      <c r="I51" s="89">
        <f>IF(T$49="Y",Dec!I51,0)</f>
        <v>0</v>
      </c>
      <c r="J51" s="89">
        <f>IF(T$49="Y",Dec!J51,0)</f>
        <v>0</v>
      </c>
      <c r="K51" s="89">
        <f>IF(T$49="Y",Dec!K51,I51*J51)</f>
        <v>0</v>
      </c>
      <c r="L51" s="110">
        <f>IF(T$49="Y",Dec!L51,0)</f>
        <v>0</v>
      </c>
      <c r="M51" s="99" t="str">
        <f>IF(E51=" "," ",IF(T$49="Y",Dec!M51,IF((H51+K51+L51)&gt;0,H51+K51+L51,"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IF(Employee!H$35=E$49,Employee!D$34+SUM(M51)+Dec!V51,SUM(M51)+Dec!V51)</f>
        <v>0</v>
      </c>
      <c r="W51" s="49">
        <f>IF(Employee!H$35=E$49,Employee!D$35+SUM(N51)+Dec!W51,SUM(N51)+Dec!W51)</f>
        <v>0</v>
      </c>
      <c r="X51" s="49">
        <f>IF(O51=" ",Dec!X51,O51+Dec!X51)</f>
        <v>0</v>
      </c>
      <c r="Y51" s="49">
        <f>IF(P51=" ",Dec!Y51,P51+Dec!Y51)</f>
        <v>0</v>
      </c>
      <c r="Z51" s="49">
        <f>IF(Q51=" ",Dec!Z51,Q51+Dec!Z51)</f>
        <v>0</v>
      </c>
      <c r="AA51" s="49">
        <f>IF(R51=" ",Dec!AA51,R51+Dec!AA51)</f>
        <v>0</v>
      </c>
      <c r="AC51" s="49">
        <f>IF(T51=" ",Dec!AC51,T51+Dec!AC51)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IF(T$49="Y",Dec!H52,0)</f>
        <v>0</v>
      </c>
      <c r="I52" s="92">
        <f>IF(T$49="Y",Dec!I52,0)</f>
        <v>0</v>
      </c>
      <c r="J52" s="92">
        <f>IF(T$49="Y",Dec!J52,0)</f>
        <v>0</v>
      </c>
      <c r="K52" s="92">
        <f>IF(T$49="Y",Dec!K52,I52*J52)</f>
        <v>0</v>
      </c>
      <c r="L52" s="111">
        <f>IF(T$49="Y",Dec!L52,0)</f>
        <v>0</v>
      </c>
      <c r="M52" s="100" t="str">
        <f>IF(E52=" "," ",IF(T$49="Y",Dec!M52,IF((H52+K52+L52)&gt;0,H52+K52+L52,"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IF(Employee!H$61=E$49,Employee!D$60+SUM(M52)+Dec!V52,SUM(M52)+Dec!V52)</f>
        <v>0</v>
      </c>
      <c r="W52" s="49">
        <f>IF(Employee!H$61=E$49,Employee!D$61+SUM(N52)+Dec!W52,SUM(N52)+Dec!W52)</f>
        <v>0</v>
      </c>
      <c r="X52" s="49">
        <f>IF(O52=" ",Dec!X52,O52+Dec!X52)</f>
        <v>0</v>
      </c>
      <c r="Y52" s="49">
        <f>IF(P52=" ",Dec!Y52,P52+Dec!Y52)</f>
        <v>0</v>
      </c>
      <c r="Z52" s="49">
        <f>IF(Q52=" ",Dec!Z52,Q52+Dec!Z52)</f>
        <v>0</v>
      </c>
      <c r="AA52" s="49">
        <f>IF(R52=" ",Dec!AA52,R52+Dec!AA52)</f>
        <v>0</v>
      </c>
      <c r="AC52" s="49">
        <f>IF(T52=" ",Dec!AC52,T52+Dec!AC52)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IF(T$49="Y",Dec!H53,0)</f>
        <v>0</v>
      </c>
      <c r="I53" s="92">
        <f>IF(T$49="Y",Dec!I53,0)</f>
        <v>0</v>
      </c>
      <c r="J53" s="92">
        <f>IF(T$49="Y",Dec!J53,0)</f>
        <v>0</v>
      </c>
      <c r="K53" s="92">
        <f>IF(T$49="Y",Dec!K53,I53*J53)</f>
        <v>0</v>
      </c>
      <c r="L53" s="111">
        <f>IF(T$49="Y",Dec!L53,0)</f>
        <v>0</v>
      </c>
      <c r="M53" s="100" t="str">
        <f>IF(E53=" "," ",IF(T$49="Y",Dec!M53,IF((H53+K53+L53)&gt;0,H53+K53+L53,"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IF(Employee!H$87=E$49,Employee!D$86+SUM(M53)+Dec!V53,SUM(M53)+Dec!V53)</f>
        <v>0</v>
      </c>
      <c r="W53" s="49">
        <f>IF(Employee!H$87=E$49,Employee!D$87+SUM(N53)+Dec!W53,SUM(N53)+Dec!W53)</f>
        <v>0</v>
      </c>
      <c r="X53" s="49">
        <f>IF(O53=" ",Dec!X53,O53+Dec!X53)</f>
        <v>0</v>
      </c>
      <c r="Y53" s="49">
        <f>IF(P53=" ",Dec!Y53,P53+Dec!Y53)</f>
        <v>0</v>
      </c>
      <c r="Z53" s="49">
        <f>IF(Q53=" ",Dec!Z53,Q53+Dec!Z53)</f>
        <v>0</v>
      </c>
      <c r="AA53" s="49">
        <f>IF(R53=" ",Dec!AA53,R53+Dec!AA53)</f>
        <v>0</v>
      </c>
      <c r="AC53" s="49">
        <f>IF(T53=" ",Dec!AC53,T53+Dec!AC53)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IF(T$49="Y",Dec!H54,0)</f>
        <v>0</v>
      </c>
      <c r="I54" s="92">
        <f>IF(T$49="Y",Dec!I54,0)</f>
        <v>0</v>
      </c>
      <c r="J54" s="92">
        <f>IF(T$49="Y",Dec!J54,0)</f>
        <v>0</v>
      </c>
      <c r="K54" s="92">
        <f>IF(T$49="Y",Dec!K54,I54*J54)</f>
        <v>0</v>
      </c>
      <c r="L54" s="111">
        <f>IF(T$49="Y",Dec!L54,0)</f>
        <v>0</v>
      </c>
      <c r="M54" s="100" t="str">
        <f>IF(E54=" "," ",IF(T$49="Y",Dec!M54,IF((H54+K54+L54)&gt;0,H54+K54+L54,"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IF(Employee!H$113=E$49,Employee!D$112+SUM(M54)+Dec!V54,SUM(M54)+Dec!V54)</f>
        <v>0</v>
      </c>
      <c r="W54" s="49">
        <f>IF(Employee!H$113=E$49,Employee!D$113+SUM(N54)+Dec!W54,SUM(N54)+Dec!W54)</f>
        <v>0</v>
      </c>
      <c r="X54" s="49">
        <f>IF(O54=" ",Dec!X54,O54+Dec!X54)</f>
        <v>0</v>
      </c>
      <c r="Y54" s="49">
        <f>IF(P54=" ",Dec!Y54,P54+Dec!Y54)</f>
        <v>0</v>
      </c>
      <c r="Z54" s="49">
        <f>IF(Q54=" ",Dec!Z54,Q54+Dec!Z54)</f>
        <v>0</v>
      </c>
      <c r="AA54" s="49">
        <f>IF(R54=" ",Dec!AA54,R54+Dec!AA54)</f>
        <v>0</v>
      </c>
      <c r="AC54" s="49">
        <f>IF(T54=" ",Dec!AC54,T54+Dec!AC54)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IF(T$49="Y",Dec!H55,0)</f>
        <v>0</v>
      </c>
      <c r="I55" s="245">
        <f>IF(T$49="Y",Dec!I55,0)</f>
        <v>0</v>
      </c>
      <c r="J55" s="245">
        <f>IF(T$49="Y",Dec!J55,0)</f>
        <v>0</v>
      </c>
      <c r="K55" s="245">
        <f>IF(T$49="Y",Dec!K55,I55*J55)</f>
        <v>0</v>
      </c>
      <c r="L55" s="246">
        <f>IF(T$49="Y",Dec!L55,0)</f>
        <v>0</v>
      </c>
      <c r="M55" s="100" t="str">
        <f>IF(E55=" "," ",IF(T$49="Y",Dec!M55,IF((H55+K55+L55)&gt;0,H55+K55+L55,"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IF(Employee!H$139=E$49,Employee!D$138+SUM(M55)+Dec!V55,SUM(M55)+Dec!V55)</f>
        <v>0</v>
      </c>
      <c r="W55" s="49">
        <f>IF(Employee!H$139=E$49,Employee!D$139+SUM(N55)+Dec!W55,SUM(N55)+Dec!W55)</f>
        <v>0</v>
      </c>
      <c r="X55" s="49">
        <f>IF(O55=" ",Dec!X55,O55+Dec!X55)</f>
        <v>0</v>
      </c>
      <c r="Y55" s="49">
        <f>IF(P55=" ",Dec!Y55,P55+Dec!Y55)</f>
        <v>0</v>
      </c>
      <c r="Z55" s="49">
        <f>IF(Q55=" ",Dec!Z55,Q55+Dec!Z55)</f>
        <v>0</v>
      </c>
      <c r="AA55" s="49">
        <f>IF(R55=" ",Dec!AA55,R55+Dec!AA55)</f>
        <v>0</v>
      </c>
      <c r="AC55" s="49">
        <f>IF(T55=" ",Dec!AC55,T55+Dec!AC55)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AD60+Dec!AD65</f>
        <v>0</v>
      </c>
      <c r="AE65" s="158">
        <f>AE60+Dec!AE65</f>
        <v>0</v>
      </c>
      <c r="AF65" s="158">
        <f>AF60+Dec!AF65</f>
        <v>0</v>
      </c>
      <c r="AG65" s="158">
        <f>AG60+Dec!AG65</f>
        <v>0</v>
      </c>
    </row>
    <row r="66" spans="6:33" ht="14" thickTop="1" x14ac:dyDescent="0.15"/>
    <row r="67" spans="6:33" x14ac:dyDescent="0.15">
      <c r="AD67" s="162"/>
      <c r="AE67" s="158">
        <f>AE62+Dec!AE67</f>
        <v>0</v>
      </c>
      <c r="AF67" s="158">
        <f>AF62+Dec!AF67</f>
        <v>0</v>
      </c>
      <c r="AG67" s="158">
        <f>AG62+Dec!AG67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Mar!H3:H6</f>
        <v>Statutory Pay</v>
      </c>
      <c r="I3" s="365" t="str">
        <f>Mar!I3:I6</f>
        <v>Basic hours</v>
      </c>
      <c r="J3" s="365" t="str">
        <f>Mar!J3:J6</f>
        <v>Hourly rate</v>
      </c>
      <c r="K3" s="365" t="str">
        <f>Mar!K3:K6</f>
        <v>Basic    wages</v>
      </c>
      <c r="L3" s="365" t="str">
        <f>Mar!L3:L6</f>
        <v>Overtime Bonus Gratuities</v>
      </c>
      <c r="M3" s="428" t="str">
        <f>Mar!M3:M6</f>
        <v>GROSS WAGES</v>
      </c>
      <c r="N3" s="365" t="str">
        <f>Mar!N3:N6</f>
        <v>Income Tax</v>
      </c>
      <c r="O3" s="365" t="str">
        <f>Mar!O3:O6</f>
        <v>Employees National Insurance</v>
      </c>
      <c r="P3" s="365" t="str">
        <f>Mar!P3:P6</f>
        <v>Student Loans</v>
      </c>
      <c r="Q3" s="365" t="str">
        <f>Mar!Q3:Q6</f>
        <v>Other Deductions</v>
      </c>
      <c r="R3" s="428" t="str">
        <f>Mar!R3:R6</f>
        <v>NET      PAY</v>
      </c>
      <c r="S3" s="42"/>
      <c r="T3" s="365" t="str">
        <f>Mar!T3:T6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Jan!M39+1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IF(T$69="Y",Jan!H51,0)</f>
        <v>0</v>
      </c>
      <c r="I71" s="89">
        <f>IF(T$69="Y",Jan!I51,0)</f>
        <v>0</v>
      </c>
      <c r="J71" s="89">
        <f>IF(T$69="Y",Jan!J51,0)</f>
        <v>0</v>
      </c>
      <c r="K71" s="89">
        <f>IF(T$69="Y",Jan!K51,I71*J71)</f>
        <v>0</v>
      </c>
      <c r="L71" s="110">
        <f>IF(T$69="Y",Jan!L51,0)</f>
        <v>0</v>
      </c>
      <c r="M71" s="99" t="str">
        <f>IF(E71=" "," ",IF(T$69="Y",Jan!M51,IF((H71+K71+L71)&gt;0,H71+K71+L71,"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IF(Employee!H$35=E$69,Employee!D$34+SUM(M71)+Jan!V51,SUM(M71)+Jan!V51)</f>
        <v>0</v>
      </c>
      <c r="W71" s="49">
        <f>IF(Employee!H$35=E$69,Employee!D$35+SUM(N71)+Jan!W51,SUM(N71)+Jan!W51)</f>
        <v>0</v>
      </c>
      <c r="X71" s="49">
        <f>IF(O71=" ",Jan!X51,O71+Jan!X51)</f>
        <v>0</v>
      </c>
      <c r="Y71" s="49">
        <f>IF(P71=" ",Jan!Y51,P71+Jan!Y51)</f>
        <v>0</v>
      </c>
      <c r="Z71" s="49">
        <f>IF(Q71=" ",Jan!Z51,Q71+Jan!Z51)</f>
        <v>0</v>
      </c>
      <c r="AA71" s="49">
        <f>IF(R71=" ",Jan!AA51,R71+Jan!AA51)</f>
        <v>0</v>
      </c>
      <c r="AC71" s="49">
        <f>IF(T71=" ",Jan!AC51,T71+Jan!AC51)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IF(T$69="Y",Jan!H52,0)</f>
        <v>0</v>
      </c>
      <c r="I72" s="92">
        <f>IF(T$69="Y",Jan!I52,0)</f>
        <v>0</v>
      </c>
      <c r="J72" s="92">
        <f>IF(T$69="Y",Jan!J52,0)</f>
        <v>0</v>
      </c>
      <c r="K72" s="92">
        <f>IF(T$69="Y",Jan!K52,I72*J72)</f>
        <v>0</v>
      </c>
      <c r="L72" s="111">
        <f>IF(T$69="Y",Jan!L52,0)</f>
        <v>0</v>
      </c>
      <c r="M72" s="100" t="str">
        <f>IF(E72=" "," ",IF(T$69="Y",Jan!M52,IF((H72+K72+L72)&gt;0,H72+K72+L72,"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IF(Employee!H$61=E$69,Employee!D$60+SUM(M72)+Jan!V52,SUM(M72)+Jan!V52)</f>
        <v>0</v>
      </c>
      <c r="W72" s="49">
        <f>IF(Employee!H$61=E$69,Employee!D$61+SUM(N72)+Jan!W52,SUM(N72)+Jan!W52)</f>
        <v>0</v>
      </c>
      <c r="X72" s="49">
        <f>IF(O72=" ",Jan!X52,O72+Jan!X52)</f>
        <v>0</v>
      </c>
      <c r="Y72" s="49">
        <f>IF(P72=" ",Jan!Y52,P72+Jan!Y52)</f>
        <v>0</v>
      </c>
      <c r="Z72" s="49">
        <f>IF(Q72=" ",Jan!Z52,Q72+Jan!Z52)</f>
        <v>0</v>
      </c>
      <c r="AA72" s="49">
        <f>IF(R72=" ",Jan!AA52,R72+Jan!AA52)</f>
        <v>0</v>
      </c>
      <c r="AC72" s="49">
        <f>IF(T72=" ",Jan!AC52,T72+Jan!AC52)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IF(T$69="Y",Jan!H53,0)</f>
        <v>0</v>
      </c>
      <c r="I73" s="92">
        <f>IF(T$69="Y",Jan!I53,0)</f>
        <v>0</v>
      </c>
      <c r="J73" s="92">
        <f>IF(T$69="Y",Jan!J53,0)</f>
        <v>0</v>
      </c>
      <c r="K73" s="92">
        <f>IF(T$69="Y",Jan!K53,I73*J73)</f>
        <v>0</v>
      </c>
      <c r="L73" s="111">
        <f>IF(T$69="Y",Jan!L53,0)</f>
        <v>0</v>
      </c>
      <c r="M73" s="100" t="str">
        <f>IF(E73=" "," ",IF(T$69="Y",Jan!M53,IF((H73+K73+L73)&gt;0,H73+K73+L73,"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IF(Employee!H$87=E$69,Employee!D$86+SUM(M73)+Jan!V53,SUM(M73)+Jan!V53)</f>
        <v>0</v>
      </c>
      <c r="W73" s="49">
        <f>IF(Employee!H$87=E$69,Employee!D$87+SUM(N73)+Jan!W53,SUM(N73)+Jan!W53)</f>
        <v>0</v>
      </c>
      <c r="X73" s="49">
        <f>IF(O73=" ",Jan!X53,O73+Jan!X53)</f>
        <v>0</v>
      </c>
      <c r="Y73" s="49">
        <f>IF(P73=" ",Jan!Y53,P73+Jan!Y53)</f>
        <v>0</v>
      </c>
      <c r="Z73" s="49">
        <f>IF(Q73=" ",Jan!Z53,Q73+Jan!Z53)</f>
        <v>0</v>
      </c>
      <c r="AA73" s="49">
        <f>IF(R73=" ",Jan!AA53,R73+Jan!AA53)</f>
        <v>0</v>
      </c>
      <c r="AC73" s="49">
        <f>IF(T73=" ",Jan!AC53,T73+Jan!AC53)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IF(T$69="Y",Jan!H54,0)</f>
        <v>0</v>
      </c>
      <c r="I74" s="92">
        <f>IF(T$69="Y",Jan!I54,0)</f>
        <v>0</v>
      </c>
      <c r="J74" s="92">
        <f>IF(T$69="Y",Jan!J54,0)</f>
        <v>0</v>
      </c>
      <c r="K74" s="92">
        <f>IF(T$69="Y",Jan!K54,I74*J74)</f>
        <v>0</v>
      </c>
      <c r="L74" s="111">
        <f>IF(T$69="Y",Jan!L54,0)</f>
        <v>0</v>
      </c>
      <c r="M74" s="100" t="str">
        <f>IF(E74=" "," ",IF(T$69="Y",Jan!M54,IF((H74+K74+L74)&gt;0,H74+K74+L74,"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IF(Employee!H$113=E$69,Employee!D$112+SUM(M74)+Jan!V54,SUM(M74)+Jan!V54)</f>
        <v>0</v>
      </c>
      <c r="W74" s="49">
        <f>IF(Employee!H$113=E$69,Employee!D$113+SUM(N74)+Jan!W54,SUM(N74)+Jan!W54)</f>
        <v>0</v>
      </c>
      <c r="X74" s="49">
        <f>IF(O74=" ",Jan!X54,O74+Jan!X54)</f>
        <v>0</v>
      </c>
      <c r="Y74" s="49">
        <f>IF(P74=" ",Jan!Y54,P74+Jan!Y54)</f>
        <v>0</v>
      </c>
      <c r="Z74" s="49">
        <f>IF(Q74=" ",Jan!Z54,Q74+Jan!Z54)</f>
        <v>0</v>
      </c>
      <c r="AA74" s="49">
        <f>IF(R74=" ",Jan!AA54,R74+Jan!AA54)</f>
        <v>0</v>
      </c>
      <c r="AC74" s="49">
        <f>IF(T74=" ",Jan!AC54,T74+Jan!AC54)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IF(T$69="Y",Jan!H55,0)</f>
        <v>0</v>
      </c>
      <c r="I75" s="245">
        <f>IF(T$69="Y",Jan!I55,0)</f>
        <v>0</v>
      </c>
      <c r="J75" s="245">
        <f>IF(T$69="Y",Jan!J55,0)</f>
        <v>0</v>
      </c>
      <c r="K75" s="245">
        <f>IF(T$69="Y",Jan!K55,I75*J75)</f>
        <v>0</v>
      </c>
      <c r="L75" s="246">
        <f>IF(T$69="Y",Jan!L55,0)</f>
        <v>0</v>
      </c>
      <c r="M75" s="100" t="str">
        <f>IF(E75=" "," ",IF(T$69="Y",Jan!M55,IF((H75+K75+L75)&gt;0,H75+K75+L75,"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IF(Employee!H$139=E$69,Employee!D$138+SUM(M75)+Jan!V55,SUM(M75)+Jan!V55)</f>
        <v>0</v>
      </c>
      <c r="W75" s="49">
        <f>IF(Employee!H$139=E$69,Employee!D$139+SUM(N75)+Jan!W55,SUM(N75)+Jan!W55)</f>
        <v>0</v>
      </c>
      <c r="X75" s="49">
        <f>IF(O75=" ",Jan!X55,O75+Jan!X55)</f>
        <v>0</v>
      </c>
      <c r="Y75" s="49">
        <f>IF(P75=" ",Jan!Y55,P75+Jan!Y55)</f>
        <v>0</v>
      </c>
      <c r="Z75" s="49">
        <f>IF(Q75=" ",Jan!Z55,Q75+Jan!Z55)</f>
        <v>0</v>
      </c>
      <c r="AA75" s="49">
        <f>IF(R75=" ",Jan!AA55,R75+Jan!AA55)</f>
        <v>0</v>
      </c>
      <c r="AC75" s="49">
        <f>IF(T75=" ",Jan!AC55,T75+Jan!AC55)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AD80+Jan!AD65</f>
        <v>0</v>
      </c>
      <c r="AE85" s="158">
        <f>AE80+Jan!AE65</f>
        <v>0</v>
      </c>
      <c r="AF85" s="158">
        <f>AF80+Jan!AF65</f>
        <v>0</v>
      </c>
      <c r="AG85" s="158">
        <f>AG80+Jan!AG65</f>
        <v>0</v>
      </c>
    </row>
    <row r="86" spans="6:33" ht="14" thickTop="1" x14ac:dyDescent="0.15"/>
    <row r="87" spans="6:33" x14ac:dyDescent="0.15">
      <c r="AD87" s="162"/>
      <c r="AE87" s="158">
        <f>AE82+Jan!AE67</f>
        <v>0</v>
      </c>
      <c r="AF87" s="158">
        <f>AF82+Jan!AF67</f>
        <v>0</v>
      </c>
      <c r="AG87" s="158">
        <f>AG82+Jan!AG67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Mar!T1+Mar!O1</f>
        <v>0</v>
      </c>
      <c r="E4" s="228">
        <f>Mar!N1</f>
        <v>0</v>
      </c>
      <c r="F4" s="228">
        <f>Mar!AD60+Mar!AE60+Mar!AF60+Mar!AG60</f>
        <v>0</v>
      </c>
      <c r="G4" s="228">
        <f>Mar!AE62+Mar!AF62+Mar!AG62</f>
        <v>0</v>
      </c>
      <c r="H4" s="228">
        <f>Mar!P1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Apr!T1+Apr!O1</f>
        <v>0</v>
      </c>
      <c r="E5" s="228">
        <f>Apr!N1</f>
        <v>0</v>
      </c>
      <c r="F5" s="228">
        <f>Apr!AD60+Apr!AE60+Apr!AF60+Apr!AG60</f>
        <v>0</v>
      </c>
      <c r="G5" s="228">
        <f>Apr!AE62+Apr!AF62+Apr!AG62</f>
        <v>0</v>
      </c>
      <c r="H5" s="228">
        <f>Apr!P1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May!T1+May!O1</f>
        <v>0</v>
      </c>
      <c r="E6" s="228">
        <f>May!N1</f>
        <v>0</v>
      </c>
      <c r="F6" s="228">
        <f>May!AD70+May!AE70+May!AF70+May!AG70</f>
        <v>0</v>
      </c>
      <c r="G6" s="228">
        <f>May!AE72+May!AF72+May!AG72</f>
        <v>0</v>
      </c>
      <c r="H6" s="228">
        <f>May!P1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Jun!T1+Jun!O1</f>
        <v>0</v>
      </c>
      <c r="E7" s="228">
        <f>Jun!N1</f>
        <v>0</v>
      </c>
      <c r="F7" s="228">
        <f>Jun!AD60+Jun!AE60+Jun!AF60+Jun!AG60</f>
        <v>0</v>
      </c>
      <c r="G7" s="228">
        <f>Jun!AE62+Jun!AF62+Jun!AG62</f>
        <v>0</v>
      </c>
      <c r="H7" s="228">
        <f>Jun!P1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Jul!T1+Jul!O1</f>
        <v>0</v>
      </c>
      <c r="E8" s="228">
        <f>Jul!N1</f>
        <v>0</v>
      </c>
      <c r="F8" s="228">
        <f>Jul!AD60+Jul!AE60+Jul!AF60+Jul!AG60</f>
        <v>0</v>
      </c>
      <c r="G8" s="228">
        <f>Jul!AE62+Jul!AF62+Jul!AG62</f>
        <v>0</v>
      </c>
      <c r="H8" s="228">
        <f>Jul!P1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Aug!T1+Aug!O1</f>
        <v>0</v>
      </c>
      <c r="E9" s="228">
        <f>Aug!N1</f>
        <v>0</v>
      </c>
      <c r="F9" s="228">
        <f>Aug!AD70+Aug!AE70+Aug!AF70+Aug!AG70</f>
        <v>0</v>
      </c>
      <c r="G9" s="228">
        <f>Aug!AE72+Aug!AF72+Aug!AG72</f>
        <v>0</v>
      </c>
      <c r="H9" s="228">
        <f>Aug!P1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Sep!T1+Sep!O1</f>
        <v>0</v>
      </c>
      <c r="E10" s="228">
        <f>Sep!N1</f>
        <v>0</v>
      </c>
      <c r="F10" s="228">
        <f>Sep!AD60+Sep!AE60+Sep!AF60+Sep!AG60</f>
        <v>0</v>
      </c>
      <c r="G10" s="228">
        <f>Sep!AE62+Sep!AF62+Sep!AG62</f>
        <v>0</v>
      </c>
      <c r="H10" s="228">
        <f>Sep!P1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Oct!T1+Oct!O1</f>
        <v>0</v>
      </c>
      <c r="E11" s="228">
        <f>Oct!N1</f>
        <v>0</v>
      </c>
      <c r="F11" s="228">
        <f>Oct!AD60+Oct!AE60+Oct!AF60+Oct!AG60</f>
        <v>0</v>
      </c>
      <c r="G11" s="228">
        <f>Oct!AE62+Oct!AF62+Oct!AG62</f>
        <v>0</v>
      </c>
      <c r="H11" s="228">
        <f>Oct!P1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Nov!T1+Nov!O1</f>
        <v>0</v>
      </c>
      <c r="E12" s="228">
        <f>Nov!N1</f>
        <v>0</v>
      </c>
      <c r="F12" s="228">
        <f>Nov!AD70+Nov!AE70+Nov!AF70+Nov!AG70</f>
        <v>0</v>
      </c>
      <c r="G12" s="228">
        <f>Nov!AE72+Nov!AF72+Nov!AG72</f>
        <v>0</v>
      </c>
      <c r="H12" s="228">
        <f>Nov!P1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Dec!T1+Dec!O1</f>
        <v>0</v>
      </c>
      <c r="E13" s="228">
        <f>Dec!N1</f>
        <v>0</v>
      </c>
      <c r="F13" s="228">
        <f>Dec!AD60+Dec!AE60+Dec!AF60+Dec!AG60</f>
        <v>0</v>
      </c>
      <c r="G13" s="228">
        <f>Dec!AE62+Dec!AF62+Dec!AG62</f>
        <v>0</v>
      </c>
      <c r="H13" s="228">
        <f>Dec!P1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Jan!T1+Jan!O1</f>
        <v>0</v>
      </c>
      <c r="E14" s="228">
        <f>Jan!N1</f>
        <v>0</v>
      </c>
      <c r="F14" s="228">
        <f>Jan!AD60+Jan!AE60+Jan!AF60+Jan!AG60</f>
        <v>0</v>
      </c>
      <c r="G14" s="228">
        <f>Jan!AE62+Jan!AF62+Jan!AG62</f>
        <v>0</v>
      </c>
      <c r="H14" s="228">
        <f>Jan!P1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Feb!T1+Feb!O1</f>
        <v>0</v>
      </c>
      <c r="E15" s="228">
        <f>Feb!N1</f>
        <v>0</v>
      </c>
      <c r="F15" s="228">
        <f>Feb!AD80+Feb!AE80+Feb!AF80+Feb!AG80</f>
        <v>0</v>
      </c>
      <c r="G15" s="228">
        <f>Feb!AE82+Feb!AF82+Feb!AG82</f>
        <v>0</v>
      </c>
      <c r="H15" s="228">
        <f>Feb!P1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B366</f>
        <v>46117</v>
      </c>
      <c r="J1" s="493"/>
      <c r="K1" s="303"/>
      <c r="L1" s="303"/>
      <c r="M1" s="304"/>
      <c r="N1" s="305" t="str">
        <f>TEXT(YEAR(I1)-1,"0") &amp; "-" &amp; TEXT(YEAR(I1)-2000,"0")</f>
        <v>2025-26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44292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45754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45755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45756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45757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45758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45759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45760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45761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45762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45763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45764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45765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45766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45767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45768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45769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45770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45771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45772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45773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45774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45775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45776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45777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45778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45779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45780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45781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45782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45783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45784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45785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45786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45787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45788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45789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45790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45791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45792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45793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45794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45795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45796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45797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45798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45799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45800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45801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45802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45803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45804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45805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45806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45807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45808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45809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45810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45811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45812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45813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45814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45815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45816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45817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45818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45819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45820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45821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45822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45823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45824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45825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45826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45827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45828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45829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45830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45831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45832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45833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45834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45835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45836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45837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45838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45839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45840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45841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45842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45843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45844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45845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45846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45847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45848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45849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45850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45851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45852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45853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45854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45855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45856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45857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45858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45859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45860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45861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45862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45863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45864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45865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45866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45867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45868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45869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45870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45871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45872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45873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45874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45875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45876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45877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45878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45879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45880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45881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45882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45883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45884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45885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45886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45887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45888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45889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45890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45891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45892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45893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45894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45895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45896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45897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45898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45899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45900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45901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45902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45903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45904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45905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45906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45907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45908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45909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45910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45911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45912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45913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45914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45915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45916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45917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45918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45919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45920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45921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45922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45923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45924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45925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45926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45927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45928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45929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45930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45931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45932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45933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45934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45935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45936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45937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45938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45939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45940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45941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45942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45943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45944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45945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45946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45947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45948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45949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45950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45951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45952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45953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45954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45955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45956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45957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45958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45959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45960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45961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45962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45963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45964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45965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45966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45967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45968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45969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45970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45971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45972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45973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45974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45975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45976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45977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45978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45979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45980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45981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45982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45983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45984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45985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45986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45987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45988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45989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45990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45991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45992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45993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45994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45995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45996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45997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45998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45999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46000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46001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46002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46003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46004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46005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46006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46007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46008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46009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46010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46011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46012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46013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46014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46015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46016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46017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46018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46019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46020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46021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46022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46023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46024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46025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46026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46027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46028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46029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46030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46031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46032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46033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46034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46035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46036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46037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46038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46039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46040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46041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46042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46043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46044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46045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46046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46047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46048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46049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46050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46051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46052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46053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46054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46055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46056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46057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46058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46059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46060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46061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46062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46063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46064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46065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46066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46067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46068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46069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46070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46071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46072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46073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46074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46075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46076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46077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46078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46079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46080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46081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46082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46083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46084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46085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46086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46087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46088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46089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46090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46091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46092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46093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46094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46095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46096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46097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46098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46099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46100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46101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46102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46103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46104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46105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46106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46107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46108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46109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46110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46111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46112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46113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46114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46115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46116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46117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46118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46119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46120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46121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46122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46123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46124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46125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46126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46127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46128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46129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46130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46131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46132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