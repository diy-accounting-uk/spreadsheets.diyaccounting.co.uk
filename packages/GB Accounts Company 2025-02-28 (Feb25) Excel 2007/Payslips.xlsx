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<sst xmlns="http://schemas.openxmlformats.org/spreadsheetml/2006/main" count="1383" uniqueCount="138">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</sst>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5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45448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45474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45500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45526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45388</v>
      </c>
      <c r="L9" s="200" t="s">
        <v>76</v>
      </c>
      <c r="M9" s="202">
        <f>K9+(7-WEEKDAY(K9, 2))</f>
        <v>45389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45390</v>
      </c>
      <c r="L19" s="200" t="s">
        <v>76</v>
      </c>
      <c r="M19" s="202">
        <f>K19+6</f>
        <v>45396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45397</v>
      </c>
      <c r="L29" s="200" t="s">
        <v>76</v>
      </c>
      <c r="M29" s="202">
        <f>K29+6</f>
        <v>45403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45404</v>
      </c>
      <c r="L39" s="200" t="s">
        <v>76</v>
      </c>
      <c r="M39" s="202">
        <f>K39+6</f>
        <v>45410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DATE(2024,3,1)</f>
        <v>45352</v>
      </c>
      <c r="L49" s="203" t="s">
        <v>76</v>
      </c>
      <c r="M49" s="205">
        <f>DATE(2024,3,31)</f>
        <v>45382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Mar!M39+1</f>
        <v>45411</v>
      </c>
      <c r="L9" s="203" t="s">
        <v>76</v>
      </c>
      <c r="M9" s="205">
        <f>K9+6</f>
        <v>45417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45418</v>
      </c>
      <c r="L19" s="203" t="s">
        <v>76</v>
      </c>
      <c r="M19" s="205">
        <f>K19+6</f>
        <v>45424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45425</v>
      </c>
      <c r="L29" s="203" t="s">
        <v>76</v>
      </c>
      <c r="M29" s="205">
        <f>K29+6</f>
        <v>45431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45432</v>
      </c>
      <c r="L39" s="203" t="s">
        <v>76</v>
      </c>
      <c r="M39" s="205">
        <f>K39+6</f>
        <v>45438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DATE(2024,4,1)</f>
        <v>45383</v>
      </c>
      <c r="L49" s="203" t="s">
        <v>76</v>
      </c>
      <c r="M49" s="205">
        <f>DATE(2024,4,30)</f>
        <v>45412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Apr!M39+1</f>
        <v>45439</v>
      </c>
      <c r="L9" s="203" t="s">
        <v>76</v>
      </c>
      <c r="M9" s="205">
        <f>K9+6</f>
        <v>45445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45446</v>
      </c>
      <c r="L19" s="203" t="s">
        <v>76</v>
      </c>
      <c r="M19" s="205">
        <f>K19+6</f>
        <v>45452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45453</v>
      </c>
      <c r="L29" s="203" t="s">
        <v>76</v>
      </c>
      <c r="M29" s="205">
        <f>K29+6</f>
        <v>45459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45460</v>
      </c>
      <c r="L39" s="203" t="s">
        <v>76</v>
      </c>
      <c r="M39" s="205">
        <f>K39+6</f>
        <v>45466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45467</v>
      </c>
      <c r="L49" s="203" t="s">
        <v>76</v>
      </c>
      <c r="M49" s="205">
        <f>K49+6</f>
        <v>45473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DATE(2024,5,1)</f>
        <v>45413</v>
      </c>
      <c r="L59" s="203" t="s">
        <v>76</v>
      </c>
      <c r="M59" s="205">
        <f>DATE(2024,5,31)</f>
        <v>45443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45477</v>
      </c>
      <c r="L9" s="203" t="s">
        <v>76</v>
      </c>
      <c r="M9" s="205">
        <f>K9+6</f>
        <v>45483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89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92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92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92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5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45484</v>
      </c>
      <c r="L19" s="203" t="s">
        <v>76</v>
      </c>
      <c r="M19" s="205">
        <f>K19+6</f>
        <v>45490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45491</v>
      </c>
      <c r="L29" s="203" t="s">
        <v>76</v>
      </c>
      <c r="M29" s="205">
        <f>K29+6</f>
        <v>45497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45498</v>
      </c>
      <c r="L39" s="203" t="s">
        <v>76</v>
      </c>
      <c r="M39" s="205">
        <f>K39+6</f>
        <v>45504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DATE(2024,6,1)</f>
        <v>45444</v>
      </c>
      <c r="L49" s="203" t="s">
        <v>76</v>
      </c>
      <c r="M49" s="205">
        <f>DATE(2024,6,30)</f>
        <v>45473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45505</v>
      </c>
      <c r="L9" s="203" t="s">
        <v>76</v>
      </c>
      <c r="M9" s="205">
        <f>K9+6</f>
        <v>45511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IF(T$9="Y",Jun!H41,0)</f>
        <v>0</v>
      </c>
      <c r="I12" s="92">
        <f>IF(T$9="Y",Jun!I41,0)</f>
        <v>0</v>
      </c>
      <c r="J12" s="92">
        <f>IF(T$9="Y",Jun!J41,0)</f>
        <v>0</v>
      </c>
      <c r="K12" s="92">
        <f>IF(T$9="Y",Jun!K41,I12*J12)</f>
        <v>0</v>
      </c>
      <c r="L12" s="111">
        <f>IF(T$9="Y",Jun!L41,0)</f>
        <v>0</v>
      </c>
      <c r="M12" s="111" t="str">
        <f>IF(E12=" "," ",IF(T$9="Y",Jun!M41,IF((H12+K12+L12)&gt;0,H12+K12+L12,"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IF(T$9="Y",Jun!H41,0)</f>
        <v>0</v>
      </c>
      <c r="I13" s="92">
        <f>IF(T$9="Y",Jun!I41,0)</f>
        <v>0</v>
      </c>
      <c r="J13" s="92">
        <f>IF(T$9="Y",Jun!J41,0)</f>
        <v>0</v>
      </c>
      <c r="K13" s="92">
        <f>IF(T$9="Y",Jun!K41,I13*J13)</f>
        <v>0</v>
      </c>
      <c r="L13" s="111">
        <f>IF(T$9="Y",Jun!L41,0)</f>
        <v>0</v>
      </c>
      <c r="M13" s="111" t="str">
        <f>IF(E13=" "," ",IF(T$9="Y",Jun!M41,IF((H13+K13+L13)&gt;0,H13+K13+L13,"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IF(T$9="Y",Jun!H41,0)</f>
        <v>0</v>
      </c>
      <c r="I14" s="92">
        <f>IF(T$9="Y",Jun!I41,0)</f>
        <v>0</v>
      </c>
      <c r="J14" s="92">
        <f>IF(T$9="Y",Jun!J41,0)</f>
        <v>0</v>
      </c>
      <c r="K14" s="92">
        <f>IF(T$9="Y",Jun!K41,I14*J14)</f>
        <v>0</v>
      </c>
      <c r="L14" s="111">
        <f>IF(T$9="Y",Jun!L41,0)</f>
        <v>0</v>
      </c>
      <c r="M14" s="111" t="str">
        <f>IF(E14=" "," ",IF(T$9="Y",Jun!M41,IF((H14+K14+L14)&gt;0,H14+K14+L14,"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IF(T$9="Y",Jun!H41,0)</f>
        <v>0</v>
      </c>
      <c r="I15" s="245">
        <f>IF(T$9="Y",Jun!I41,0)</f>
        <v>0</v>
      </c>
      <c r="J15" s="245">
        <f>IF(T$9="Y",Jun!J41,0)</f>
        <v>0</v>
      </c>
      <c r="K15" s="245">
        <f>IF(T$9="Y",Jun!K41,I15*J15)</f>
        <v>0</v>
      </c>
      <c r="L15" s="246">
        <f>IF(T$9="Y",Jun!L41,0)</f>
        <v>0</v>
      </c>
      <c r="M15" s="246" t="str">
        <f>IF(E15=" "," ",IF(T$9="Y",Jun!M41,IF((H15+K15+L15)&gt;0,H15+K15+L15,"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45512</v>
      </c>
      <c r="L19" s="203" t="s">
        <v>76</v>
      </c>
      <c r="M19" s="205">
        <f>K19+6</f>
        <v>45518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45519</v>
      </c>
      <c r="L29" s="203" t="s">
        <v>76</v>
      </c>
      <c r="M29" s="205">
        <f>K29+6</f>
        <v>45525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45526</v>
      </c>
      <c r="L39" s="203" t="s">
        <v>76</v>
      </c>
      <c r="M39" s="205">
        <f>K39+6</f>
        <v>45532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DATE(2024,7,1)</f>
        <v>45474</v>
      </c>
      <c r="L49" s="203" t="s">
        <v>76</v>
      </c>
      <c r="M49" s="205">
        <f>DATE(2024,7,31)</f>
        <v>45504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89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92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92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92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IF(T$49="Y",Jun!H55,0)</f>
        <v>0</v>
      </c>
      <c r="I55" s="92">
        <f>IF(T$49="Y",Jun!I55,0)</f>
        <v>0</v>
      </c>
      <c r="J55" s="92">
        <f>IF(T$49="Y",Jun!J55,0)</f>
        <v>0</v>
      </c>
      <c r="K55" s="92">
        <f>IF(T$49="Y",Jun!K55,I55*J55)</f>
        <v>0</v>
      </c>
      <c r="L55" s="92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Jul!M39+1</f>
        <v>45533</v>
      </c>
      <c r="L9" s="203" t="s">
        <v>76</v>
      </c>
      <c r="M9" s="205">
        <f>K9+6</f>
        <v>45539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45540</v>
      </c>
      <c r="L19" s="203" t="s">
        <v>76</v>
      </c>
      <c r="M19" s="205">
        <f>K19+6</f>
        <v>45546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45547</v>
      </c>
      <c r="L29" s="203" t="s">
        <v>76</v>
      </c>
      <c r="M29" s="205">
        <f>K29+6</f>
        <v>45553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45554</v>
      </c>
      <c r="L39" s="203" t="s">
        <v>76</v>
      </c>
      <c r="M39" s="205">
        <f>K39+6</f>
        <v>45560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45561</v>
      </c>
      <c r="L49" s="203" t="s">
        <v>76</v>
      </c>
      <c r="M49" s="205">
        <f>K49+6</f>
        <v>45567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DATE(2024,8,1)</f>
        <v>45505</v>
      </c>
      <c r="L59" s="203" t="s">
        <v>76</v>
      </c>
      <c r="M59" s="205">
        <f>DATE(2024,8,31)</f>
        <v>45535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45568</v>
      </c>
      <c r="L9" s="203" t="s">
        <v>76</v>
      </c>
      <c r="M9" s="205">
        <f>Admin!B188</f>
        <v>45574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99" t="str">
        <f>IF(E11=" "," ",IF(T$9="Y",Aug!M51,IF((H11+K11+L11)&gt;0,H11+K11+L11,"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00" t="str">
        <f>IF(E12=" "," ",IF(T$9="Y",Aug!M52,IF((H12+K12+L12)&gt;0,H12+K12+L12,"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00" t="str">
        <f>IF(E13=" "," ",IF(T$9="Y",Aug!M53,IF((H13+K13+L13)&gt;0,H13+K13+L13,"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00" t="str">
        <f>IF(E14=" "," ",IF(T$9="Y",Aug!M54,IF((H14+K14+L14)&gt;0,H14+K14+L14,"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247" t="str">
        <f>IF(E15=" "," ",IF(T$9="Y",Aug!M55,IF((H15+K15+L15)&gt;0,H15+K15+L15,"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45575</v>
      </c>
      <c r="L19" s="203" t="s">
        <v>76</v>
      </c>
      <c r="M19" s="205">
        <f>K19+6</f>
        <v>45581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45582</v>
      </c>
      <c r="L29" s="203" t="s">
        <v>76</v>
      </c>
      <c r="M29" s="205">
        <f>K29+6</f>
        <v>45588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45589</v>
      </c>
      <c r="L39" s="203" t="s">
        <v>76</v>
      </c>
      <c r="M39" s="205">
        <f>K39+6</f>
        <v>45595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DATE(2024,9,1)</f>
        <v>45536</v>
      </c>
      <c r="L49" s="203" t="s">
        <v>76</v>
      </c>
      <c r="M49" s="205">
        <f>DATE(2024,9,30)</f>
        <v>45565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45596</v>
      </c>
      <c r="L9" s="203" t="s">
        <v>76</v>
      </c>
      <c r="M9" s="205">
        <f>K9+6</f>
        <v>45602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45603</v>
      </c>
      <c r="L19" s="203" t="s">
        <v>76</v>
      </c>
      <c r="M19" s="205">
        <f>K19+6</f>
        <v>45609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45610</v>
      </c>
      <c r="L29" s="203" t="s">
        <v>76</v>
      </c>
      <c r="M29" s="205">
        <f>K29+6</f>
        <v>45616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45617</v>
      </c>
      <c r="L39" s="203" t="s">
        <v>76</v>
      </c>
      <c r="M39" s="205">
        <f>K39+6</f>
        <v>45623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DATE(2024,10,1)</f>
        <v>45566</v>
      </c>
      <c r="L49" s="203" t="s">
        <v>76</v>
      </c>
      <c r="M49" s="205">
        <f>DATE(2024,10,31)</f>
        <v>45596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Oct!M39+1</f>
        <v>45624</v>
      </c>
      <c r="L9" s="203" t="s">
        <v>76</v>
      </c>
      <c r="M9" s="205">
        <f>K9+6</f>
        <v>45630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45631</v>
      </c>
      <c r="L19" s="203" t="s">
        <v>76</v>
      </c>
      <c r="M19" s="205">
        <f>K19+6</f>
        <v>45637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45638</v>
      </c>
      <c r="L29" s="203" t="s">
        <v>76</v>
      </c>
      <c r="M29" s="205">
        <f>K29+6</f>
        <v>45644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45645</v>
      </c>
      <c r="L39" s="203" t="s">
        <v>76</v>
      </c>
      <c r="M39" s="205">
        <f>K39+6</f>
        <v>45651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45652</v>
      </c>
      <c r="L49" s="203" t="s">
        <v>76</v>
      </c>
      <c r="M49" s="205">
        <f>K49+6</f>
        <v>45658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DATE(2024,11,1)</f>
        <v>45597</v>
      </c>
      <c r="L59" s="203" t="s">
        <v>76</v>
      </c>
      <c r="M59" s="205">
        <f>DATE(2024,11,30)</f>
        <v>45626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Nov!M49+1</f>
        <v>45659</v>
      </c>
      <c r="L9" s="203" t="s">
        <v>76</v>
      </c>
      <c r="M9" s="205">
        <f>K9+6</f>
        <v>45665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110" t="str">
        <f>IF(E11=" "," ",IF(T$9="Y",Nov!M51,IF((H11+K11+L11)&gt;0,H11+K11+L11,"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11" t="str">
        <f>IF(E12=" "," ",IF(T$9="Y",Nov!M52,IF((H12+K12+L12)&gt;0,H12+K12+L12,"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11" t="str">
        <f>IF(E13=" "," ",IF(T$9="Y",Nov!M53,IF((H13+K13+L13)&gt;0,H13+K13+L13,"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11" t="str">
        <f>IF(E14=" "," ",IF(T$9="Y",Nov!M54,IF((H14+K14+L14)&gt;0,H14+K14+L14,"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111" t="str">
        <f>IF(E15=" "," ",IF(T$9="Y",Nov!M55,IF((H15+K15+L15)&gt;0,H15+K15+L15,"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45666</v>
      </c>
      <c r="L19" s="203" t="s">
        <v>76</v>
      </c>
      <c r="M19" s="205">
        <f>K19+6</f>
        <v>45672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45673</v>
      </c>
      <c r="L29" s="203" t="s">
        <v>76</v>
      </c>
      <c r="M29" s="205">
        <f>K29+6</f>
        <v>45679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45680</v>
      </c>
      <c r="L39" s="203" t="s">
        <v>76</v>
      </c>
      <c r="M39" s="205">
        <f>K39+6</f>
        <v>45686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DATE(2024,12,1)</f>
        <v>45627</v>
      </c>
      <c r="L49" s="203" t="s">
        <v>76</v>
      </c>
      <c r="M49" s="205">
        <f>DATE(2024,12,31)</f>
        <v>45657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Dec!M39+1</f>
        <v>45687</v>
      </c>
      <c r="L9" s="203" t="s">
        <v>76</v>
      </c>
      <c r="M9" s="205">
        <f>K9+6</f>
        <v>45693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IF(T$19="Y",Dec!L45,0)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45694</v>
      </c>
      <c r="L19" s="203" t="s">
        <v>76</v>
      </c>
      <c r="M19" s="205">
        <f>K19+6</f>
        <v>45700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45701</v>
      </c>
      <c r="L29" s="203" t="s">
        <v>76</v>
      </c>
      <c r="M29" s="205">
        <f>K29+6</f>
        <v>45707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45708</v>
      </c>
      <c r="L39" s="203" t="s">
        <v>76</v>
      </c>
      <c r="M39" s="205">
        <f>K39+6</f>
        <v>45714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DATE(2025,1,1)</f>
        <v>45658</v>
      </c>
      <c r="L49" s="203" t="s">
        <v>76</v>
      </c>
      <c r="M49" s="205">
        <f>DATE(2025,1,31)</f>
        <v>45688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Jan!M39+1</f>
        <v>45715</v>
      </c>
      <c r="L9" s="203" t="s">
        <v>76</v>
      </c>
      <c r="M9" s="205">
        <f>K9+6</f>
        <v>45721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45722</v>
      </c>
      <c r="L19" s="203" t="s">
        <v>76</v>
      </c>
      <c r="M19" s="205">
        <f>K19+6</f>
        <v>45728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45729</v>
      </c>
      <c r="L29" s="203" t="s">
        <v>76</v>
      </c>
      <c r="M29" s="205">
        <f>K29+6</f>
        <v>45735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45736</v>
      </c>
      <c r="L39" s="203" t="s">
        <v>76</v>
      </c>
      <c r="M39" s="205">
        <f>K39+6</f>
        <v>45742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45743</v>
      </c>
      <c r="L49" s="203" t="s">
        <v>76</v>
      </c>
      <c r="M49" s="205">
        <f>K49+6</f>
        <v>45749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45750</v>
      </c>
      <c r="L59" s="203" t="s">
        <v>76</v>
      </c>
      <c r="M59" s="205">
        <f>K59+4</f>
        <v>45754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DATE(2025,2,1)</f>
        <v>45689</v>
      </c>
      <c r="L69" s="203" t="s">
        <v>76</v>
      </c>
      <c r="M69" s="205">
        <f>DATE(2025,2,28)</f>
        <v>45716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IF(T$69="Y",Jan!H51,0)</f>
        <v>0</v>
      </c>
      <c r="I71" s="89">
        <f>IF(T$69="Y",Jan!I51,0)</f>
        <v>0</v>
      </c>
      <c r="J71" s="89">
        <f>IF(T$69="Y",Jan!J51,0)</f>
        <v>0</v>
      </c>
      <c r="K71" s="89">
        <f>IF(T$69="Y",Jan!K51,I71*J71)</f>
        <v>0</v>
      </c>
      <c r="L71" s="110">
        <f>IF(T$69="Y",Jan!L51,0)</f>
        <v>0</v>
      </c>
      <c r="M71" s="99" t="str">
        <f>IF(E71=" "," ",IF(T$69="Y",Jan!M51,IF((H71+K71+L71)&gt;0,H71+K71+L71,"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IF(Employee!H$35=E$69,Employee!D$34+SUM(M71)+Jan!V51,SUM(M71)+Jan!V51)</f>
        <v>0</v>
      </c>
      <c r="W71" s="49">
        <f>IF(Employee!H$35=E$69,Employee!D$35+SUM(N71)+Jan!W51,SUM(N71)+Jan!W51)</f>
        <v>0</v>
      </c>
      <c r="X71" s="49">
        <f>IF(O71=" ",Jan!X51,O71+Jan!X51)</f>
        <v>0</v>
      </c>
      <c r="Y71" s="49">
        <f>IF(P71=" ",Jan!Y51,P71+Jan!Y51)</f>
        <v>0</v>
      </c>
      <c r="Z71" s="49">
        <f>IF(Q71=" ",Jan!Z51,Q71+Jan!Z51)</f>
        <v>0</v>
      </c>
      <c r="AA71" s="49">
        <f>IF(R71=" ",Jan!AA51,R71+Jan!AA51)</f>
        <v>0</v>
      </c>
      <c r="AC71" s="49">
        <f>IF(T71=" ",Jan!AC51,T71+Jan!AC51)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IF(T$69="Y",Jan!H52,0)</f>
        <v>0</v>
      </c>
      <c r="I72" s="92">
        <f>IF(T$69="Y",Jan!I52,0)</f>
        <v>0</v>
      </c>
      <c r="J72" s="92">
        <f>IF(T$69="Y",Jan!J52,0)</f>
        <v>0</v>
      </c>
      <c r="K72" s="92">
        <f>IF(T$69="Y",Jan!K52,I72*J72)</f>
        <v>0</v>
      </c>
      <c r="L72" s="111">
        <f>IF(T$69="Y",Jan!L52,0)</f>
        <v>0</v>
      </c>
      <c r="M72" s="100" t="str">
        <f>IF(E72=" "," ",IF(T$69="Y",Jan!M52,IF((H72+K72+L72)&gt;0,H72+K72+L72,"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IF(Employee!H$61=E$69,Employee!D$60+SUM(M72)+Jan!V52,SUM(M72)+Jan!V52)</f>
        <v>0</v>
      </c>
      <c r="W72" s="49">
        <f>IF(Employee!H$61=E$69,Employee!D$61+SUM(N72)+Jan!W52,SUM(N72)+Jan!W52)</f>
        <v>0</v>
      </c>
      <c r="X72" s="49">
        <f>IF(O72=" ",Jan!X52,O72+Jan!X52)</f>
        <v>0</v>
      </c>
      <c r="Y72" s="49">
        <f>IF(P72=" ",Jan!Y52,P72+Jan!Y52)</f>
        <v>0</v>
      </c>
      <c r="Z72" s="49">
        <f>IF(Q72=" ",Jan!Z52,Q72+Jan!Z52)</f>
        <v>0</v>
      </c>
      <c r="AA72" s="49">
        <f>IF(R72=" ",Jan!AA52,R72+Jan!AA52)</f>
        <v>0</v>
      </c>
      <c r="AC72" s="49">
        <f>IF(T72=" ",Jan!AC52,T72+Jan!AC52)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IF(T$69="Y",Jan!H53,0)</f>
        <v>0</v>
      </c>
      <c r="I73" s="92">
        <f>IF(T$69="Y",Jan!I53,0)</f>
        <v>0</v>
      </c>
      <c r="J73" s="92">
        <f>IF(T$69="Y",Jan!J53,0)</f>
        <v>0</v>
      </c>
      <c r="K73" s="92">
        <f>IF(T$69="Y",Jan!K53,I73*J73)</f>
        <v>0</v>
      </c>
      <c r="L73" s="111">
        <f>IF(T$69="Y",Jan!L53,0)</f>
        <v>0</v>
      </c>
      <c r="M73" s="100" t="str">
        <f>IF(E73=" "," ",IF(T$69="Y",Jan!M53,IF((H73+K73+L73)&gt;0,H73+K73+L73,"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IF(Employee!H$87=E$69,Employee!D$86+SUM(M73)+Jan!V53,SUM(M73)+Jan!V53)</f>
        <v>0</v>
      </c>
      <c r="W73" s="49">
        <f>IF(Employee!H$87=E$69,Employee!D$87+SUM(N73)+Jan!W53,SUM(N73)+Jan!W53)</f>
        <v>0</v>
      </c>
      <c r="X73" s="49">
        <f>IF(O73=" ",Jan!X53,O73+Jan!X53)</f>
        <v>0</v>
      </c>
      <c r="Y73" s="49">
        <f>IF(P73=" ",Jan!Y53,P73+Jan!Y53)</f>
        <v>0</v>
      </c>
      <c r="Z73" s="49">
        <f>IF(Q73=" ",Jan!Z53,Q73+Jan!Z53)</f>
        <v>0</v>
      </c>
      <c r="AA73" s="49">
        <f>IF(R73=" ",Jan!AA53,R73+Jan!AA53)</f>
        <v>0</v>
      </c>
      <c r="AC73" s="49">
        <f>IF(T73=" ",Jan!AC53,T73+Jan!AC53)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IF(T$69="Y",Jan!H54,0)</f>
        <v>0</v>
      </c>
      <c r="I74" s="92">
        <f>IF(T$69="Y",Jan!I54,0)</f>
        <v>0</v>
      </c>
      <c r="J74" s="92">
        <f>IF(T$69="Y",Jan!J54,0)</f>
        <v>0</v>
      </c>
      <c r="K74" s="92">
        <f>IF(T$69="Y",Jan!K54,I74*J74)</f>
        <v>0</v>
      </c>
      <c r="L74" s="111">
        <f>IF(T$69="Y",Jan!L54,0)</f>
        <v>0</v>
      </c>
      <c r="M74" s="100" t="str">
        <f>IF(E74=" "," ",IF(T$69="Y",Jan!M54,IF((H74+K74+L74)&gt;0,H74+K74+L74,"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IF(Employee!H$113=E$69,Employee!D$112+SUM(M74)+Jan!V54,SUM(M74)+Jan!V54)</f>
        <v>0</v>
      </c>
      <c r="W74" s="49">
        <f>IF(Employee!H$113=E$69,Employee!D$113+SUM(N74)+Jan!W54,SUM(N74)+Jan!W54)</f>
        <v>0</v>
      </c>
      <c r="X74" s="49">
        <f>IF(O74=" ",Jan!X54,O74+Jan!X54)</f>
        <v>0</v>
      </c>
      <c r="Y74" s="49">
        <f>IF(P74=" ",Jan!Y54,P74+Jan!Y54)</f>
        <v>0</v>
      </c>
      <c r="Z74" s="49">
        <f>IF(Q74=" ",Jan!Z54,Q74+Jan!Z54)</f>
        <v>0</v>
      </c>
      <c r="AA74" s="49">
        <f>IF(R74=" ",Jan!AA54,R74+Jan!AA54)</f>
        <v>0</v>
      </c>
      <c r="AC74" s="49">
        <f>IF(T74=" ",Jan!AC54,T74+Jan!AC54)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IF(T$69="Y",Jan!H55,0)</f>
        <v>0</v>
      </c>
      <c r="I75" s="245">
        <f>IF(T$69="Y",Jan!I55,0)</f>
        <v>0</v>
      </c>
      <c r="J75" s="245">
        <f>IF(T$69="Y",Jan!J55,0)</f>
        <v>0</v>
      </c>
      <c r="K75" s="245">
        <f>IF(T$69="Y",Jan!K55,I75*J75)</f>
        <v>0</v>
      </c>
      <c r="L75" s="246">
        <f>IF(T$69="Y",Jan!L55,0)</f>
        <v>0</v>
      </c>
      <c r="M75" s="100" t="str">
        <f>IF(E75=" "," ",IF(T$69="Y",Jan!M55,IF((H75+K75+L75)&gt;0,H75+K75+L75,"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IF(Employee!H$139=E$69,Employee!D$138+SUM(M75)+Jan!V55,SUM(M75)+Jan!V55)</f>
        <v>0</v>
      </c>
      <c r="W75" s="49">
        <f>IF(Employee!H$139=E$69,Employee!D$139+SUM(N75)+Jan!W55,SUM(N75)+Jan!W55)</f>
        <v>0</v>
      </c>
      <c r="X75" s="49">
        <f>IF(O75=" ",Jan!X55,O75+Jan!X55)</f>
        <v>0</v>
      </c>
      <c r="Y75" s="49">
        <f>IF(P75=" ",Jan!Y55,P75+Jan!Y55)</f>
        <v>0</v>
      </c>
      <c r="Z75" s="49">
        <f>IF(Q75=" ",Jan!Z55,Q75+Jan!Z55)</f>
        <v>0</v>
      </c>
      <c r="AA75" s="49">
        <f>IF(R75=" ",Jan!AA55,R75+Jan!AA55)</f>
        <v>0</v>
      </c>
      <c r="AC75" s="49">
        <f>IF(T75=" ",Jan!AC55,T75+Jan!AC55)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AD80+Jan!AD65</f>
        <v>0</v>
      </c>
      <c r="AE85" s="158">
        <f>AE80+Jan!AE65</f>
        <v>0</v>
      </c>
      <c r="AF85" s="158">
        <f>AF80+Jan!AF65</f>
        <v>0</v>
      </c>
      <c r="AG85" s="158">
        <f>AG80+Jan!AG65</f>
        <v>0</v>
      </c>
    </row>
    <row r="86" spans="6:33" ht="14" thickTop="1" x14ac:dyDescent="0.15"/>
    <row r="87" spans="6:33" x14ac:dyDescent="0.15">
      <c r="AD87" s="162"/>
      <c r="AE87" s="158">
        <f>AE82+Jan!AE67</f>
        <v>0</v>
      </c>
      <c r="AF87" s="158">
        <f>AF82+Jan!AF67</f>
        <v>0</v>
      </c>
      <c r="AG87" s="158">
        <f>AG82+Jan!AG67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Mar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45389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45389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45389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45389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45389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DATE(2024,4,30)</f>
        <v>45412</v>
      </c>
      <c r="C4" s="229">
        <f>DATE(2024,5,19)</f>
        <v>45431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DATE(2024,5,31)</f>
        <v>45443</v>
      </c>
      <c r="C5" s="229">
        <f>DATE(2024,6,19)</f>
        <v>45462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DATE(2024,6,30)</f>
        <v>45473</v>
      </c>
      <c r="C6" s="229">
        <f>DATE(2024,7,19)</f>
        <v>45492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DATE(2024,7,31)</f>
        <v>45504</v>
      </c>
      <c r="C7" s="229">
        <f>DATE(2024,8,19)</f>
        <v>45523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DATE(2024,8,31)</f>
        <v>45535</v>
      </c>
      <c r="C8" s="229">
        <f>DATE(2024,9,19)</f>
        <v>45554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DATE(2024,9,30)</f>
        <v>45565</v>
      </c>
      <c r="C9" s="229">
        <f>DATE(2024,10,19)</f>
        <v>45584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DATE(2024,10,31)</f>
        <v>45596</v>
      </c>
      <c r="C10" s="229">
        <f>DATE(2024,11,19)</f>
        <v>45615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DATE(2024,11,30)</f>
        <v>45626</v>
      </c>
      <c r="C11" s="229">
        <f>DATE(2024,12,19)</f>
        <v>45645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DATE(2024,12,31)</f>
        <v>45657</v>
      </c>
      <c r="C12" s="229">
        <f>DATE(2025,1,19)</f>
        <v>45676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DATE(2025,1,31)</f>
        <v>45688</v>
      </c>
      <c r="C13" s="229">
        <f>DATE(2025,2,19)</f>
        <v>45707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DATE(2025,2,28)</f>
        <v>45716</v>
      </c>
      <c r="C14" s="229">
        <f>DATE(2025,3,19)</f>
        <v>45735</v>
      </c>
      <c r="D14" s="227">
        <f>Feb!T1+Feb!O1</f>
        <v>0</v>
      </c>
      <c r="E14" s="228">
        <f>Feb!N1</f>
        <v>0</v>
      </c>
      <c r="F14" s="228">
        <f>Feb!AD80+Feb!AE80+Feb!AF80+Feb!AG80</f>
        <v>0</v>
      </c>
      <c r="G14" s="228">
        <f>Feb!AE82+Feb!AF82+Feb!AG82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DATE(2025,3,31)</f>
        <v>45747</v>
      </c>
      <c r="C15" s="229">
        <f>DATE(2025,4,19)</f>
        <v>45766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TEXT(DATE(YEAR(B$2),MONTH(B$2)+(D2-1)+11,1),"Mmm")</f>
        <v>Mar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TEXT(DATE(YEAR(B$2),MONTH(B$2)+(D3-1)+11,1),"Mmm")</f>
        <v>Mar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Mar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Mar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Mar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Mar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Mar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Mar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Mar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Mar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Mar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Mar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Mar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Mar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Mar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Mar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Mar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Mar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Mar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Mar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Mar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Mar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Mar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Mar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Mar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Mar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Apr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Apr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Apr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Apr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Apr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Apr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Apr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Apr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Apr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Apr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Apr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Apr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Apr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Apr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Apr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Apr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Apr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Apr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Apr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Apr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Apr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Apr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Apr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Apr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Apr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Apr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Apr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Apr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May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May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May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May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May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May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May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May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May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May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May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TEXT(DATE(YEAR(B$2),MONTH(B$2)+(D67-1)+11,1),"Mmm")</f>
        <v>May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May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May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May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May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May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May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May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May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May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May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May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May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May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May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May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May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May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May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May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May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May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May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May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Jun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Jun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Jun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Jun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Jun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Jun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Jun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Jun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Jun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Jun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Jun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Jun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Jun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Jun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Jun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Jun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Jun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Jun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Jun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Jun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Jun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Jun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Jun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Jun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Jun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Jun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Jun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Jun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Jul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Jul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Jul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Jul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Jul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Jul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Jul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Jul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Jul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Jul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Jul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Jul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TEXT(DATE(YEAR(B$2),MONTH(B$2)+(D131-1)+11,1),"Mmm")</f>
        <v>Jul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Jul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Jul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Jul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Jul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Jul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Jul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Jul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Jul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Jul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Jul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Jul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Jul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Jul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Jul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Jul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Aug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Aug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Aug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Aug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Aug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Aug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Aug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Aug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Aug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Aug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Aug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Aug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Aug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Aug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Aug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Aug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Aug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Aug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Aug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Aug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Aug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Aug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Aug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Aug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Aug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Aug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Aug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Aug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Aug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Aug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Aug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Aug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Aug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Aug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Aug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Sep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Sep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Sep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Sep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Sep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Sep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Sep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Sep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Sep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Sep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Sep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Sep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Sep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TEXT(DATE(YEAR(B$2),MONTH(B$2)+(D195-1)+11,1),"Mmm")</f>
        <v>Sep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Sep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Sep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Sep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Sep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Sep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Sep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Sep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Sep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Sep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Sep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Sep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Sep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Sep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Sep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Oct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Oct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Oct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Oct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Oct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Oct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Oct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Oct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Oct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Oct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Oct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Oct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Oct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Oct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Oct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Oct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Oct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Oct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Oct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Oct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Oct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Oct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Oct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Oct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Oct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Oct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Oct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Oct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Nov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Nov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Nov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Nov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Nov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Nov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Nov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Nov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Nov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Nov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Nov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Nov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Nov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Nov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Nov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Nov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Nov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Nov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Nov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Nov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Nov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TEXT(DATE(YEAR(B$2),MONTH(B$2)+(D259-1)+11,1),"Mmm")</f>
        <v>Nov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Nov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Nov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Nov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Nov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Nov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Nov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Nov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Nov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Nov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Nov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Nov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Nov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Nov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Dec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Dec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Dec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Dec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Dec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Dec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Dec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Dec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Dec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Dec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Dec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Dec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Dec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Dec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Dec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Dec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Dec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Dec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Dec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Dec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Dec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Dec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Dec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Dec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Dec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Dec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Dec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Dec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Jan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Jan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Jan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Jan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Jan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Jan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Jan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Jan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Jan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Jan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Jan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Jan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Jan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Jan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Jan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Jan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Jan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Jan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Jan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Jan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Jan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Jan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TEXT(DATE(YEAR(B$2),MONTH(B$2)+(D323-1)+11,1),"Mmm")</f>
        <v>Jan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Jan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Jan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Jan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Jan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Jan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Feb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Feb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Feb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Feb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Feb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Feb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Feb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Feb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Feb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Feb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Feb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Feb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Feb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Feb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Feb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Feb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Feb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Feb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Feb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Feb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Feb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Feb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Feb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Feb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Feb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Feb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Feb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Feb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Feb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Feb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Feb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Feb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Feb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Feb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Feb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Feb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Feb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Feb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Feb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Feb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Feb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Feb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Feb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Feb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Feb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Feb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Feb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Feb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Feb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Feb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Feb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Feb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Feb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