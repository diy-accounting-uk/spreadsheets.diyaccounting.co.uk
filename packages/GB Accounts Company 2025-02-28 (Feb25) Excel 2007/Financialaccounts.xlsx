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<sst xmlns="http://schemas.openxmlformats.org/spreadsheetml/2006/main" count="1029" uniqueCount="626">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</sst>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[2]Apr!$AI$1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[2]May!$AI$1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[2]Jul!$AI$1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[2]Aug!$AI$1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[2]Sep!$AI$1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[2]Oct!$AI$1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[2]Nov!$AI$1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[2]Dec!$AI$1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[2]Jan!$AI$1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[2]Feb!$AI$1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-[3]Apr!$U$1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-[3]May!$U$1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-[3]Jul!$U$1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-[3]Aug!$U$1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-[3]Sep!$U$1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-[3]Oct!$U$1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-[3]Nov!$U$1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-[3]Dec!$U$1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-[3]Jan!$U$1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-[3]Feb!$U$1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[3]Mar!$F$1-[3]Mar!$V$1</f>
        <v>0</v>
      </c>
      <c r="G20" s="22"/>
      <c r="H20" s="22">
        <f>-[4]Mar!$J$1</f>
        <v>0</v>
      </c>
      <c r="I20" s="22">
        <f>-[5]Mar!$J$1</f>
        <v>0</v>
      </c>
      <c r="J20" s="22">
        <f>-[6]Mar!$J$1</f>
        <v>0</v>
      </c>
      <c r="K20" s="22">
        <f>-[7]Mar!$J$1</f>
        <v>0</v>
      </c>
      <c r="L20" s="22"/>
      <c r="N20" s="21"/>
      <c r="O20" s="22">
        <f t="shared" si="1"/>
        <v>0</v>
      </c>
      <c r="P20" s="21"/>
      <c r="Q20" s="22">
        <f>[3]Apr!$F$1-[3]Apr!$V$1</f>
        <v>0</v>
      </c>
      <c r="R20" s="22"/>
      <c r="S20" s="22">
        <f>-[4]Apr!$J$1</f>
        <v>0</v>
      </c>
      <c r="T20" s="22">
        <f>-[5]Apr!$J$1</f>
        <v>0</v>
      </c>
      <c r="U20" s="22">
        <f>-[6]Apr!$J$1</f>
        <v>0</v>
      </c>
      <c r="V20" s="22">
        <f>-[7]Apr!$J$1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[3]May!$F$1-[3]May!$V$1</f>
        <v>0</v>
      </c>
      <c r="AC20" s="22"/>
      <c r="AD20" s="22">
        <f>-[4]May!$J$1</f>
        <v>0</v>
      </c>
      <c r="AE20" s="22">
        <f>-[5]May!$J$1</f>
        <v>0</v>
      </c>
      <c r="AF20" s="22">
        <f>-[6]May!$J$1</f>
        <v>0</v>
      </c>
      <c r="AG20" s="22">
        <f>-[7]May!$J$1</f>
        <v>0</v>
      </c>
      <c r="AH20" s="22"/>
      <c r="AI20" s="22"/>
      <c r="AJ20" s="13"/>
      <c r="AK20" s="22">
        <f t="shared" si="3"/>
        <v>0</v>
      </c>
      <c r="AL20" s="21"/>
      <c r="AM20" s="22">
        <f>[3]Jun!$F$1-[3]Jun!$V$1</f>
        <v>0</v>
      </c>
      <c r="AN20" s="22"/>
      <c r="AO20" s="22">
        <f>-[4]Jun!$J$1</f>
        <v>0</v>
      </c>
      <c r="AP20" s="22">
        <f>-[5]Jun!$J$1</f>
        <v>0</v>
      </c>
      <c r="AQ20" s="22">
        <f>-[6]Jun!$J$1</f>
        <v>0</v>
      </c>
      <c r="AR20" s="22">
        <f>-[7]Jun!$J$1</f>
        <v>0</v>
      </c>
      <c r="AS20" s="22"/>
      <c r="AT20" s="22"/>
      <c r="AU20" s="13"/>
      <c r="AV20" s="22">
        <f t="shared" si="4"/>
        <v>0</v>
      </c>
      <c r="AW20" s="21"/>
      <c r="AX20" s="22">
        <f>[3]Jul!$F$1-[3]Jul!$V$1</f>
        <v>0</v>
      </c>
      <c r="AY20" s="22"/>
      <c r="AZ20" s="22">
        <f>-[4]Jul!$J$1</f>
        <v>0</v>
      </c>
      <c r="BA20" s="22">
        <f>-[5]Jul!$J$1</f>
        <v>0</v>
      </c>
      <c r="BB20" s="22">
        <f>-[6]Jul!$J$1</f>
        <v>0</v>
      </c>
      <c r="BC20" s="22">
        <f>-[7]Jul!$J$1</f>
        <v>0</v>
      </c>
      <c r="BD20" s="22"/>
      <c r="BE20" s="22"/>
      <c r="BF20" s="13"/>
      <c r="BG20" s="22">
        <f t="shared" si="5"/>
        <v>0</v>
      </c>
      <c r="BH20" s="21"/>
      <c r="BI20" s="22">
        <f>[3]Aug!$F$1-[3]Aug!$V$1</f>
        <v>0</v>
      </c>
      <c r="BJ20" s="22"/>
      <c r="BK20" s="22">
        <f>-[4]Aug!$J$1</f>
        <v>0</v>
      </c>
      <c r="BL20" s="22">
        <f>-[5]Aug!$J$1</f>
        <v>0</v>
      </c>
      <c r="BM20" s="22">
        <f>-[6]Aug!$J$1</f>
        <v>0</v>
      </c>
      <c r="BN20" s="22">
        <f>-[7]Aug!$J$1</f>
        <v>0</v>
      </c>
      <c r="BO20" s="22"/>
      <c r="BP20" s="22"/>
      <c r="BQ20" s="13"/>
      <c r="BR20" s="22">
        <f t="shared" si="6"/>
        <v>0</v>
      </c>
      <c r="BS20" s="21"/>
      <c r="BT20" s="22">
        <f>[3]Sep!$F$1-[3]Sep!$V$1</f>
        <v>0</v>
      </c>
      <c r="BU20" s="22"/>
      <c r="BV20" s="22">
        <f>-[4]Sep!$J$1</f>
        <v>0</v>
      </c>
      <c r="BW20" s="22">
        <f>-[5]Sep!$J$1</f>
        <v>0</v>
      </c>
      <c r="BX20" s="22">
        <f>-[6]Sep!$J$1</f>
        <v>0</v>
      </c>
      <c r="BY20" s="22">
        <f>-[7]Sep!$J$1</f>
        <v>0</v>
      </c>
      <c r="BZ20" s="22"/>
      <c r="CA20" s="22"/>
      <c r="CB20" s="13"/>
      <c r="CC20" s="22">
        <f t="shared" si="7"/>
        <v>0</v>
      </c>
      <c r="CD20" s="21"/>
      <c r="CE20" s="22">
        <f>[3]Oct!$F$1-[3]Oct!$V$1</f>
        <v>0</v>
      </c>
      <c r="CF20" s="22"/>
      <c r="CG20" s="22">
        <f>-[4]Oct!$J$1</f>
        <v>0</v>
      </c>
      <c r="CH20" s="22">
        <f>-[5]Oct!$J$1</f>
        <v>0</v>
      </c>
      <c r="CI20" s="22">
        <f>-[6]Oct!$J$1</f>
        <v>0</v>
      </c>
      <c r="CJ20" s="22">
        <f>-[7]Oct!$J$1</f>
        <v>0</v>
      </c>
      <c r="CK20" s="22"/>
      <c r="CL20" s="22"/>
      <c r="CM20" s="13"/>
      <c r="CN20" s="22">
        <f t="shared" si="8"/>
        <v>0</v>
      </c>
      <c r="CO20" s="21"/>
      <c r="CP20" s="22">
        <f>[3]Nov!$F$1-[3]Nov!$V$1</f>
        <v>0</v>
      </c>
      <c r="CQ20" s="22"/>
      <c r="CR20" s="22">
        <f>-[4]Nov!$J$1</f>
        <v>0</v>
      </c>
      <c r="CS20" s="22">
        <f>-[5]Nov!$J$1</f>
        <v>0</v>
      </c>
      <c r="CT20" s="22">
        <f>-[6]Nov!$J$1</f>
        <v>0</v>
      </c>
      <c r="CU20" s="22">
        <f>-[7]Nov!$J$1</f>
        <v>0</v>
      </c>
      <c r="CV20" s="22"/>
      <c r="CW20" s="22"/>
      <c r="CX20" s="13"/>
      <c r="CY20" s="22">
        <f t="shared" si="9"/>
        <v>0</v>
      </c>
      <c r="CZ20" s="21"/>
      <c r="DA20" s="22">
        <f>[3]Dec!$F$1-[3]Dec!$V$1</f>
        <v>0</v>
      </c>
      <c r="DB20" s="22"/>
      <c r="DC20" s="22">
        <f>-[4]Dec!$J$1</f>
        <v>0</v>
      </c>
      <c r="DD20" s="22">
        <f>-[5]Dec!$J$1</f>
        <v>0</v>
      </c>
      <c r="DE20" s="22">
        <f>-[6]Dec!$J$1</f>
        <v>0</v>
      </c>
      <c r="DF20" s="22">
        <f>-[7]Dec!$J$1</f>
        <v>0</v>
      </c>
      <c r="DG20" s="22"/>
      <c r="DH20" s="22"/>
      <c r="DI20" s="13"/>
      <c r="DJ20" s="22">
        <f t="shared" si="10"/>
        <v>0</v>
      </c>
      <c r="DK20" s="21"/>
      <c r="DL20" s="22">
        <f>[3]Jan!$F$1-[3]Jan!$V$1</f>
        <v>0</v>
      </c>
      <c r="DM20" s="22"/>
      <c r="DN20" s="22">
        <f>-[4]Jan!$J$1</f>
        <v>0</v>
      </c>
      <c r="DO20" s="22">
        <f>-[5]Jan!$J$1</f>
        <v>0</v>
      </c>
      <c r="DP20" s="22">
        <f>-[6]Jan!$J$1</f>
        <v>0</v>
      </c>
      <c r="DQ20" s="22">
        <f>-[7]Jan!$J$1</f>
        <v>0</v>
      </c>
      <c r="DR20" s="22"/>
      <c r="DS20" s="22"/>
      <c r="DT20" s="13"/>
      <c r="DU20" s="22">
        <f t="shared" si="11"/>
        <v>0</v>
      </c>
      <c r="DV20" s="21"/>
      <c r="DW20" s="22">
        <f>[3]Feb!$F$1-[3]Feb!$V$1</f>
        <v>0</v>
      </c>
      <c r="DX20" s="22"/>
      <c r="DY20" s="22">
        <f>-[4]Feb!$J$1</f>
        <v>0</v>
      </c>
      <c r="DZ20" s="22">
        <f>-[5]Feb!$J$1</f>
        <v>0</v>
      </c>
      <c r="EA20" s="22">
        <f>-[6]Feb!$J$1</f>
        <v>0</v>
      </c>
      <c r="EB20" s="22">
        <f>-[7]Feb!$J$1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[4]Mar!$F$1-[4]Mar!$X$1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[4]Apr!$F$1-[4]Apr!$X$1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[4]May!$F$1-[4]May!$X$1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[4]Jun!$F$1-[4]Jun!$X$1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[4]Jul!$F$1-[4]Jul!$X$1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[4]Aug!$F$1-[4]Aug!$X$1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[4]Sep!$F$1-[4]Sep!$X$1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[4]Oct!$F$1-[4]Oct!$X$1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[4]Nov!$F$1-[4]Nov!$X$1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[4]Dec!$F$1-[4]Dec!$X$1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[4]Jan!$F$1-[4]Jan!$X$1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[4]Feb!$F$1-[4]Feb!$X$1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[5]Mar!$F$1-[5]Mar!$X$1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[5]Apr!$F$1-[5]Apr!$X$1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[5]May!$F$1-[5]May!$X$1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[5]Jun!$F$1-[5]Jun!$X$1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[5]Jul!$F$1-[5]Jul!$X$1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[5]Aug!$F$1-[5]Aug!$X$1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[5]Sep!$F$1-[5]Sep!$X$1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[5]Oct!$F$1-[5]Oct!$X$1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[5]Nov!$F$1-[5]Nov!$X$1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[5]Dec!$F$1-[5]Dec!$X$1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[5]Jan!$F$1-[5]Jan!$X$1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[5]Feb!$F$1-[5]Feb!$X$1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[6]Mar!$F$1-[6]Mar!$X$1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[6]Apr!$F$1-[6]Apr!$X$1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[6]May!$F$1-[6]May!$X$1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[6]Jun!$F$1-[6]Jun!$X$1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[6]Jul!$F$1-[6]Jul!$X$1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[6]Aug!$F$1-[6]Aug!$X$1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[6]Sep!$F$1-[6]Sep!$X$1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[6]Oct!$F$1-[6]Oct!$X$1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[6]Nov!$F$1-[6]Nov!$X$1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[6]Dec!$F$1-[6]Dec!$X$1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[6]Jan!$F$1-[6]Jan!$X$1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[6]Feb!$F$1-[6]Feb!$X$1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[7]Mar!$F$1-[7]Mar!$U$1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[7]Apr!$F$1-[7]Apr!$U$1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[7]May!$F$1-[7]May!$U$1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[7]Jun!$F$1-[7]Jun!$U$1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[7]Jul!$F$1-[7]Jul!$U$1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[7]Aug!$F$1-[7]Aug!$U$1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[7]Sep!$F$1-[7]Sep!$U$1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[7]Oct!$F$1-[7]Oct!$U$1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[7]Nov!$F$1-[7]Nov!$U$1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[7]Dec!$F$1-[7]Dec!$U$1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[7]Jan!$F$1-[7]Jan!$U$1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[7]Feb!$F$1-[7]Feb!$U$1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-[4]Mar!$G$1-[4]Mar!$H$1-[4]Mar!$I$1+[4]Mar!$Y$1+[4]Mar!$Z$1+[4]Mar!$AA$1</f>
        <v>0</v>
      </c>
      <c r="I26" s="22">
        <f>-[5]Mar!$G$1-[5]Mar!$H$1-[5]Mar!$I$1+[5]Mar!$Y$1+[5]Mar!$Z$1+[5]Mar!$AA$1</f>
        <v>0</v>
      </c>
      <c r="J26" s="22">
        <f>-[6]Mar!$G$1-[6]Mar!$H$1-[6]Mar!$I$1+[6]Mar!$Y$1+[6]Mar!$Z$1+[6]Mar!$AA$1</f>
        <v>0</v>
      </c>
      <c r="K26" s="22">
        <f>-[7]Mar!$G$1-[7]Mar!$H$1-[7]Mar!$I$1+[7]Mar!$V$1+[7]Mar!$W$1+[7]Mar!$X$1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-[4]Apr!$G$1-[4]Apr!$H$1-[4]Apr!$I$1+[4]Apr!$Y$1+[4]Apr!$Z$1+[4]Apr!$AA$1</f>
        <v>0</v>
      </c>
      <c r="T26" s="22">
        <f>-[5]Apr!$G$1-[5]Apr!$H$1-[5]Apr!$I$1+[5]Apr!$Y$1+[5]Apr!$Z$1+[5]Apr!$AA$1</f>
        <v>0</v>
      </c>
      <c r="U26" s="22">
        <f>-[6]Apr!$G$1-[6]Apr!$H$1-[6]Apr!$I$1+[6]Apr!$Y$1+[6]Apr!$Z$1+[6]Apr!$AA$1</f>
        <v>0</v>
      </c>
      <c r="V26" s="22">
        <f>-[7]Apr!$G$1-[7]Apr!$H$1-[7]Apr!$I$1+[7]Apr!$V$1+[7]Apr!$W$1+[7]Apr!$X$1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-[4]May!$G$1-[4]May!$H$1-[4]May!$I$1+[4]May!$Y$1+[4]May!$Z$1+[4]May!$AA$1</f>
        <v>0</v>
      </c>
      <c r="AE26" s="22">
        <f>-[5]May!$G$1-[5]May!$H$1-[5]May!$I$1+[5]May!$Y$1+[5]May!$Z$1+[5]May!$AA$1</f>
        <v>0</v>
      </c>
      <c r="AF26" s="22">
        <f>-[6]May!$G$1-[6]May!$H$1-[6]May!$I$1+[6]May!$Y$1+[6]May!$Z$1+[6]May!$AA$1</f>
        <v>0</v>
      </c>
      <c r="AG26" s="22">
        <f>-[7]May!$G$1-[7]May!$H$1-[7]May!$I$1+[7]May!$V$1+[7]May!$W$1+[7]May!$X$1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-[4]Jun!$G$1-[4]Jun!$H$1-[4]Jun!$I$1+[4]Jun!$Y$1+[4]Jun!$Z$1+[4]Jun!$AA$1</f>
        <v>0</v>
      </c>
      <c r="AP26" s="22">
        <f>-[5]Jun!$G$1-[5]Jun!$H$1-[5]Jun!$I$1+[5]Jun!$Y$1+[5]Jun!$Z$1+[5]Jun!$AA$1</f>
        <v>0</v>
      </c>
      <c r="AQ26" s="22">
        <f>-[6]Jun!$G$1-[6]Jun!$H$1-[6]Jun!$I$1+[6]Jun!$Y$1+[6]Jun!$Z$1+[6]Jun!$AA$1</f>
        <v>0</v>
      </c>
      <c r="AR26" s="22">
        <f>-[7]Jun!$G$1-[7]Jun!$H$1-[7]Jun!$I$1+[7]Jun!$V$1+[7]Jun!$W$1+[7]Jun!$X$1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-[4]Jul!$G$1-[4]Jul!$H$1-[4]Jul!$I$1+[4]Jul!$Y$1+[4]Jul!$Z$1+[4]Jul!$AA$1</f>
        <v>0</v>
      </c>
      <c r="BA26" s="22">
        <f>-[5]Jul!$G$1-[5]Jul!$H$1-[5]Jul!$I$1+[5]Jul!$Y$1+[5]Jul!$Z$1+[5]Jul!$AA$1</f>
        <v>0</v>
      </c>
      <c r="BB26" s="22">
        <f>-[6]Jul!$G$1-[6]Jul!$H$1-[6]Jul!$I$1+[6]Jul!$Y$1+[6]Jul!$Z$1+[6]Jul!$AA$1</f>
        <v>0</v>
      </c>
      <c r="BC26" s="22">
        <f>-[7]Jul!$G$1-[7]Jul!$H$1-[7]Jul!$I$1+[7]Jul!$V$1+[7]Jul!$W$1+[7]Jul!$X$1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-[4]Aug!$G$1-[4]Aug!$H$1-[4]Aug!$I$1+[4]Aug!$Y$1+[4]Aug!$Z$1+[4]Aug!$AA$1</f>
        <v>0</v>
      </c>
      <c r="BL26" s="22">
        <f>-[5]Aug!$G$1-[5]Aug!$H$1-[5]Aug!$I$1+[5]Aug!$Y$1+[5]Aug!$Z$1+[5]Aug!$AA$1</f>
        <v>0</v>
      </c>
      <c r="BM26" s="22">
        <f>-[6]Aug!$G$1-[6]Aug!$H$1-[6]Aug!$I$1+[6]Aug!$Y$1+[6]Aug!$Z$1+[6]Aug!$AA$1</f>
        <v>0</v>
      </c>
      <c r="BN26" s="22">
        <f>-[7]Aug!$G$1-[7]Aug!$H$1-[7]Aug!$I$1+[7]Aug!$V$1+[7]Aug!$W$1+[7]Aug!$X$1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-[4]Sep!$G$1-[4]Sep!$H$1-[4]Sep!$I$1+[4]Sep!$Y$1+[4]Sep!$Z$1+[4]Sep!$AA$1</f>
        <v>0</v>
      </c>
      <c r="BW26" s="22">
        <f>-[5]Sep!$G$1-[5]Sep!$H$1-[5]Sep!$I$1+[5]Sep!$Y$1+[5]Sep!$Z$1+[5]Sep!$AA$1</f>
        <v>0</v>
      </c>
      <c r="BX26" s="22">
        <f>-[6]Sep!$G$1-[6]Sep!$H$1-[6]Sep!$I$1+[6]Sep!$Y$1+[6]Sep!$Z$1+[6]Sep!$AA$1</f>
        <v>0</v>
      </c>
      <c r="BY26" s="22">
        <f>-[7]Sep!$G$1-[7]Sep!$H$1-[7]Sep!$I$1+[7]Sep!$V$1+[7]Sep!$W$1+[7]Sep!$X$1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-[4]Oct!$G$1-[4]Oct!$H$1-[4]Oct!$I$1+[4]Oct!$Y$1+[4]Oct!$Z$1+[4]Oct!$AA$1</f>
        <v>0</v>
      </c>
      <c r="CH26" s="22">
        <f>-[5]Oct!$G$1-[5]Oct!$H$1-[5]Oct!$I$1+[5]Oct!$Y$1+[5]Oct!$Z$1+[5]Oct!$AA$1</f>
        <v>0</v>
      </c>
      <c r="CI26" s="22">
        <f>-[6]Oct!$G$1-[6]Oct!$H$1-[6]Oct!$I$1+[6]Oct!$Y$1+[6]Oct!$Z$1+[6]Oct!$AA$1</f>
        <v>0</v>
      </c>
      <c r="CJ26" s="22">
        <f>-[7]Oct!$G$1-[7]Oct!$H$1-[7]Oct!$I$1+[7]Oct!$V$1+[7]Oct!$W$1+[7]Oct!$X$1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-[4]Nov!$G$1-[4]Nov!$H$1-[4]Nov!$I$1+[4]Nov!$Y$1+[4]Nov!$Z$1+[4]Nov!$AA$1</f>
        <v>0</v>
      </c>
      <c r="CS26" s="22">
        <f>-[5]Nov!$G$1-[5]Nov!$H$1-[5]Nov!$I$1+[5]Nov!$Y$1+[5]Nov!$Z$1+[5]Nov!$AA$1</f>
        <v>0</v>
      </c>
      <c r="CT26" s="22">
        <f>-[6]Nov!$G$1-[6]Nov!$H$1-[6]Nov!$I$1+[6]Nov!$Y$1+[6]Nov!$Z$1+[6]Nov!$AA$1</f>
        <v>0</v>
      </c>
      <c r="CU26" s="22">
        <f>-[7]Nov!$G$1-[7]Nov!$H$1-[7]Nov!$I$1+[7]Nov!$V$1+[7]Nov!$W$1+[7]Nov!$X$1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-[4]Dec!$G$1-[4]Dec!$H$1-[4]Dec!$I$1+[4]Dec!$Y$1+[4]Dec!$Z$1+[4]Dec!$AA$1</f>
        <v>0</v>
      </c>
      <c r="DD26" s="22">
        <f>-[5]Dec!$G$1-[5]Dec!$H$1-[5]Dec!$I$1+[5]Dec!$Y$1+[5]Dec!$Z$1+[5]Dec!$AA$1</f>
        <v>0</v>
      </c>
      <c r="DE26" s="22">
        <f>-[6]Dec!$G$1-[6]Dec!$H$1-[6]Dec!$I$1+[6]Dec!$Y$1+[6]Dec!$Z$1+[6]Dec!$AA$1</f>
        <v>0</v>
      </c>
      <c r="DF26" s="22">
        <f>-[7]Dec!$G$1-[7]Dec!$H$1-[7]Dec!$I$1+[7]Dec!$V$1+[7]Dec!$W$1+[7]Dec!$X$1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-[4]Jan!$G$1-[4]Jan!$H$1-[4]Jan!$I$1+[4]Jan!$Y$1+[4]Jan!$Z$1+[4]Jan!$AA$1</f>
        <v>0</v>
      </c>
      <c r="DO26" s="22">
        <f>-[5]Jan!$G$1-[5]Jan!$H$1-[5]Jan!$I$1+[5]Jan!$Y$1+[5]Jan!$Z$1+[5]Jan!$AA$1</f>
        <v>0</v>
      </c>
      <c r="DP26" s="22">
        <f>-[6]Jan!$G$1-[6]Jan!$H$1-[6]Jan!$I$1+[6]Jan!$Y$1+[6]Jan!$Z$1+[6]Jan!$AA$1</f>
        <v>0</v>
      </c>
      <c r="DQ26" s="22">
        <f>-[7]Jan!$G$1-[7]Jan!$H$1-[7]Jan!$I$1+[7]Jan!$V$1+[7]Jan!$W$1+[7]Jan!$X$1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-[4]Feb!$G$1-[4]Feb!$H$1-[4]Feb!$I$1+[4]Feb!$Y$1+[4]Feb!$Z$1+[4]Feb!$AA$1</f>
        <v>0</v>
      </c>
      <c r="DZ26" s="22">
        <f>-[5]Feb!$G$1-[5]Feb!$H$1-[5]Feb!$I$1+[5]Feb!$Y$1+[5]Feb!$Z$1+[5]Feb!$AA$1</f>
        <v>0</v>
      </c>
      <c r="EA26" s="22">
        <f>-[6]Feb!$G$1-[6]Feb!$H$1-[6]Feb!$I$1+[6]Feb!$Y$1+[6]Feb!$Z$1+[6]Feb!$AA$1</f>
        <v>0</v>
      </c>
      <c r="EB26" s="22">
        <f>-[7]Feb!$G$1-[7]Feb!$H$1-[7]Feb!$I$1+[7]Feb!$V$1+[7]Feb!$W$1+[7]Feb!$X$1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-[2]Mar!$F$1+[2]Mar!$AK$1</f>
        <v>0</v>
      </c>
      <c r="H28" s="22">
        <f>[4]Mar!$AB$1</f>
        <v>0</v>
      </c>
      <c r="I28" s="22">
        <f>[5]Mar!$AB$1</f>
        <v>0</v>
      </c>
      <c r="J28" s="22">
        <f>[6]Mar!$AB$1</f>
        <v>0</v>
      </c>
      <c r="K28" s="22">
        <f>[7]Mar!$Y$1</f>
        <v>0</v>
      </c>
      <c r="L28" s="22"/>
      <c r="N28" s="21"/>
      <c r="O28" s="22">
        <f t="shared" si="1"/>
        <v>0</v>
      </c>
      <c r="P28" s="21"/>
      <c r="Q28" s="22"/>
      <c r="R28" s="22">
        <f>-[2]Apr!$F$1+[2]Apr!$AK$1</f>
        <v>0</v>
      </c>
      <c r="S28" s="22">
        <f>[4]Apr!$AB$1</f>
        <v>0</v>
      </c>
      <c r="T28" s="22">
        <f>[5]Apr!$AB$1</f>
        <v>0</v>
      </c>
      <c r="U28" s="22">
        <f>[6]Apr!$AB$1</f>
        <v>0</v>
      </c>
      <c r="V28" s="22">
        <f>[7]Apr!$Y$1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-[2]May!$F$1+[2]May!$AK$1</f>
        <v>0</v>
      </c>
      <c r="AD28" s="22">
        <f>[4]May!$AB$1</f>
        <v>0</v>
      </c>
      <c r="AE28" s="22">
        <f>[5]May!$AB$1</f>
        <v>0</v>
      </c>
      <c r="AF28" s="22">
        <f>[6]May!$AB$1</f>
        <v>0</v>
      </c>
      <c r="AG28" s="22">
        <f>[7]May!$Y$1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-[2]Jun!$F$1+[2]Jun!$AK$1</f>
        <v>0</v>
      </c>
      <c r="AO28" s="22">
        <f>[4]Jun!$AB$1</f>
        <v>0</v>
      </c>
      <c r="AP28" s="22">
        <f>[5]Jun!$AB$1</f>
        <v>0</v>
      </c>
      <c r="AQ28" s="22">
        <f>[6]Jun!$AB$1</f>
        <v>0</v>
      </c>
      <c r="AR28" s="22">
        <f>[7]Jun!$Y$1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-[2]Jul!$F$1+[2]Jul!$AK$1</f>
        <v>0</v>
      </c>
      <c r="AZ28" s="22">
        <f>[4]Jul!$AB$1</f>
        <v>0</v>
      </c>
      <c r="BA28" s="22">
        <f>[5]Jul!$AB$1</f>
        <v>0</v>
      </c>
      <c r="BB28" s="22">
        <f>[6]Jul!$AB$1</f>
        <v>0</v>
      </c>
      <c r="BC28" s="22">
        <f>[7]Jul!$Y$1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-[2]Aug!$F$1+[2]Aug!$AK$1</f>
        <v>0</v>
      </c>
      <c r="BK28" s="22">
        <f>[4]Aug!$AB$1</f>
        <v>0</v>
      </c>
      <c r="BL28" s="22">
        <f>[5]Aug!$AB$1</f>
        <v>0</v>
      </c>
      <c r="BM28" s="22">
        <f>[6]Aug!$AB$1</f>
        <v>0</v>
      </c>
      <c r="BN28" s="22">
        <f>[7]Aug!$Y$1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-[2]Sep!$F$1+[2]Sep!$AK$1</f>
        <v>0</v>
      </c>
      <c r="BV28" s="22">
        <f>[4]Sep!$AB$1</f>
        <v>0</v>
      </c>
      <c r="BW28" s="22">
        <f>[5]Sep!$AB$1</f>
        <v>0</v>
      </c>
      <c r="BX28" s="22">
        <f>[6]Sep!$AB$1</f>
        <v>0</v>
      </c>
      <c r="BY28" s="22">
        <f>[7]Sep!$Y$1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-[2]Oct!$F$1+[2]Oct!$AK$1</f>
        <v>0</v>
      </c>
      <c r="CG28" s="22">
        <f>[4]Oct!$AB$1</f>
        <v>0</v>
      </c>
      <c r="CH28" s="22">
        <f>[5]Oct!$AB$1</f>
        <v>0</v>
      </c>
      <c r="CI28" s="22">
        <f>[6]Oct!$AB$1</f>
        <v>0</v>
      </c>
      <c r="CJ28" s="22">
        <f>[7]Oct!$Y$1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-[2]Nov!$F$1+[2]Nov!$AK$1</f>
        <v>0</v>
      </c>
      <c r="CR28" s="22">
        <f>[4]Nov!$AB$1</f>
        <v>0</v>
      </c>
      <c r="CS28" s="22">
        <f>[5]Nov!$AB$1</f>
        <v>0</v>
      </c>
      <c r="CT28" s="22">
        <f>[6]Nov!$AB$1</f>
        <v>0</v>
      </c>
      <c r="CU28" s="22">
        <f>[7]Nov!$Y$1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-[2]Dec!$F$1+[2]Dec!$AK$1</f>
        <v>0</v>
      </c>
      <c r="DC28" s="22">
        <f>[4]Dec!$AB$1</f>
        <v>0</v>
      </c>
      <c r="DD28" s="22">
        <f>[5]Dec!$AB$1</f>
        <v>0</v>
      </c>
      <c r="DE28" s="22">
        <f>[6]Dec!$AB$1</f>
        <v>0</v>
      </c>
      <c r="DF28" s="22">
        <f>[7]Dec!$Y$1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-[2]Jan!$F$1+[2]Jan!$AK$1</f>
        <v>0</v>
      </c>
      <c r="DN28" s="22">
        <f>[4]Jan!$AB$1</f>
        <v>0</v>
      </c>
      <c r="DO28" s="22">
        <f>[5]Jan!$AB$1</f>
        <v>0</v>
      </c>
      <c r="DP28" s="22">
        <f>[6]Jan!$AB$1</f>
        <v>0</v>
      </c>
      <c r="DQ28" s="22">
        <f>[7]Jan!$Y$1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-[2]Feb!$F$1+[2]Feb!$AK$1</f>
        <v>0</v>
      </c>
      <c r="DY28" s="22">
        <f>[4]Feb!$AB$1</f>
        <v>0</v>
      </c>
      <c r="DZ28" s="22">
        <f>[5]Feb!$AB$1</f>
        <v>0</v>
      </c>
      <c r="EA28" s="22">
        <f>[6]Feb!$AB$1</f>
        <v>0</v>
      </c>
      <c r="EB28" s="22">
        <f>[7]Feb!$Y$1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[4]Mar!$AC$1</f>
        <v>0</v>
      </c>
      <c r="I29" s="22">
        <f>[5]Mar!$AC$1</f>
        <v>0</v>
      </c>
      <c r="J29" s="22">
        <f>[6]Mar!$AC$1</f>
        <v>0</v>
      </c>
      <c r="K29" s="22">
        <f>[7]Mar!$Z$1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[4]Apr!$AC$1</f>
        <v>0</v>
      </c>
      <c r="T29" s="22">
        <f>[5]Apr!$AC$1</f>
        <v>0</v>
      </c>
      <c r="U29" s="22">
        <f>[6]Apr!$AC$1</f>
        <v>0</v>
      </c>
      <c r="V29" s="22">
        <f>[7]Apr!$Z$1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[4]May!$AC$1</f>
        <v>0</v>
      </c>
      <c r="AE29" s="22">
        <f>[5]May!$AC$1</f>
        <v>0</v>
      </c>
      <c r="AF29" s="22">
        <f>[6]May!$AC$1</f>
        <v>0</v>
      </c>
      <c r="AG29" s="22">
        <f>[7]May!$Z$1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[4]Jun!$AC$1</f>
        <v>0</v>
      </c>
      <c r="AP29" s="22">
        <f>[5]Jun!$AC$1</f>
        <v>0</v>
      </c>
      <c r="AQ29" s="22">
        <f>[6]Jun!$AC$1</f>
        <v>0</v>
      </c>
      <c r="AR29" s="22">
        <f>[7]Jun!$Z$1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[4]Jul!$AC$1</f>
        <v>0</v>
      </c>
      <c r="BA29" s="22">
        <f>[5]Jul!$AC$1</f>
        <v>0</v>
      </c>
      <c r="BB29" s="22">
        <f>[6]Jul!$AC$1</f>
        <v>0</v>
      </c>
      <c r="BC29" s="22">
        <f>[7]Jul!$Z$1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[4]Aug!$AC$1</f>
        <v>0</v>
      </c>
      <c r="BL29" s="22">
        <f>[5]Aug!$AC$1</f>
        <v>0</v>
      </c>
      <c r="BM29" s="22">
        <f>[6]Aug!$AC$1</f>
        <v>0</v>
      </c>
      <c r="BN29" s="22">
        <f>[7]Aug!$Z$1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[4]Sep!$AC$1</f>
        <v>0</v>
      </c>
      <c r="BW29" s="22">
        <f>[5]Sep!$AC$1</f>
        <v>0</v>
      </c>
      <c r="BX29" s="22">
        <f>[6]Sep!$AC$1</f>
        <v>0</v>
      </c>
      <c r="BY29" s="22">
        <f>[7]Sep!$Z$1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[4]Oct!$AC$1</f>
        <v>0</v>
      </c>
      <c r="CH29" s="22">
        <f>[5]Oct!$AC$1</f>
        <v>0</v>
      </c>
      <c r="CI29" s="22">
        <f>[6]Oct!$AC$1</f>
        <v>0</v>
      </c>
      <c r="CJ29" s="22">
        <f>[7]Oct!$Z$1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[4]Nov!$AC$1</f>
        <v>0</v>
      </c>
      <c r="CS29" s="22">
        <f>[5]Nov!$AC$1</f>
        <v>0</v>
      </c>
      <c r="CT29" s="22">
        <f>[6]Nov!$AC$1</f>
        <v>0</v>
      </c>
      <c r="CU29" s="22">
        <f>[7]Nov!$Z$1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[4]Dec!$AC$1</f>
        <v>0</v>
      </c>
      <c r="DD29" s="22">
        <f>[5]Dec!$AC$1</f>
        <v>0</v>
      </c>
      <c r="DE29" s="22">
        <f>[6]Dec!$AC$1</f>
        <v>0</v>
      </c>
      <c r="DF29" s="22">
        <f>[7]Dec!$Z$1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[4]Jan!$AC$1</f>
        <v>0</v>
      </c>
      <c r="DO29" s="22">
        <f>[5]Jan!$AC$1</f>
        <v>0</v>
      </c>
      <c r="DP29" s="22">
        <f>[6]Jan!$AC$1</f>
        <v>0</v>
      </c>
      <c r="DQ29" s="22">
        <f>[7]Jan!$Z$1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[4]Feb!$AC$1</f>
        <v>0</v>
      </c>
      <c r="DZ29" s="22">
        <f>[5]Feb!$AC$1</f>
        <v>0</v>
      </c>
      <c r="EA29" s="22">
        <f>[6]Feb!$AC$1</f>
        <v>0</v>
      </c>
      <c r="EB29" s="22">
        <f>[7]Feb!$Z$1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[4]Mar!$AL$1</f>
        <v>0</v>
      </c>
      <c r="I31" s="22">
        <f>[5]Mar!$AL$1</f>
        <v>0</v>
      </c>
      <c r="J31" s="22">
        <f>[6]Mar!$AL$1</f>
        <v>0</v>
      </c>
      <c r="K31" s="22">
        <f>[7]Mar!$AI$1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[4]Apr!$AL$1</f>
        <v>0</v>
      </c>
      <c r="T31" s="22">
        <f>[5]Apr!$AL$1</f>
        <v>0</v>
      </c>
      <c r="U31" s="22">
        <f>[6]Apr!$AL$1</f>
        <v>0</v>
      </c>
      <c r="V31" s="22">
        <f>[7]Apr!$AI$1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[4]May!$AL$1</f>
        <v>0</v>
      </c>
      <c r="AE31" s="22">
        <f>[5]May!$AL$1</f>
        <v>0</v>
      </c>
      <c r="AF31" s="22">
        <f>[6]May!$AL$1</f>
        <v>0</v>
      </c>
      <c r="AG31" s="22">
        <f>[7]May!$AI$1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[4]Jun!$AL$1</f>
        <v>0</v>
      </c>
      <c r="AP31" s="22">
        <f>[5]Jun!$AL$1</f>
        <v>0</v>
      </c>
      <c r="AQ31" s="22">
        <f>[6]Jun!$AL$1</f>
        <v>0</v>
      </c>
      <c r="AR31" s="22">
        <f>[7]Jun!$AI$1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[4]Jul!$AL$1</f>
        <v>0</v>
      </c>
      <c r="BA31" s="22">
        <f>[5]Jul!$AL$1</f>
        <v>0</v>
      </c>
      <c r="BB31" s="22">
        <f>[6]Jul!$AL$1</f>
        <v>0</v>
      </c>
      <c r="BC31" s="22">
        <f>[7]Jul!$AI$1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[4]Aug!$AL$1</f>
        <v>0</v>
      </c>
      <c r="BL31" s="22">
        <f>[5]Aug!$AL$1</f>
        <v>0</v>
      </c>
      <c r="BM31" s="22">
        <f>[6]Aug!$AL$1</f>
        <v>0</v>
      </c>
      <c r="BN31" s="22">
        <f>[7]Aug!$AI$1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[4]Sep!$AL$1</f>
        <v>0</v>
      </c>
      <c r="BW31" s="22">
        <f>[5]Sep!$AL$1</f>
        <v>0</v>
      </c>
      <c r="BX31" s="22">
        <f>[6]Sep!$AL$1</f>
        <v>0</v>
      </c>
      <c r="BY31" s="22">
        <f>[7]Sep!$AI$1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[4]Oct!$AL$1</f>
        <v>0</v>
      </c>
      <c r="CH31" s="22">
        <f>[5]Oct!$AL$1</f>
        <v>0</v>
      </c>
      <c r="CI31" s="22">
        <f>[6]Oct!$AL$1</f>
        <v>0</v>
      </c>
      <c r="CJ31" s="22">
        <f>[7]Oct!$AI$1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[4]Nov!$AL$1</f>
        <v>0</v>
      </c>
      <c r="CS31" s="22">
        <f>[5]Nov!$AL$1</f>
        <v>0</v>
      </c>
      <c r="CT31" s="22">
        <f>[6]Nov!$AL$1</f>
        <v>0</v>
      </c>
      <c r="CU31" s="22">
        <f>[7]Nov!$AI$1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[4]Dec!$AL$1</f>
        <v>0</v>
      </c>
      <c r="DD31" s="22">
        <f>[5]Dec!$AL$1</f>
        <v>0</v>
      </c>
      <c r="DE31" s="22">
        <f>[6]Dec!$AL$1</f>
        <v>0</v>
      </c>
      <c r="DF31" s="22">
        <f>[7]Dec!$AI$1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[4]Jan!$AL$1</f>
        <v>0</v>
      </c>
      <c r="DO31" s="22">
        <f>[5]Jan!$AL$1</f>
        <v>0</v>
      </c>
      <c r="DP31" s="22">
        <f>[6]Jan!$AL$1</f>
        <v>0</v>
      </c>
      <c r="DQ31" s="22">
        <f>[7]Jan!$AI$1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[4]Feb!$AL$1</f>
        <v>0</v>
      </c>
      <c r="DZ31" s="22">
        <f>[5]Feb!$AL$1</f>
        <v>0</v>
      </c>
      <c r="EA31" s="22">
        <f>[6]Feb!$AL$1</f>
        <v>0</v>
      </c>
      <c r="EB31" s="22">
        <f>[7]Feb!$AI$1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[3]Mar!$V$1</f>
        <v>0</v>
      </c>
      <c r="G32" s="22">
        <f>-[2]Mar!$AK$1</f>
        <v>0</v>
      </c>
      <c r="H32" s="22">
        <f>-[4]Mar!$O$1+[4]Mar!$AJ$1</f>
        <v>0</v>
      </c>
      <c r="I32" s="22">
        <f>-[5]Mar!$O$1+[5]Mar!$AJ$1</f>
        <v>0</v>
      </c>
      <c r="J32" s="22">
        <f>-[6]Mar!$O$1+[6]Mar!$AJ$1</f>
        <v>0</v>
      </c>
      <c r="K32" s="22">
        <f>[7]Mar!$AG$1</f>
        <v>0</v>
      </c>
      <c r="L32" s="22"/>
      <c r="N32" s="21"/>
      <c r="O32" s="22">
        <f t="shared" si="1"/>
        <v>0</v>
      </c>
      <c r="P32" s="21"/>
      <c r="Q32" s="22">
        <f>[3]Apr!$V$1</f>
        <v>0</v>
      </c>
      <c r="R32" s="22">
        <f>-[2]Apr!$AK$1</f>
        <v>0</v>
      </c>
      <c r="S32" s="22">
        <f>-[4]Apr!$O$1+[4]Apr!$AJ$1</f>
        <v>0</v>
      </c>
      <c r="T32" s="22">
        <f>-[5]Apr!$O$1+[5]Apr!$AJ$1</f>
        <v>0</v>
      </c>
      <c r="U32" s="22">
        <f>-[6]Apr!$O$1+[6]Apr!$AJ$1</f>
        <v>0</v>
      </c>
      <c r="V32" s="22">
        <f>[7]Apr!$AG$1</f>
        <v>0</v>
      </c>
      <c r="W32" s="22"/>
      <c r="X32" s="22"/>
      <c r="Y32" s="13"/>
      <c r="Z32" s="22">
        <f t="shared" si="2"/>
        <v>0</v>
      </c>
      <c r="AA32" s="21"/>
      <c r="AB32" s="22">
        <f>[3]May!$V$1</f>
        <v>0</v>
      </c>
      <c r="AC32" s="22">
        <f>-[2]May!$AK$1</f>
        <v>0</v>
      </c>
      <c r="AD32" s="22">
        <f>-[4]May!$O$1+[4]May!$AJ$1</f>
        <v>0</v>
      </c>
      <c r="AE32" s="22">
        <f>-[5]May!$O$1+[5]May!$AJ$1</f>
        <v>0</v>
      </c>
      <c r="AF32" s="22">
        <f>-[6]May!$O$1+[6]May!$AJ$1</f>
        <v>0</v>
      </c>
      <c r="AG32" s="22">
        <f>[7]May!$AG$1</f>
        <v>0</v>
      </c>
      <c r="AH32" s="22"/>
      <c r="AI32" s="22"/>
      <c r="AJ32" s="13"/>
      <c r="AK32" s="22">
        <f t="shared" si="3"/>
        <v>0</v>
      </c>
      <c r="AL32" s="21"/>
      <c r="AM32" s="22">
        <f>[3]Jun!$V$1</f>
        <v>0</v>
      </c>
      <c r="AN32" s="22">
        <f>-[2]Jun!$AK$1</f>
        <v>0</v>
      </c>
      <c r="AO32" s="22">
        <f>-[4]Jun!$O$1+[4]Jun!$AJ$1</f>
        <v>0</v>
      </c>
      <c r="AP32" s="22">
        <f>-[5]Jun!$O$1+[5]Jun!$AJ$1</f>
        <v>0</v>
      </c>
      <c r="AQ32" s="22">
        <f>-[6]Jun!$O$1+[6]Jun!$AJ$1</f>
        <v>0</v>
      </c>
      <c r="AR32" s="22">
        <f>[7]Jun!$AG$1</f>
        <v>0</v>
      </c>
      <c r="AS32" s="22"/>
      <c r="AT32" s="22"/>
      <c r="AU32" s="13"/>
      <c r="AV32" s="22">
        <f t="shared" si="4"/>
        <v>0</v>
      </c>
      <c r="AW32" s="21"/>
      <c r="AX32" s="22">
        <f>[3]Jul!$V$1</f>
        <v>0</v>
      </c>
      <c r="AY32" s="22">
        <f>-[2]Jul!$AK$1</f>
        <v>0</v>
      </c>
      <c r="AZ32" s="22">
        <f>-[4]Jul!$O$1+[4]Jul!$AJ$1</f>
        <v>0</v>
      </c>
      <c r="BA32" s="22">
        <f>-[5]Jul!$O$1+[5]Jul!$AJ$1</f>
        <v>0</v>
      </c>
      <c r="BB32" s="22">
        <f>-[6]Jul!$O$1+[6]Jul!$AJ$1</f>
        <v>0</v>
      </c>
      <c r="BC32" s="22">
        <f>[7]Jul!$AG$1</f>
        <v>0</v>
      </c>
      <c r="BD32" s="22"/>
      <c r="BE32" s="22"/>
      <c r="BF32" s="13"/>
      <c r="BG32" s="22">
        <f t="shared" si="5"/>
        <v>0</v>
      </c>
      <c r="BH32" s="21"/>
      <c r="BI32" s="22">
        <f>[3]Aug!$V$1</f>
        <v>0</v>
      </c>
      <c r="BJ32" s="22">
        <f>-[2]Aug!$AK$1</f>
        <v>0</v>
      </c>
      <c r="BK32" s="22">
        <f>-[4]Aug!$O$1+[4]Aug!$AJ$1</f>
        <v>0</v>
      </c>
      <c r="BL32" s="22">
        <f>-[5]Aug!$O$1+[5]Aug!$AJ$1</f>
        <v>0</v>
      </c>
      <c r="BM32" s="22">
        <f>-[6]Aug!$O$1+[6]Aug!$AJ$1</f>
        <v>0</v>
      </c>
      <c r="BN32" s="22">
        <f>[7]Aug!$AG$1</f>
        <v>0</v>
      </c>
      <c r="BO32" s="22"/>
      <c r="BP32" s="22"/>
      <c r="BQ32" s="13"/>
      <c r="BR32" s="22">
        <f t="shared" si="6"/>
        <v>0</v>
      </c>
      <c r="BS32" s="21"/>
      <c r="BT32" s="22">
        <f>[3]Sep!$V$1</f>
        <v>0</v>
      </c>
      <c r="BU32" s="22">
        <f>-[2]Sep!$AK$1</f>
        <v>0</v>
      </c>
      <c r="BV32" s="22">
        <f>-[4]Sep!$O$1+[4]Sep!$AJ$1</f>
        <v>0</v>
      </c>
      <c r="BW32" s="22">
        <f>-[5]Sep!$O$1+[5]Sep!$AJ$1</f>
        <v>0</v>
      </c>
      <c r="BX32" s="22">
        <f>-[6]Sep!$O$1+[6]Sep!$AJ$1</f>
        <v>0</v>
      </c>
      <c r="BY32" s="22">
        <f>[7]Sep!$AG$1</f>
        <v>0</v>
      </c>
      <c r="BZ32" s="22"/>
      <c r="CA32" s="22"/>
      <c r="CB32" s="13"/>
      <c r="CC32" s="22">
        <f t="shared" si="7"/>
        <v>0</v>
      </c>
      <c r="CD32" s="21"/>
      <c r="CE32" s="22">
        <f>[3]Oct!$V$1</f>
        <v>0</v>
      </c>
      <c r="CF32" s="22">
        <f>-[2]Oct!$AK$1</f>
        <v>0</v>
      </c>
      <c r="CG32" s="22">
        <f>-[4]Oct!$O$1+[4]Oct!$AJ$1</f>
        <v>0</v>
      </c>
      <c r="CH32" s="22">
        <f>-[5]Oct!$O$1+[5]Oct!$AJ$1</f>
        <v>0</v>
      </c>
      <c r="CI32" s="22">
        <f>-[6]Oct!$O$1+[6]Oct!$AJ$1</f>
        <v>0</v>
      </c>
      <c r="CJ32" s="22">
        <f>[7]Oct!$AG$1</f>
        <v>0</v>
      </c>
      <c r="CK32" s="22"/>
      <c r="CL32" s="22"/>
      <c r="CM32" s="13"/>
      <c r="CN32" s="22">
        <f t="shared" si="8"/>
        <v>0</v>
      </c>
      <c r="CO32" s="21"/>
      <c r="CP32" s="22">
        <f>[3]Nov!$V$1</f>
        <v>0</v>
      </c>
      <c r="CQ32" s="22">
        <f>-[2]Nov!$AK$1</f>
        <v>0</v>
      </c>
      <c r="CR32" s="22">
        <f>-[4]Nov!$O$1+[4]Nov!$AJ$1</f>
        <v>0</v>
      </c>
      <c r="CS32" s="22">
        <f>-[5]Nov!$O$1+[5]Nov!$AJ$1</f>
        <v>0</v>
      </c>
      <c r="CT32" s="22">
        <f>-[6]Nov!$O$1+[6]Nov!$AJ$1</f>
        <v>0</v>
      </c>
      <c r="CU32" s="22">
        <f>[7]Nov!$AG$1</f>
        <v>0</v>
      </c>
      <c r="CV32" s="22"/>
      <c r="CW32" s="22"/>
      <c r="CX32" s="13"/>
      <c r="CY32" s="22">
        <f t="shared" si="9"/>
        <v>0</v>
      </c>
      <c r="CZ32" s="21"/>
      <c r="DA32" s="22">
        <f>[3]Dec!$V$1</f>
        <v>0</v>
      </c>
      <c r="DB32" s="22">
        <f>-[2]Dec!$AK$1</f>
        <v>0</v>
      </c>
      <c r="DC32" s="22">
        <f>-[4]Dec!$O$1+[4]Dec!$AJ$1</f>
        <v>0</v>
      </c>
      <c r="DD32" s="22">
        <f>-[5]Dec!$O$1+[5]Dec!$AJ$1</f>
        <v>0</v>
      </c>
      <c r="DE32" s="22">
        <f>-[6]Dec!$O$1+[6]Dec!$AJ$1</f>
        <v>0</v>
      </c>
      <c r="DF32" s="22">
        <f>[7]Dec!$AG$1</f>
        <v>0</v>
      </c>
      <c r="DG32" s="22"/>
      <c r="DH32" s="22"/>
      <c r="DI32" s="13"/>
      <c r="DJ32" s="22">
        <f t="shared" si="10"/>
        <v>0</v>
      </c>
      <c r="DK32" s="21"/>
      <c r="DL32" s="22">
        <f>[3]Jan!$V$1</f>
        <v>0</v>
      </c>
      <c r="DM32" s="22">
        <f>-[2]Jan!$AK$1</f>
        <v>0</v>
      </c>
      <c r="DN32" s="22">
        <f>-[4]Jan!$O$1+[4]Jan!$AJ$1</f>
        <v>0</v>
      </c>
      <c r="DO32" s="22">
        <f>-[5]Jan!$O$1+[5]Jan!$AJ$1</f>
        <v>0</v>
      </c>
      <c r="DP32" s="22">
        <f>-[6]Jan!$O$1+[6]Jan!$AJ$1</f>
        <v>0</v>
      </c>
      <c r="DQ32" s="22">
        <f>[7]Jan!$AG$1</f>
        <v>0</v>
      </c>
      <c r="DR32" s="22"/>
      <c r="DS32" s="22"/>
      <c r="DT32" s="13"/>
      <c r="DU32" s="22">
        <f t="shared" si="11"/>
        <v>0</v>
      </c>
      <c r="DV32" s="21"/>
      <c r="DW32" s="22">
        <f>[3]Feb!$V$1</f>
        <v>0</v>
      </c>
      <c r="DX32" s="22">
        <f>-[2]Feb!$AK$1</f>
        <v>0</v>
      </c>
      <c r="DY32" s="22">
        <f>-[4]Feb!$O$1+[4]Feb!$AJ$1</f>
        <v>0</v>
      </c>
      <c r="DZ32" s="22">
        <f>-[5]Feb!$O$1+[5]Feb!$AJ$1</f>
        <v>0</v>
      </c>
      <c r="EA32" s="22">
        <f>-[6]Feb!$O$1+[6]Feb!$AJ$1</f>
        <v>0</v>
      </c>
      <c r="EB32" s="22">
        <f>[7]Feb!$AG$1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-[3]Mar!$G$1</f>
        <v>0</v>
      </c>
      <c r="G33" s="22">
        <f>[2]Mar!$G$1</f>
        <v>0</v>
      </c>
      <c r="H33" s="22">
        <f>-[4]Mar!$N$1+[4]Mar!$AI$1</f>
        <v>0</v>
      </c>
      <c r="I33" s="22">
        <f>-[5]Mar!$N$1+[5]Mar!$AI$1</f>
        <v>0</v>
      </c>
      <c r="J33" s="22">
        <f>-[6]Mar!$N$1+[6]Mar!$AI$1</f>
        <v>0</v>
      </c>
      <c r="K33" s="22">
        <f>[7]Mar!$AF$1</f>
        <v>0</v>
      </c>
      <c r="L33" s="22"/>
      <c r="N33" s="21"/>
      <c r="O33" s="22">
        <f t="shared" si="1"/>
        <v>0</v>
      </c>
      <c r="P33" s="21"/>
      <c r="Q33" s="22">
        <f>-[3]Apr!$G$1</f>
        <v>0</v>
      </c>
      <c r="R33" s="22">
        <f>[2]Apr!$G$1</f>
        <v>0</v>
      </c>
      <c r="S33" s="22">
        <f>-[4]Apr!$N$1+[4]Apr!$AI$1</f>
        <v>0</v>
      </c>
      <c r="T33" s="22">
        <f>-[5]Apr!$N$1+[5]Apr!$AI$1</f>
        <v>0</v>
      </c>
      <c r="U33" s="22">
        <f>-[6]Apr!$N$1+[6]Apr!$AI$1</f>
        <v>0</v>
      </c>
      <c r="V33" s="22">
        <f>[7]Apr!$AF$1</f>
        <v>0</v>
      </c>
      <c r="W33" s="22"/>
      <c r="X33" s="22"/>
      <c r="Y33" s="13"/>
      <c r="Z33" s="22">
        <f t="shared" si="2"/>
        <v>0</v>
      </c>
      <c r="AA33" s="21"/>
      <c r="AB33" s="22">
        <f>-[3]May!$G$1</f>
        <v>0</v>
      </c>
      <c r="AC33" s="22">
        <f>[2]May!$G$1</f>
        <v>0</v>
      </c>
      <c r="AD33" s="22">
        <f>-[4]May!$N$1+[4]May!$AI$1</f>
        <v>0</v>
      </c>
      <c r="AE33" s="22">
        <f>-[5]May!$N$1+[5]May!$AI$1</f>
        <v>0</v>
      </c>
      <c r="AF33" s="22">
        <f>-[6]May!$N$1+[6]May!$AI$1</f>
        <v>0</v>
      </c>
      <c r="AG33" s="22">
        <f>[7]May!$AF$1</f>
        <v>0</v>
      </c>
      <c r="AH33" s="22"/>
      <c r="AI33" s="22"/>
      <c r="AJ33" s="13"/>
      <c r="AK33" s="22">
        <f t="shared" si="3"/>
        <v>0</v>
      </c>
      <c r="AL33" s="21"/>
      <c r="AM33" s="22">
        <f>-[3]Jun!$G$1</f>
        <v>0</v>
      </c>
      <c r="AN33" s="22">
        <f>[2]Jun!$G$1</f>
        <v>0</v>
      </c>
      <c r="AO33" s="22">
        <f>-[4]Jun!$N$1+[4]Jun!$AI$1</f>
        <v>0</v>
      </c>
      <c r="AP33" s="22">
        <f>-[5]Jun!$N$1+[5]Jun!$AI$1</f>
        <v>0</v>
      </c>
      <c r="AQ33" s="22">
        <f>-[6]Jun!$N$1+[6]Jun!$AI$1</f>
        <v>0</v>
      </c>
      <c r="AR33" s="22">
        <f>[7]Jun!$AF$1</f>
        <v>0</v>
      </c>
      <c r="AS33" s="22"/>
      <c r="AT33" s="22"/>
      <c r="AU33" s="13"/>
      <c r="AV33" s="22">
        <f t="shared" si="4"/>
        <v>0</v>
      </c>
      <c r="AW33" s="21"/>
      <c r="AX33" s="22">
        <f>-[3]Jul!$G$1</f>
        <v>0</v>
      </c>
      <c r="AY33" s="22">
        <f>[2]Jul!$G$1</f>
        <v>0</v>
      </c>
      <c r="AZ33" s="22">
        <f>-[4]Jul!$N$1+[4]Jul!$AI$1</f>
        <v>0</v>
      </c>
      <c r="BA33" s="22">
        <f>-[5]Jul!$N$1+[5]Jul!$AI$1</f>
        <v>0</v>
      </c>
      <c r="BB33" s="22">
        <f>-[6]Jul!$N$1+[6]Jul!$AI$1</f>
        <v>0</v>
      </c>
      <c r="BC33" s="22">
        <f>[7]Jul!$AF$1</f>
        <v>0</v>
      </c>
      <c r="BD33" s="22"/>
      <c r="BE33" s="22"/>
      <c r="BF33" s="13"/>
      <c r="BG33" s="22">
        <f t="shared" si="5"/>
        <v>0</v>
      </c>
      <c r="BH33" s="21"/>
      <c r="BI33" s="22">
        <f>-[3]Aug!$G$1</f>
        <v>0</v>
      </c>
      <c r="BJ33" s="22">
        <f>[2]Aug!$G$1</f>
        <v>0</v>
      </c>
      <c r="BK33" s="22">
        <f>-[4]Aug!$N$1+[4]Aug!$AI$1</f>
        <v>0</v>
      </c>
      <c r="BL33" s="22">
        <f>-[5]Aug!$N$1+[5]Aug!$AI$1</f>
        <v>0</v>
      </c>
      <c r="BM33" s="22">
        <f>-[6]Aug!$N$1+[6]Aug!$AI$1</f>
        <v>0</v>
      </c>
      <c r="BN33" s="22">
        <f>[7]Aug!$AF$1</f>
        <v>0</v>
      </c>
      <c r="BO33" s="22"/>
      <c r="BP33" s="22"/>
      <c r="BQ33" s="13"/>
      <c r="BR33" s="22">
        <f t="shared" si="6"/>
        <v>0</v>
      </c>
      <c r="BS33" s="21"/>
      <c r="BT33" s="22">
        <f>-[3]Sep!$G$1</f>
        <v>0</v>
      </c>
      <c r="BU33" s="22">
        <f>[2]Sep!$G$1</f>
        <v>0</v>
      </c>
      <c r="BV33" s="22">
        <f>-[4]Sep!$N$1+[4]Sep!$AI$1</f>
        <v>0</v>
      </c>
      <c r="BW33" s="22">
        <f>-[5]Sep!$N$1+[5]Sep!$AI$1</f>
        <v>0</v>
      </c>
      <c r="BX33" s="22">
        <f>-[6]Sep!$N$1+[6]Sep!$AI$1</f>
        <v>0</v>
      </c>
      <c r="BY33" s="22">
        <f>[7]Sep!$AF$1</f>
        <v>0</v>
      </c>
      <c r="BZ33" s="22"/>
      <c r="CA33" s="22"/>
      <c r="CB33" s="13"/>
      <c r="CC33" s="22">
        <f t="shared" si="7"/>
        <v>0</v>
      </c>
      <c r="CD33" s="21"/>
      <c r="CE33" s="22">
        <f>-[3]Oct!$G$1</f>
        <v>0</v>
      </c>
      <c r="CF33" s="22">
        <f>[2]Oct!$G$1</f>
        <v>0</v>
      </c>
      <c r="CG33" s="22">
        <f>-[4]Oct!$N$1+[4]Oct!$AI$1</f>
        <v>0</v>
      </c>
      <c r="CH33" s="22">
        <f>-[5]Oct!$N$1+[5]Oct!$AI$1</f>
        <v>0</v>
      </c>
      <c r="CI33" s="22">
        <f>-[6]Oct!$N$1+[6]Oct!$AI$1</f>
        <v>0</v>
      </c>
      <c r="CJ33" s="22">
        <f>[7]Oct!$AF$1</f>
        <v>0</v>
      </c>
      <c r="CK33" s="22"/>
      <c r="CL33" s="22"/>
      <c r="CM33" s="13"/>
      <c r="CN33" s="22">
        <f t="shared" si="8"/>
        <v>0</v>
      </c>
      <c r="CO33" s="21"/>
      <c r="CP33" s="22">
        <f>-[3]Nov!$G$1</f>
        <v>0</v>
      </c>
      <c r="CQ33" s="22">
        <f>[2]Nov!$G$1</f>
        <v>0</v>
      </c>
      <c r="CR33" s="22">
        <f>-[4]Nov!$N$1+[4]Nov!$AI$1</f>
        <v>0</v>
      </c>
      <c r="CS33" s="22">
        <f>-[5]Nov!$N$1+[5]Nov!$AI$1</f>
        <v>0</v>
      </c>
      <c r="CT33" s="22">
        <f>-[6]Nov!$N$1+[6]Nov!$AI$1</f>
        <v>0</v>
      </c>
      <c r="CU33" s="22">
        <f>[7]Nov!$AF$1</f>
        <v>0</v>
      </c>
      <c r="CV33" s="22"/>
      <c r="CW33" s="22"/>
      <c r="CX33" s="13"/>
      <c r="CY33" s="22">
        <f t="shared" si="9"/>
        <v>0</v>
      </c>
      <c r="CZ33" s="21"/>
      <c r="DA33" s="22">
        <f>-[3]Dec!$G$1</f>
        <v>0</v>
      </c>
      <c r="DB33" s="22">
        <f>[2]Dec!$G$1</f>
        <v>0</v>
      </c>
      <c r="DC33" s="22">
        <f>-[4]Dec!$N$1+[4]Dec!$AI$1</f>
        <v>0</v>
      </c>
      <c r="DD33" s="22">
        <f>-[5]Dec!$N$1+[5]Dec!$AI$1</f>
        <v>0</v>
      </c>
      <c r="DE33" s="22">
        <f>-[6]Dec!$N$1+[6]Dec!$AI$1</f>
        <v>0</v>
      </c>
      <c r="DF33" s="22">
        <f>[7]Dec!$AF$1</f>
        <v>0</v>
      </c>
      <c r="DG33" s="22"/>
      <c r="DH33" s="22"/>
      <c r="DI33" s="13"/>
      <c r="DJ33" s="22">
        <f t="shared" si="10"/>
        <v>0</v>
      </c>
      <c r="DK33" s="21"/>
      <c r="DL33" s="22">
        <f>-[3]Jan!$G$1</f>
        <v>0</v>
      </c>
      <c r="DM33" s="22">
        <f>[2]Jan!$G$1</f>
        <v>0</v>
      </c>
      <c r="DN33" s="22">
        <f>-[4]Jan!$N$1+[4]Jan!$AI$1</f>
        <v>0</v>
      </c>
      <c r="DO33" s="22">
        <f>-[5]Jan!$N$1+[5]Jan!$AI$1</f>
        <v>0</v>
      </c>
      <c r="DP33" s="22">
        <f>-[6]Jan!$N$1+[6]Jan!$AI$1</f>
        <v>0</v>
      </c>
      <c r="DQ33" s="22">
        <f>[7]Jan!$AF$1</f>
        <v>0</v>
      </c>
      <c r="DR33" s="22"/>
      <c r="DS33" s="22"/>
      <c r="DT33" s="13"/>
      <c r="DU33" s="22">
        <f t="shared" si="11"/>
        <v>0</v>
      </c>
      <c r="DV33" s="21"/>
      <c r="DW33" s="22">
        <f>-[3]Feb!$G$1</f>
        <v>0</v>
      </c>
      <c r="DX33" s="22">
        <f>[2]Feb!$G$1</f>
        <v>0</v>
      </c>
      <c r="DY33" s="22">
        <f>-[4]Feb!$N$1+[4]Feb!$AI$1</f>
        <v>0</v>
      </c>
      <c r="DZ33" s="22">
        <f>-[5]Feb!$N$1+[5]Feb!$AI$1</f>
        <v>0</v>
      </c>
      <c r="EA33" s="22">
        <f>-[6]Feb!$N$1+[6]Feb!$AI$1</f>
        <v>0</v>
      </c>
      <c r="EB33" s="22">
        <f>[7]Feb!$AF$1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[4]Mar!$AH$1</f>
        <v>0</v>
      </c>
      <c r="I34" s="22">
        <f>[5]Mar!$AH$1</f>
        <v>0</v>
      </c>
      <c r="J34" s="22">
        <f>[6]Mar!$AH$1</f>
        <v>0</v>
      </c>
      <c r="K34" s="22">
        <f>[7]Mar!$AE$1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[4]Apr!$AH$1</f>
        <v>0</v>
      </c>
      <c r="T34" s="22">
        <f>[5]Apr!$AH$1</f>
        <v>0</v>
      </c>
      <c r="U34" s="22">
        <f>[6]Apr!$AH$1</f>
        <v>0</v>
      </c>
      <c r="V34" s="22">
        <f>[7]Apr!$AE$1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[4]May!$AH$1</f>
        <v>0</v>
      </c>
      <c r="AE34" s="22">
        <f>[5]May!$AH$1</f>
        <v>0</v>
      </c>
      <c r="AF34" s="22">
        <f>[6]May!$AH$1</f>
        <v>0</v>
      </c>
      <c r="AG34" s="22">
        <f>[7]May!$AE$1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[4]Jun!$AH$1</f>
        <v>0</v>
      </c>
      <c r="AP34" s="22">
        <f>[5]Jun!$AH$1</f>
        <v>0</v>
      </c>
      <c r="AQ34" s="22">
        <f>[6]Jun!$AH$1</f>
        <v>0</v>
      </c>
      <c r="AR34" s="22">
        <f>[7]Jun!$AE$1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[4]Jul!$AH$1</f>
        <v>0</v>
      </c>
      <c r="BA34" s="22">
        <f>[5]Jul!$AH$1</f>
        <v>0</v>
      </c>
      <c r="BB34" s="22">
        <f>[6]Jul!$AH$1</f>
        <v>0</v>
      </c>
      <c r="BC34" s="22">
        <f>[7]Jul!$AE$1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[4]Aug!$AH$1</f>
        <v>0</v>
      </c>
      <c r="BL34" s="22">
        <f>[5]Aug!$AH$1</f>
        <v>0</v>
      </c>
      <c r="BM34" s="22">
        <f>[6]Aug!$AH$1</f>
        <v>0</v>
      </c>
      <c r="BN34" s="22">
        <f>[7]Aug!$AE$1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[4]Sep!$AH$1</f>
        <v>0</v>
      </c>
      <c r="BW34" s="22">
        <f>[5]Sep!$AH$1</f>
        <v>0</v>
      </c>
      <c r="BX34" s="22">
        <f>[6]Sep!$AH$1</f>
        <v>0</v>
      </c>
      <c r="BY34" s="22">
        <f>[7]Sep!$AE$1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[4]Oct!$AH$1</f>
        <v>0</v>
      </c>
      <c r="CH34" s="22">
        <f>[5]Oct!$AH$1</f>
        <v>0</v>
      </c>
      <c r="CI34" s="22">
        <f>[6]Oct!$AH$1</f>
        <v>0</v>
      </c>
      <c r="CJ34" s="22">
        <f>[7]Oct!$AE$1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[4]Nov!$AH$1</f>
        <v>0</v>
      </c>
      <c r="CS34" s="22">
        <f>[5]Nov!$AH$1</f>
        <v>0</v>
      </c>
      <c r="CT34" s="22">
        <f>[6]Nov!$AH$1</f>
        <v>0</v>
      </c>
      <c r="CU34" s="22">
        <f>[7]Nov!$AE$1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[4]Dec!$AH$1</f>
        <v>0</v>
      </c>
      <c r="DD34" s="22">
        <f>[5]Dec!$AH$1</f>
        <v>0</v>
      </c>
      <c r="DE34" s="22">
        <f>[6]Dec!$AH$1</f>
        <v>0</v>
      </c>
      <c r="DF34" s="22">
        <f>[7]Dec!$AE$1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[4]Jan!$AH$1</f>
        <v>0</v>
      </c>
      <c r="DO34" s="22">
        <f>[5]Jan!$AH$1</f>
        <v>0</v>
      </c>
      <c r="DP34" s="22">
        <f>[6]Jan!$AH$1</f>
        <v>0</v>
      </c>
      <c r="DQ34" s="22">
        <f>[7]Jan!$AE$1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[4]Feb!$AH$1</f>
        <v>0</v>
      </c>
      <c r="DZ34" s="22">
        <f>[5]Feb!$AH$1</f>
        <v>0</v>
      </c>
      <c r="EA34" s="22">
        <f>[6]Feb!$AH$1</f>
        <v>0</v>
      </c>
      <c r="EB34" s="22">
        <f>[7]Feb!$AE$1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[4]Mar!$AK$1</f>
        <v>0</v>
      </c>
      <c r="I35" s="22">
        <f>[5]Mar!$AK$1</f>
        <v>0</v>
      </c>
      <c r="J35" s="22">
        <f>[6]Mar!$AK$1</f>
        <v>0</v>
      </c>
      <c r="K35" s="22">
        <f>[7]Mar!$AH$1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[4]Apr!$AK$1</f>
        <v>0</v>
      </c>
      <c r="T35" s="22">
        <f>[5]Apr!$AK$1</f>
        <v>0</v>
      </c>
      <c r="U35" s="22">
        <f>[6]Apr!$AK$1</f>
        <v>0</v>
      </c>
      <c r="V35" s="22">
        <f>[7]Apr!$AH$1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[4]May!$AK$1</f>
        <v>0</v>
      </c>
      <c r="AE35" s="22">
        <f>[5]May!$AK$1</f>
        <v>0</v>
      </c>
      <c r="AF35" s="22">
        <f>[6]May!$AK$1</f>
        <v>0</v>
      </c>
      <c r="AG35" s="22">
        <f>[7]May!$AH$1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[4]Jun!$AK$1</f>
        <v>0</v>
      </c>
      <c r="AP35" s="22">
        <f>[5]Jun!$AK$1</f>
        <v>0</v>
      </c>
      <c r="AQ35" s="22">
        <f>[6]Jun!$AK$1</f>
        <v>0</v>
      </c>
      <c r="AR35" s="22">
        <f>[7]Jun!$AH$1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[4]Jul!$AK$1</f>
        <v>0</v>
      </c>
      <c r="BA35" s="22">
        <f>[5]Jul!$AK$1</f>
        <v>0</v>
      </c>
      <c r="BB35" s="22">
        <f>[6]Jul!$AK$1</f>
        <v>0</v>
      </c>
      <c r="BC35" s="22">
        <f>[7]Jul!$AH$1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[4]Aug!$AK$1</f>
        <v>0</v>
      </c>
      <c r="BL35" s="22">
        <f>[5]Aug!$AK$1</f>
        <v>0</v>
      </c>
      <c r="BM35" s="22">
        <f>[6]Aug!$AK$1</f>
        <v>0</v>
      </c>
      <c r="BN35" s="22">
        <f>[7]Aug!$AH$1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[4]Sep!$AK$1</f>
        <v>0</v>
      </c>
      <c r="BW35" s="22">
        <f>[5]Sep!$AK$1</f>
        <v>0</v>
      </c>
      <c r="BX35" s="22">
        <f>[6]Sep!$AK$1</f>
        <v>0</v>
      </c>
      <c r="BY35" s="22">
        <f>[7]Sep!$AH$1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[4]Oct!$AK$1</f>
        <v>0</v>
      </c>
      <c r="CH35" s="22">
        <f>[5]Oct!$AK$1</f>
        <v>0</v>
      </c>
      <c r="CI35" s="22">
        <f>[6]Oct!$AK$1</f>
        <v>0</v>
      </c>
      <c r="CJ35" s="22">
        <f>[7]Oct!$AH$1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[4]Nov!$AK$1</f>
        <v>0</v>
      </c>
      <c r="CS35" s="22">
        <f>[5]Nov!$AK$1</f>
        <v>0</v>
      </c>
      <c r="CT35" s="22">
        <f>[6]Nov!$AK$1</f>
        <v>0</v>
      </c>
      <c r="CU35" s="22">
        <f>[7]Nov!$AH$1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[4]Dec!$AK$1</f>
        <v>0</v>
      </c>
      <c r="DD35" s="22">
        <f>[5]Dec!$AK$1</f>
        <v>0</v>
      </c>
      <c r="DE35" s="22">
        <f>[6]Dec!$AK$1</f>
        <v>0</v>
      </c>
      <c r="DF35" s="22">
        <f>[7]Dec!$AH$1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[4]Jan!$AK$1</f>
        <v>0</v>
      </c>
      <c r="DO35" s="22">
        <f>[5]Jan!$AK$1</f>
        <v>0</v>
      </c>
      <c r="DP35" s="22">
        <f>[6]Jan!$AK$1</f>
        <v>0</v>
      </c>
      <c r="DQ35" s="22">
        <f>[7]Jan!$AH$1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[4]Feb!$AK$1</f>
        <v>0</v>
      </c>
      <c r="DZ35" s="22">
        <f>[5]Feb!$AK$1</f>
        <v>0</v>
      </c>
      <c r="EA35" s="22">
        <f>[6]Feb!$AK$1</f>
        <v>0</v>
      </c>
      <c r="EB35" s="22">
        <f>[7]Feb!$AH$1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-[4]Mar!$L$1+[4]Mar!$AF$1</f>
        <v>0</v>
      </c>
      <c r="I37" s="22">
        <f>-[5]Mar!$L$1+[5]Mar!$AF$1</f>
        <v>0</v>
      </c>
      <c r="J37" s="22">
        <f>-[6]Mar!$L$1+[6]Mar!$AF$1</f>
        <v>0</v>
      </c>
      <c r="K37" s="22">
        <f>-[7]Mar!$L$1+[7]Mar!$AC$1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-[4]Apr!$L$1+[4]Apr!$AF$1</f>
        <v>0</v>
      </c>
      <c r="T37" s="22">
        <f>-[5]Apr!$L$1+[5]Apr!$AF$1</f>
        <v>0</v>
      </c>
      <c r="U37" s="22">
        <f>-[6]Apr!$L$1+[6]Apr!$AF$1</f>
        <v>0</v>
      </c>
      <c r="V37" s="22">
        <f>-[7]Apr!$L$1+[7]Apr!$AC$1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-[4]May!$L$1+[4]May!$AF$1</f>
        <v>0</v>
      </c>
      <c r="AE37" s="22">
        <f>-[5]May!$L$1+[5]May!$AF$1</f>
        <v>0</v>
      </c>
      <c r="AF37" s="22">
        <f>-[6]May!$L$1+[6]May!$AF$1</f>
        <v>0</v>
      </c>
      <c r="AG37" s="22">
        <f>-[7]May!$L$1+[7]May!$AC$1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-[4]Jun!$L$1+[4]Jun!$AF$1</f>
        <v>0</v>
      </c>
      <c r="AP37" s="22">
        <f>-[5]Jun!$L$1+[5]Jun!$AF$1</f>
        <v>0</v>
      </c>
      <c r="AQ37" s="22">
        <f>-[6]Jun!$L$1+[6]Jun!$AF$1</f>
        <v>0</v>
      </c>
      <c r="AR37" s="22">
        <f>-[7]Jun!$L$1+[7]Jun!$AC$1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-[4]Jul!$L$1+[4]Jul!$AF$1</f>
        <v>0</v>
      </c>
      <c r="BA37" s="22">
        <f>-[5]Jul!$L$1+[5]Jul!$AF$1</f>
        <v>0</v>
      </c>
      <c r="BB37" s="22">
        <f>-[6]Jul!$L$1+[6]Jul!$AF$1</f>
        <v>0</v>
      </c>
      <c r="BC37" s="22">
        <f>-[7]Jul!$L$1+[7]Jul!$AC$1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-[4]Aug!$L$1+[4]Aug!$AF$1</f>
        <v>0</v>
      </c>
      <c r="BL37" s="22">
        <f>-[5]Aug!$L$1+[5]Aug!$AF$1</f>
        <v>0</v>
      </c>
      <c r="BM37" s="22">
        <f>-[6]Aug!$L$1+[6]Aug!$AF$1</f>
        <v>0</v>
      </c>
      <c r="BN37" s="22">
        <f>-[7]Aug!$L$1+[7]Aug!$AC$1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-[4]Sep!$L$1+[4]Sep!$AF$1</f>
        <v>0</v>
      </c>
      <c r="BW37" s="22">
        <f>-[5]Sep!$L$1+[5]Sep!$AF$1</f>
        <v>0</v>
      </c>
      <c r="BX37" s="22">
        <f>-[6]Sep!$L$1+[6]Sep!$AF$1</f>
        <v>0</v>
      </c>
      <c r="BY37" s="22">
        <f>-[7]Sep!$L$1+[7]Sep!$AC$1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-[4]Oct!$L$1+[4]Oct!$AF$1</f>
        <v>0</v>
      </c>
      <c r="CH37" s="22">
        <f>-[5]Oct!$L$1+[5]Oct!$AF$1</f>
        <v>0</v>
      </c>
      <c r="CI37" s="22">
        <f>-[6]Oct!$L$1+[6]Oct!$AF$1</f>
        <v>0</v>
      </c>
      <c r="CJ37" s="22">
        <f>-[7]Oct!$L$1+[7]Oct!$AC$1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-[4]Nov!$L$1+[4]Nov!$AF$1</f>
        <v>0</v>
      </c>
      <c r="CS37" s="22">
        <f>-[5]Nov!$L$1+[5]Nov!$AF$1</f>
        <v>0</v>
      </c>
      <c r="CT37" s="22">
        <f>-[6]Nov!$L$1+[6]Nov!$AF$1</f>
        <v>0</v>
      </c>
      <c r="CU37" s="22">
        <f>-[7]Nov!$L$1+[7]Nov!$AC$1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-[4]Dec!$L$1+[4]Dec!$AF$1</f>
        <v>0</v>
      </c>
      <c r="DD37" s="22">
        <f>-[5]Dec!$L$1+[5]Dec!$AF$1</f>
        <v>0</v>
      </c>
      <c r="DE37" s="22">
        <f>-[6]Dec!$L$1+[6]Dec!$AF$1</f>
        <v>0</v>
      </c>
      <c r="DF37" s="22">
        <f>-[7]Dec!$L$1+[7]Dec!$AC$1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-[4]Jan!$L$1+[4]Jan!$AF$1</f>
        <v>0</v>
      </c>
      <c r="DO37" s="22">
        <f>-[5]Jan!$L$1+[5]Jan!$AF$1</f>
        <v>0</v>
      </c>
      <c r="DP37" s="22">
        <f>-[6]Jan!$L$1+[6]Jan!$AF$1</f>
        <v>0</v>
      </c>
      <c r="DQ37" s="22">
        <f>-[7]Jan!$L$1+[7]Jan!$AC$1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-[4]Feb!$L$1+[4]Feb!$AF$1</f>
        <v>0</v>
      </c>
      <c r="DZ37" s="22">
        <f>-[5]Feb!$L$1+[5]Feb!$AF$1</f>
        <v>0</v>
      </c>
      <c r="EA37" s="22">
        <f>-[6]Feb!$L$1+[6]Feb!$AF$1</f>
        <v>0</v>
      </c>
      <c r="EB37" s="22">
        <f>-[7]Feb!$L$1+[7]Feb!$AC$1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-[4]Mar!$P$1+[4]Mar!$AM$1</f>
        <v>0</v>
      </c>
      <c r="I39" s="22">
        <f>-[5]Mar!$P$1+[5]Mar!$AM$1</f>
        <v>0</v>
      </c>
      <c r="J39" s="22">
        <f>-[6]Mar!$P$1+[6]Mar!$AM$1</f>
        <v>0</v>
      </c>
      <c r="K39" s="22">
        <f>-[7]Mar!$N$1+[7]Mar!$AJ$1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-[4]Apr!$P$1+[4]Apr!$AM$1</f>
        <v>0</v>
      </c>
      <c r="T39" s="22">
        <f>-[5]Apr!$P$1+[5]Apr!$AM$1</f>
        <v>0</v>
      </c>
      <c r="U39" s="22">
        <f>-[6]Apr!$P$1+[6]Apr!$AM$1</f>
        <v>0</v>
      </c>
      <c r="V39" s="22">
        <f>-[7]Apr!$N$1+[7]Apr!$AJ$1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-[4]May!$P$1+[4]May!$AM$1</f>
        <v>0</v>
      </c>
      <c r="AE39" s="22">
        <f>-[5]May!$P$1+[5]May!$AM$1</f>
        <v>0</v>
      </c>
      <c r="AF39" s="22">
        <f>-[6]May!$P$1+[6]May!$AM$1</f>
        <v>0</v>
      </c>
      <c r="AG39" s="22">
        <f>-[7]May!$N$1+[7]May!$AJ$1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-[4]Jun!$P$1+[4]Jun!$AM$1</f>
        <v>0</v>
      </c>
      <c r="AP39" s="22">
        <f>-[5]Jun!$P$1+[5]Jun!$AM$1</f>
        <v>0</v>
      </c>
      <c r="AQ39" s="22">
        <f>-[6]Jun!$P$1+[6]Jun!$AM$1</f>
        <v>0</v>
      </c>
      <c r="AR39" s="22">
        <f>-[7]Jun!$N$1+[7]Jun!$AJ$1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-[4]Jul!$P$1+[4]Jul!$AM$1</f>
        <v>0</v>
      </c>
      <c r="BA39" s="22">
        <f>-[5]Jul!$P$1+[5]Jul!$AM$1</f>
        <v>0</v>
      </c>
      <c r="BB39" s="22">
        <f>-[6]Jul!$P$1+[6]Jul!$AM$1</f>
        <v>0</v>
      </c>
      <c r="BC39" s="22">
        <f>-[7]Jul!$N$1+[7]Jul!$AJ$1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-[4]Aug!$P$1+[4]Aug!$AM$1</f>
        <v>0</v>
      </c>
      <c r="BL39" s="22">
        <f>-[5]Aug!$P$1+[5]Aug!$AM$1</f>
        <v>0</v>
      </c>
      <c r="BM39" s="22">
        <f>-[6]Aug!$P$1+[6]Aug!$AM$1</f>
        <v>0</v>
      </c>
      <c r="BN39" s="22">
        <f>-[7]Aug!$N$1+[7]Aug!$AJ$1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-[4]Sep!$P$1+[4]Sep!$AM$1</f>
        <v>0</v>
      </c>
      <c r="BW39" s="22">
        <f>-[5]Sep!$P$1+[5]Sep!$AM$1</f>
        <v>0</v>
      </c>
      <c r="BX39" s="22">
        <f>-[6]Sep!$P$1+[6]Sep!$AM$1</f>
        <v>0</v>
      </c>
      <c r="BY39" s="22">
        <f>-[7]Sep!$N$1+[7]Sep!$AJ$1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-[4]Oct!$P$1+[4]Oct!$AM$1</f>
        <v>0</v>
      </c>
      <c r="CH39" s="22">
        <f>-[5]Oct!$P$1+[5]Oct!$AM$1</f>
        <v>0</v>
      </c>
      <c r="CI39" s="22">
        <f>-[6]Oct!$P$1+[6]Oct!$AM$1</f>
        <v>0</v>
      </c>
      <c r="CJ39" s="22">
        <f>-[7]Oct!$N$1+[7]Oct!$AJ$1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-[4]Nov!$P$1+[4]Nov!$AM$1</f>
        <v>0</v>
      </c>
      <c r="CS39" s="22">
        <f>-[5]Nov!$P$1+[5]Nov!$AM$1</f>
        <v>0</v>
      </c>
      <c r="CT39" s="22">
        <f>-[6]Nov!$P$1+[6]Nov!$AM$1</f>
        <v>0</v>
      </c>
      <c r="CU39" s="22">
        <f>-[7]Nov!$N$1+[7]Nov!$AJ$1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-[4]Dec!$P$1+[4]Dec!$AM$1</f>
        <v>0</v>
      </c>
      <c r="DD39" s="22">
        <f>-[5]Dec!$P$1+[5]Dec!$AM$1</f>
        <v>0</v>
      </c>
      <c r="DE39" s="22">
        <f>-[6]Dec!$P$1+[6]Dec!$AM$1</f>
        <v>0</v>
      </c>
      <c r="DF39" s="22">
        <f>-[7]Dec!$N$1+[7]Dec!$AJ$1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-[4]Jan!$P$1+[4]Jan!$AM$1</f>
        <v>0</v>
      </c>
      <c r="DO39" s="22">
        <f>-[5]Jan!$P$1+[5]Jan!$AM$1</f>
        <v>0</v>
      </c>
      <c r="DP39" s="22">
        <f>-[6]Jan!$P$1+[6]Jan!$AM$1</f>
        <v>0</v>
      </c>
      <c r="DQ39" s="22">
        <f>-[7]Jan!$N$1+[7]Jan!$AJ$1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-[4]Feb!$P$1+[4]Feb!$AM$1</f>
        <v>0</v>
      </c>
      <c r="DZ39" s="22">
        <f>-[5]Feb!$P$1+[5]Feb!$AM$1</f>
        <v>0</v>
      </c>
      <c r="EA39" s="22">
        <f>-[6]Feb!$P$1+[6]Feb!$AM$1</f>
        <v>0</v>
      </c>
      <c r="EB39" s="22">
        <f>-[7]Feb!$N$1+[7]Feb!$AJ$1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-[4]Mar!$M$1+[4]Mar!$AG$1</f>
        <v>0</v>
      </c>
      <c r="I40" s="22">
        <f>-[5]Mar!$M$1+[5]Mar!$AG$1</f>
        <v>0</v>
      </c>
      <c r="J40" s="22">
        <f>-[6]Mar!$M$1+[6]Mar!$AG$1</f>
        <v>0</v>
      </c>
      <c r="K40" s="22">
        <f>-[7]Mar!$M$1+[7]Mar!$AD$1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-[4]Apr!$M$1+[4]Apr!$AG$1</f>
        <v>0</v>
      </c>
      <c r="T40" s="22">
        <f>-[5]Apr!$M$1+[5]Apr!$AG$1</f>
        <v>0</v>
      </c>
      <c r="U40" s="22">
        <f>-[6]Apr!$M$1+[6]Apr!$AG$1</f>
        <v>0</v>
      </c>
      <c r="V40" s="22">
        <f>-[7]Apr!$M$1+[7]Apr!$AD$1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-[4]May!$M$1+[4]May!$AG$1</f>
        <v>0</v>
      </c>
      <c r="AE40" s="22">
        <f>-[5]May!$M$1+[5]May!$AG$1</f>
        <v>0</v>
      </c>
      <c r="AF40" s="22">
        <f>-[6]May!$M$1+[6]May!$AG$1</f>
        <v>0</v>
      </c>
      <c r="AG40" s="22">
        <f>-[7]May!$M$1+[7]May!$AD$1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-[4]Jun!$M$1+[4]Jun!$AG$1</f>
        <v>0</v>
      </c>
      <c r="AP40" s="22">
        <f>-[5]Jun!$M$1+[5]Jun!$AG$1</f>
        <v>0</v>
      </c>
      <c r="AQ40" s="22">
        <f>-[6]Jun!$M$1+[6]Jun!$AG$1</f>
        <v>0</v>
      </c>
      <c r="AR40" s="22">
        <f>-[7]Jun!$M$1+[7]Jun!$AD$1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-[4]Jul!$M$1+[4]Jul!$AG$1</f>
        <v>0</v>
      </c>
      <c r="BA40" s="22">
        <f>-[5]Jul!$M$1+[5]Jul!$AG$1</f>
        <v>0</v>
      </c>
      <c r="BB40" s="22">
        <f>-[6]Jul!$M$1+[6]Jul!$AG$1</f>
        <v>0</v>
      </c>
      <c r="BC40" s="22">
        <f>-[7]Jul!$M$1+[7]Jul!$AD$1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-[4]Aug!$M$1+[4]Aug!$AG$1</f>
        <v>0</v>
      </c>
      <c r="BL40" s="22">
        <f>-[5]Aug!$M$1+[5]Aug!$AG$1</f>
        <v>0</v>
      </c>
      <c r="BM40" s="22">
        <f>-[6]Aug!$M$1+[6]Aug!$AG$1</f>
        <v>0</v>
      </c>
      <c r="BN40" s="22">
        <f>-[7]Aug!$M$1+[7]Aug!$AD$1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-[4]Sep!$M$1+[4]Sep!$AG$1</f>
        <v>0</v>
      </c>
      <c r="BW40" s="22">
        <f>-[5]Sep!$M$1+[5]Sep!$AG$1</f>
        <v>0</v>
      </c>
      <c r="BX40" s="22">
        <f>-[6]Sep!$M$1+[6]Sep!$AG$1</f>
        <v>0</v>
      </c>
      <c r="BY40" s="22">
        <f>-[7]Sep!$M$1+[7]Sep!$AD$1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-[4]Oct!$M$1+[4]Oct!$AG$1</f>
        <v>0</v>
      </c>
      <c r="CH40" s="22">
        <f>-[5]Oct!$M$1+[5]Oct!$AG$1</f>
        <v>0</v>
      </c>
      <c r="CI40" s="22">
        <f>-[6]Oct!$M$1+[6]Oct!$AG$1</f>
        <v>0</v>
      </c>
      <c r="CJ40" s="22">
        <f>-[7]Oct!$M$1+[7]Oct!$AD$1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-[4]Nov!$M$1+[4]Nov!$AG$1</f>
        <v>0</v>
      </c>
      <c r="CS40" s="22">
        <f>-[5]Nov!$M$1+[5]Nov!$AG$1</f>
        <v>0</v>
      </c>
      <c r="CT40" s="22">
        <f>-[6]Nov!$M$1+[6]Nov!$AG$1</f>
        <v>0</v>
      </c>
      <c r="CU40" s="22">
        <f>-[7]Nov!$M$1+[7]Nov!$AD$1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-[4]Dec!$M$1+[4]Dec!$AG$1</f>
        <v>0</v>
      </c>
      <c r="DD40" s="22">
        <f>-[5]Dec!$M$1+[5]Dec!$AG$1</f>
        <v>0</v>
      </c>
      <c r="DE40" s="22">
        <f>-[6]Dec!$M$1+[6]Dec!$AG$1</f>
        <v>0</v>
      </c>
      <c r="DF40" s="22">
        <f>-[7]Dec!$M$1+[7]Dec!$AD$1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-[4]Jan!$M$1+[4]Jan!$AG$1</f>
        <v>0</v>
      </c>
      <c r="DO40" s="22">
        <f>-[5]Jan!$M$1+[5]Jan!$AG$1</f>
        <v>0</v>
      </c>
      <c r="DP40" s="22">
        <f>-[6]Jan!$M$1+[6]Jan!$AG$1</f>
        <v>0</v>
      </c>
      <c r="DQ40" s="22">
        <f>-[7]Jan!$M$1+[7]Jan!$AD$1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-[4]Feb!$M$1+[4]Feb!$AG$1</f>
        <v>0</v>
      </c>
      <c r="DZ40" s="22">
        <f>-[5]Feb!$M$1+[5]Feb!$AG$1</f>
        <v>0</v>
      </c>
      <c r="EA40" s="22">
        <f>-[6]Feb!$M$1+[6]Feb!$AG$1</f>
        <v>0</v>
      </c>
      <c r="EB40" s="22">
        <f>-[7]Feb!$M$1+[7]Feb!$AD$1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-[3]Apr!$O$1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-[3]May!$O$1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-[3]Jul!$O$1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-[3]Aug!$O$1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-[3]Sep!$O$1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-[3]Oct!$O$1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-[3]Nov!$O$1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-[3]Dec!$O$1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-[3]Jan!$O$1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-[3]Feb!$O$1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-[3]Apr!$P$1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-[3]May!$P$1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-[3]Jul!$P$1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-[3]Aug!$P$1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-[3]Sep!$P$1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-[3]Oct!$P$1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-[3]Nov!$P$1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-[3]Dec!$P$1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-[3]Jan!$P$1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-[3]Feb!$P$1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-[3]Apr!$Q$1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-[3]May!$Q$1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-[3]Jul!$Q$1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-[3]Aug!$Q$1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-[3]Sep!$Q$1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-[3]Oct!$Q$1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-[3]Nov!$Q$1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-[3]Dec!$Q$1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-[3]Jan!$Q$1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-[3]Feb!$Q$1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-[3]Apr!$R$1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-[3]May!$R$1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-[3]Jul!$R$1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-[3]Aug!$R$1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-[3]Sep!$R$1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-[3]Oct!$R$1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-[3]Nov!$R$1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-[3]Dec!$R$1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-[3]Jan!$R$1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-[3]Feb!$R$1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-[3]Apr!$S$1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-[3]May!$S$1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-[3]Jul!$S$1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-[3]Aug!$S$1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-[3]Sep!$S$1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-[3]Oct!$S$1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-[3]Nov!$S$1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-[3]Dec!$S$1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-[3]Jan!$S$1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-[3]Feb!$S$1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-[4]Mar!$K$1</f>
        <v>0</v>
      </c>
      <c r="I58" s="22">
        <f>-[5]Mar!$K$1</f>
        <v>0</v>
      </c>
      <c r="J58" s="22">
        <f>-[6]Mar!$K$1</f>
        <v>0</v>
      </c>
      <c r="K58" s="22">
        <f>-[7]Mar!$K$1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-[4]Apr!$K$1</f>
        <v>0</v>
      </c>
      <c r="T58" s="22">
        <f>-[5]Apr!$K$1</f>
        <v>0</v>
      </c>
      <c r="U58" s="22">
        <f>-[6]Apr!$K$1</f>
        <v>0</v>
      </c>
      <c r="V58" s="22">
        <f>-[7]Apr!$K$1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-[4]May!$K$1</f>
        <v>0</v>
      </c>
      <c r="AE58" s="22">
        <f>-[5]May!$K$1</f>
        <v>0</v>
      </c>
      <c r="AF58" s="22">
        <f>-[6]May!$K$1</f>
        <v>0</v>
      </c>
      <c r="AG58" s="22">
        <f>-[7]May!$K$1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-[4]Jun!$K$1</f>
        <v>0</v>
      </c>
      <c r="AP58" s="22">
        <f>-[5]Jun!$K$1</f>
        <v>0</v>
      </c>
      <c r="AQ58" s="22">
        <f>-[6]Jun!$K$1</f>
        <v>0</v>
      </c>
      <c r="AR58" s="22">
        <f>-[7]Jun!$K$1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-[4]Jul!$K$1</f>
        <v>0</v>
      </c>
      <c r="BA58" s="22">
        <f>-[5]Jul!$K$1</f>
        <v>0</v>
      </c>
      <c r="BB58" s="22">
        <f>-[6]Jul!$K$1</f>
        <v>0</v>
      </c>
      <c r="BC58" s="22">
        <f>-[7]Jul!$K$1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-[4]Aug!$K$1</f>
        <v>0</v>
      </c>
      <c r="BL58" s="22">
        <f>-[5]Aug!$K$1</f>
        <v>0</v>
      </c>
      <c r="BM58" s="22">
        <f>-[6]Aug!$K$1</f>
        <v>0</v>
      </c>
      <c r="BN58" s="22">
        <f>-[7]Aug!$K$1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-[4]Sep!$K$1</f>
        <v>0</v>
      </c>
      <c r="BW58" s="22">
        <f>-[5]Sep!$K$1</f>
        <v>0</v>
      </c>
      <c r="BX58" s="22">
        <f>-[6]Sep!$K$1</f>
        <v>0</v>
      </c>
      <c r="BY58" s="22">
        <f>-[7]Sep!$K$1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-[4]Oct!$K$1</f>
        <v>0</v>
      </c>
      <c r="CH58" s="22">
        <f>-[5]Oct!$K$1</f>
        <v>0</v>
      </c>
      <c r="CI58" s="22">
        <f>-[6]Oct!$K$1</f>
        <v>0</v>
      </c>
      <c r="CJ58" s="22">
        <f>-[7]Oct!$K$1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-[4]Nov!$K$1</f>
        <v>0</v>
      </c>
      <c r="CS58" s="22">
        <f>-[5]Nov!$K$1</f>
        <v>0</v>
      </c>
      <c r="CT58" s="22">
        <f>-[6]Nov!$K$1</f>
        <v>0</v>
      </c>
      <c r="CU58" s="22">
        <f>-[7]Nov!$K$1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-[4]Dec!$K$1</f>
        <v>0</v>
      </c>
      <c r="DD58" s="22">
        <f>-[5]Dec!$K$1</f>
        <v>0</v>
      </c>
      <c r="DE58" s="22">
        <f>-[6]Dec!$K$1</f>
        <v>0</v>
      </c>
      <c r="DF58" s="22">
        <f>-[7]Dec!$K$1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-[4]Jan!$K$1</f>
        <v>0</v>
      </c>
      <c r="DO58" s="22">
        <f>-[5]Jan!$K$1</f>
        <v>0</v>
      </c>
      <c r="DP58" s="22">
        <f>-[6]Jan!$K$1</f>
        <v>0</v>
      </c>
      <c r="DQ58" s="22">
        <f>-[7]Jan!$K$1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-[4]Feb!$K$1</f>
        <v>0</v>
      </c>
      <c r="DZ58" s="22">
        <f>-[5]Feb!$K$1</f>
        <v>0</v>
      </c>
      <c r="EA58" s="22">
        <f>-[6]Feb!$K$1</f>
        <v>0</v>
      </c>
      <c r="EB58" s="22">
        <f>-[7]Feb!$K$1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[2]Apr!$O$1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[2]May!$O$1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[2]Jul!$O$1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[2]Aug!$O$1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[2]Sep!$O$1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[2]Oct!$O$1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[2]Nov!$O$1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[2]Dec!$O$1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[2]Jan!$O$1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[2]Feb!$O$1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[2]Apr!$P$1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[2]May!$P$1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[2]Jul!$P$1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[2]Aug!$P$1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[2]Sep!$P$1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[2]Oct!$P$1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[2]Nov!$P$1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[2]Dec!$P$1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[2]Jan!$P$1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[2]Feb!$P$1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[2]Apr!$Q$1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[2]May!$Q$1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[2]Jul!$Q$1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[2]Aug!$Q$1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[2]Sep!$Q$1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[2]Oct!$Q$1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[2]Nov!$Q$1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[2]Dec!$Q$1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[2]Jan!$Q$1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[2]Feb!$Q$1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[2]Apr!$S$1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[2]May!$S$1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[2]Jul!$S$1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[2]Aug!$S$1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[2]Sep!$S$1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[2]Oct!$S$1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[2]Nov!$S$1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[2]Dec!$S$1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[2]Jan!$S$1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[2]Feb!$S$1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[2]Apr!$R$1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[2]May!$R$1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[2]Jul!$R$1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[2]Aug!$R$1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[2]Sep!$R$1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[2]Oct!$R$1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[2]Nov!$R$1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[2]Dec!$R$1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[2]Jan!$R$1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[2]Feb!$R$1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[2]Apr!$T$1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[2]May!$T$1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[2]Jul!$T$1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[2]Aug!$T$1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[2]Sep!$T$1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[2]Oct!$T$1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[2]Nov!$T$1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[2]Dec!$T$1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[2]Jan!$T$1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[2]Feb!$T$1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[2]Apr!$U$1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[2]May!$U$1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[2]Jul!$U$1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[2]Aug!$U$1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[2]Sep!$U$1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[2]Oct!$U$1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[2]Nov!$U$1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[2]Dec!$U$1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[2]Jan!$U$1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[2]Feb!$U$1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[2]Apr!$V$1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[2]May!$V$1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[2]Jul!$V$1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[2]Aug!$V$1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[2]Sep!$V$1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[2]Oct!$V$1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[2]Nov!$V$1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[2]Dec!$V$1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[2]Jan!$V$1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[2]Feb!$V$1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[2]Apr!$W$1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[2]May!$W$1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[2]Jul!$W$1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[2]Aug!$W$1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[2]Sep!$W$1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[2]Oct!$W$1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[2]Nov!$W$1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[2]Dec!$W$1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[2]Jan!$W$1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[2]Feb!$W$1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[2]Apr!$X$1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[2]May!$X$1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[2]Jul!$X$1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[2]Aug!$X$1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[2]Sep!$X$1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[2]Oct!$X$1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[2]Nov!$X$1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[2]Dec!$X$1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[2]Jan!$X$1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[2]Feb!$X$1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[2]Apr!$Y$1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[2]May!$Y$1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[2]Jul!$Y$1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[2]Aug!$Y$1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[2]Sep!$Y$1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[2]Oct!$Y$1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[2]Nov!$Y$1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[2]Dec!$Y$1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[2]Jan!$Y$1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[2]Feb!$Y$1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[2]Apr!$Z$1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[2]May!$Z$1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[2]Jul!$Z$1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[2]Aug!$Z$1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[2]Sep!$Z$1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[2]Oct!$Z$1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[2]Nov!$Z$1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[2]Dec!$Z$1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[2]Jan!$Z$1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[2]Feb!$Z$1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[2]Apr!$AA$1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[2]May!$AA$1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[2]Jul!$AA$1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[2]Aug!$AA$1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[2]Sep!$AA$1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[2]Oct!$AA$1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[2]Nov!$AA$1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[2]Dec!$AA$1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[2]Jan!$AA$1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[2]Feb!$AA$1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[2]Apr!$AB$1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[2]May!$AB$1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[2]Jul!$AB$1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[2]Aug!$AB$1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[2]Sep!$AB$1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[2]Oct!$AB$1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[2]Nov!$AB$1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[2]Dec!$AB$1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[2]Jan!$AB$1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[2]Feb!$AB$1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[2]Apr!$AC$1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[2]May!$AC$1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[2]Jul!$AC$1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[2]Aug!$AC$1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[2]Sep!$AC$1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[2]Oct!$AC$1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[2]Nov!$AC$1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[2]Dec!$AC$1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[2]Jan!$AC$1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[2]Feb!$AC$1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[2]Apr!$AD$1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[2]May!$AD$1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[2]Jul!$AD$1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[2]Aug!$AD$1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[2]Sep!$AD$1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[2]Oct!$AD$1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[2]Nov!$AD$1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[2]Dec!$AD$1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[2]Jan!$AD$1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[2]Feb!$AD$1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[2]Apr!$AE$1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[2]May!$AE$1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[2]Jul!$AE$1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[2]Aug!$AE$1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[2]Sep!$AE$1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[2]Oct!$AE$1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[2]Nov!$AE$1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[2]Dec!$AE$1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[2]Jan!$AE$1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[2]Feb!$AE$1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[2]Apr!$AF$1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[2]May!$AF$1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[2]Jul!$AF$1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[2]Aug!$AF$1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[2]Sep!$AF$1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[2]Oct!$AF$1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[2]Nov!$AF$1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[2]Dec!$AF$1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[2]Jan!$AF$1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[2]Feb!$AF$1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-[3]Apr!$T$1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-[3]May!$T$1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-[3]Jul!$T$1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-[3]Aug!$T$1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-[3]Sep!$T$1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-[3]Oct!$T$1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-[3]Nov!$T$1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-[3]Dec!$T$1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-[3]Jan!$T$1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-[3]Feb!$T$1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[4]Mar!$AE$1</f>
        <v>0</v>
      </c>
      <c r="I82" s="22">
        <f>[5]Mar!$AE$1</f>
        <v>0</v>
      </c>
      <c r="J82" s="22">
        <f>[6]Mar!$AE$1</f>
        <v>0</v>
      </c>
      <c r="K82" s="22">
        <f>[7]Mar!$AB$1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[4]Apr!$AE$1</f>
        <v>0</v>
      </c>
      <c r="T82" s="22">
        <f>[5]Apr!$AE$1</f>
        <v>0</v>
      </c>
      <c r="U82" s="22">
        <f>[6]Apr!$AE$1</f>
        <v>0</v>
      </c>
      <c r="V82" s="22">
        <f>[7]Apr!$AB$1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[4]May!$AE$1</f>
        <v>0</v>
      </c>
      <c r="AE82" s="22">
        <f>[5]May!$AE$1</f>
        <v>0</v>
      </c>
      <c r="AF82" s="22">
        <f>[6]May!$AE$1</f>
        <v>0</v>
      </c>
      <c r="AG82" s="22">
        <f>[7]May!$AB$1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[4]Jun!$AE$1</f>
        <v>0</v>
      </c>
      <c r="AP82" s="22">
        <f>[5]Jun!$AE$1</f>
        <v>0</v>
      </c>
      <c r="AQ82" s="22">
        <f>[6]Jun!$AE$1</f>
        <v>0</v>
      </c>
      <c r="AR82" s="22">
        <f>[7]Jun!$AB$1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[4]Jul!$AE$1</f>
        <v>0</v>
      </c>
      <c r="BA82" s="22">
        <f>[5]Jul!$AE$1</f>
        <v>0</v>
      </c>
      <c r="BB82" s="22">
        <f>[6]Jul!$AE$1</f>
        <v>0</v>
      </c>
      <c r="BC82" s="22">
        <f>[7]Jul!$AB$1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[4]Aug!$AE$1</f>
        <v>0</v>
      </c>
      <c r="BL82" s="22">
        <f>[5]Aug!$AE$1</f>
        <v>0</v>
      </c>
      <c r="BM82" s="22">
        <f>[6]Aug!$AE$1</f>
        <v>0</v>
      </c>
      <c r="BN82" s="22">
        <f>[7]Aug!$AB$1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[4]Sep!$AE$1</f>
        <v>0</v>
      </c>
      <c r="BW82" s="22">
        <f>[5]Sep!$AE$1</f>
        <v>0</v>
      </c>
      <c r="BX82" s="22">
        <f>[6]Sep!$AE$1</f>
        <v>0</v>
      </c>
      <c r="BY82" s="22">
        <f>[7]Sep!$AB$1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[4]Oct!$AE$1</f>
        <v>0</v>
      </c>
      <c r="CH82" s="22">
        <f>[5]Oct!$AE$1</f>
        <v>0</v>
      </c>
      <c r="CI82" s="22">
        <f>[6]Oct!$AE$1</f>
        <v>0</v>
      </c>
      <c r="CJ82" s="22">
        <f>[7]Oct!$AB$1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[4]Nov!$AE$1</f>
        <v>0</v>
      </c>
      <c r="CS82" s="22">
        <f>[5]Nov!$AE$1</f>
        <v>0</v>
      </c>
      <c r="CT82" s="22">
        <f>[6]Nov!$AE$1</f>
        <v>0</v>
      </c>
      <c r="CU82" s="22">
        <f>[7]Nov!$AB$1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[4]Dec!$AE$1</f>
        <v>0</v>
      </c>
      <c r="DD82" s="22">
        <f>[5]Dec!$AE$1</f>
        <v>0</v>
      </c>
      <c r="DE82" s="22">
        <f>[6]Dec!$AE$1</f>
        <v>0</v>
      </c>
      <c r="DF82" s="22">
        <f>[7]Dec!$AB$1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[4]Jan!$AE$1</f>
        <v>0</v>
      </c>
      <c r="DO82" s="22">
        <f>[5]Jan!$AE$1</f>
        <v>0</v>
      </c>
      <c r="DP82" s="22">
        <f>[6]Jan!$AE$1</f>
        <v>0</v>
      </c>
      <c r="DQ82" s="22">
        <f>[7]Jan!$AB$1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[4]Feb!$AE$1</f>
        <v>0</v>
      </c>
      <c r="DZ82" s="22">
        <f>[5]Feb!$AE$1</f>
        <v>0</v>
      </c>
      <c r="EA82" s="22">
        <f>[6]Feb!$AE$1</f>
        <v>0</v>
      </c>
      <c r="EB82" s="22">
        <f>[7]Feb!$AB$1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[4]Mar!$AD$1</f>
        <v>0</v>
      </c>
      <c r="I83" s="22">
        <f>[5]Mar!$AD$1</f>
        <v>0</v>
      </c>
      <c r="J83" s="22">
        <f>[6]Mar!$AD$1</f>
        <v>0</v>
      </c>
      <c r="K83" s="22">
        <f>[7]Mar!$AA$1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[4]Apr!$AD$1</f>
        <v>0</v>
      </c>
      <c r="T83" s="22">
        <f>[5]Apr!$AD$1</f>
        <v>0</v>
      </c>
      <c r="U83" s="22">
        <f>[6]Apr!$AD$1</f>
        <v>0</v>
      </c>
      <c r="V83" s="22">
        <f>[7]Apr!$AA$1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[4]May!$AD$1</f>
        <v>0</v>
      </c>
      <c r="AE83" s="22">
        <f>[5]May!$AD$1</f>
        <v>0</v>
      </c>
      <c r="AF83" s="22">
        <f>[6]May!$AD$1</f>
        <v>0</v>
      </c>
      <c r="AG83" s="22">
        <f>[7]May!$AA$1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[4]Jun!$AD$1</f>
        <v>0</v>
      </c>
      <c r="AP83" s="22">
        <f>[5]Jun!$AD$1</f>
        <v>0</v>
      </c>
      <c r="AQ83" s="22">
        <f>[6]Jun!$AD$1</f>
        <v>0</v>
      </c>
      <c r="AR83" s="22">
        <f>[7]Jun!$AA$1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[4]Jul!$AD$1</f>
        <v>0</v>
      </c>
      <c r="BA83" s="22">
        <f>[5]Jul!$AD$1</f>
        <v>0</v>
      </c>
      <c r="BB83" s="22">
        <f>[6]Jul!$AD$1</f>
        <v>0</v>
      </c>
      <c r="BC83" s="22">
        <f>[7]Jul!$AA$1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[4]Aug!$AD$1</f>
        <v>0</v>
      </c>
      <c r="BL83" s="22">
        <f>[5]Aug!$AD$1</f>
        <v>0</v>
      </c>
      <c r="BM83" s="22">
        <f>[6]Aug!$AD$1</f>
        <v>0</v>
      </c>
      <c r="BN83" s="22">
        <f>[7]Aug!$AA$1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[4]Sep!$AD$1</f>
        <v>0</v>
      </c>
      <c r="BW83" s="22">
        <f>[5]Sep!$AD$1</f>
        <v>0</v>
      </c>
      <c r="BX83" s="22">
        <f>[6]Sep!$AD$1</f>
        <v>0</v>
      </c>
      <c r="BY83" s="22">
        <f>[7]Sep!$AA$1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[4]Oct!$AD$1</f>
        <v>0</v>
      </c>
      <c r="CH83" s="22">
        <f>[5]Oct!$AD$1</f>
        <v>0</v>
      </c>
      <c r="CI83" s="22">
        <f>[6]Oct!$AD$1</f>
        <v>0</v>
      </c>
      <c r="CJ83" s="22">
        <f>[7]Oct!$AA$1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[4]Nov!$AD$1</f>
        <v>0</v>
      </c>
      <c r="CS83" s="22">
        <f>[5]Nov!$AD$1</f>
        <v>0</v>
      </c>
      <c r="CT83" s="22">
        <f>[6]Nov!$AD$1</f>
        <v>0</v>
      </c>
      <c r="CU83" s="22">
        <f>[7]Nov!$AA$1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[4]Dec!$AD$1</f>
        <v>0</v>
      </c>
      <c r="DD83" s="22">
        <f>[5]Dec!$AD$1</f>
        <v>0</v>
      </c>
      <c r="DE83" s="22">
        <f>[6]Dec!$AD$1</f>
        <v>0</v>
      </c>
      <c r="DF83" s="22">
        <f>[7]Dec!$AA$1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[4]Jan!$AD$1</f>
        <v>0</v>
      </c>
      <c r="DO83" s="22">
        <f>[5]Jan!$AD$1</f>
        <v>0</v>
      </c>
      <c r="DP83" s="22">
        <f>[6]Jan!$AD$1</f>
        <v>0</v>
      </c>
      <c r="DQ83" s="22">
        <f>[7]Jan!$AA$1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[4]Feb!$AD$1</f>
        <v>0</v>
      </c>
      <c r="DZ83" s="22">
        <f>[5]Feb!$AD$1</f>
        <v>0</v>
      </c>
      <c r="EA83" s="22">
        <f>[6]Feb!$AD$1</f>
        <v>0</v>
      </c>
      <c r="EB83" s="22">
        <f>[7]Feb!$AA$1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[2]Apr!$AG$1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[2]May!$AG$1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[2]Jul!$AG$1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[2]Aug!$AG$1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[2]Sep!$AG$1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[2]Oct!$AG$1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[2]Nov!$AG$1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[2]Dec!$AG$1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[2]Jan!$AG$1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[2]Feb!$AG$1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[2]Apr!$AH$1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[2]May!$AH$1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[2]Jul!$AH$1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[2]Aug!$AH$1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[2]Sep!$AH$1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[2]Oct!$AH$1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[2]Nov!$AH$1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[2]Dec!$AH$1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[2]Jan!$AH$1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[2]Feb!$AH$1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-[4]Mar!$Q$1</f>
        <v>0</v>
      </c>
      <c r="I88" s="22">
        <f>-[5]Mar!$Q$1</f>
        <v>0</v>
      </c>
      <c r="J88" s="22">
        <f>-[6]Mar!$Q$1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-[4]Apr!$Q$1</f>
        <v>0</v>
      </c>
      <c r="T88" s="22">
        <f>-[5]Apr!$Q$1</f>
        <v>0</v>
      </c>
      <c r="U88" s="22">
        <f>-[6]Apr!$Q$1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-[4]May!$Q$1</f>
        <v>0</v>
      </c>
      <c r="AE88" s="22">
        <f>-[5]May!$Q$1</f>
        <v>0</v>
      </c>
      <c r="AF88" s="22">
        <f>-[6]May!$Q$1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-[4]Jun!$Q$1</f>
        <v>0</v>
      </c>
      <c r="AP88" s="22">
        <f>-[5]Jun!$Q$1</f>
        <v>0</v>
      </c>
      <c r="AQ88" s="22">
        <f>-[6]Jun!$Q$1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-[4]Jul!$Q$1</f>
        <v>0</v>
      </c>
      <c r="BA88" s="22">
        <f>-[5]Jul!$Q$1</f>
        <v>0</v>
      </c>
      <c r="BB88" s="22">
        <f>-[6]Jul!$Q$1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-[4]Aug!$Q$1</f>
        <v>0</v>
      </c>
      <c r="BL88" s="22">
        <f>-[5]Aug!$Q$1</f>
        <v>0</v>
      </c>
      <c r="BM88" s="22">
        <f>-[6]Aug!$Q$1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-[4]Sep!$Q$1</f>
        <v>0</v>
      </c>
      <c r="BW88" s="22">
        <f>-[5]Sep!$Q$1</f>
        <v>0</v>
      </c>
      <c r="BX88" s="22">
        <f>-[6]Sep!$Q$1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-[4]Oct!$Q$1</f>
        <v>0</v>
      </c>
      <c r="CH88" s="22">
        <f>-[5]Oct!$Q$1</f>
        <v>0</v>
      </c>
      <c r="CI88" s="22">
        <f>-[6]Oct!$Q$1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-[4]Nov!$Q$1</f>
        <v>0</v>
      </c>
      <c r="CS88" s="22">
        <f>-[5]Nov!$Q$1</f>
        <v>0</v>
      </c>
      <c r="CT88" s="22">
        <f>-[6]Nov!$Q$1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-[4]Dec!$Q$1</f>
        <v>0</v>
      </c>
      <c r="DD88" s="22">
        <f>-[5]Dec!$Q$1</f>
        <v>0</v>
      </c>
      <c r="DE88" s="22">
        <f>-[6]Dec!$Q$1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-[4]Jan!$Q$1</f>
        <v>0</v>
      </c>
      <c r="DO88" s="22">
        <f>-[5]Jan!$Q$1</f>
        <v>0</v>
      </c>
      <c r="DP88" s="22">
        <f>-[6]Jan!$Q$1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-[4]Feb!$Q$1</f>
        <v>0</v>
      </c>
      <c r="DZ88" s="22">
        <f>-[5]Feb!$Q$1</f>
        <v>0</v>
      </c>
      <c r="EA88" s="22">
        <f>-[6]Feb!$Q$1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[4]Mar!$AN$1</f>
        <v>0</v>
      </c>
      <c r="I89" s="22">
        <f>[5]Mar!$AN$1</f>
        <v>0</v>
      </c>
      <c r="J89" s="22">
        <f>[6]Mar!$AN$1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[4]Apr!$AN$1</f>
        <v>0</v>
      </c>
      <c r="T89" s="22">
        <f>[5]Apr!$AN$1</f>
        <v>0</v>
      </c>
      <c r="U89" s="22">
        <f>[6]Apr!$AN$1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[4]May!$AN$1</f>
        <v>0</v>
      </c>
      <c r="AE89" s="22">
        <f>[5]May!$AN$1</f>
        <v>0</v>
      </c>
      <c r="AF89" s="22">
        <f>[6]May!$AN$1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[4]Jun!$AN$1</f>
        <v>0</v>
      </c>
      <c r="AP89" s="22">
        <f>[5]Jun!$AN$1</f>
        <v>0</v>
      </c>
      <c r="AQ89" s="22">
        <f>[6]Jun!$AN$1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[4]Jul!$AN$1</f>
        <v>0</v>
      </c>
      <c r="BA89" s="22">
        <f>[5]Jul!$AN$1</f>
        <v>0</v>
      </c>
      <c r="BB89" s="22">
        <f>[6]Jul!$AN$1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[4]Aug!$AN$1</f>
        <v>0</v>
      </c>
      <c r="BL89" s="22">
        <f>[5]Aug!$AN$1</f>
        <v>0</v>
      </c>
      <c r="BM89" s="22">
        <f>[6]Aug!$AN$1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[4]Sep!$AN$1</f>
        <v>0</v>
      </c>
      <c r="BW89" s="22">
        <f>[5]Sep!$AN$1</f>
        <v>0</v>
      </c>
      <c r="BX89" s="22">
        <f>[6]Sep!$AN$1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[4]Oct!$AN$1</f>
        <v>0</v>
      </c>
      <c r="CH89" s="22">
        <f>[5]Oct!$AN$1</f>
        <v>0</v>
      </c>
      <c r="CI89" s="22">
        <f>[6]Oct!$AN$1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[4]Nov!$AN$1</f>
        <v>0</v>
      </c>
      <c r="CS89" s="22">
        <f>[5]Nov!$AN$1</f>
        <v>0</v>
      </c>
      <c r="CT89" s="22">
        <f>[6]Nov!$AN$1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[4]Dec!$AN$1</f>
        <v>0</v>
      </c>
      <c r="DD89" s="22">
        <f>[5]Dec!$AN$1</f>
        <v>0</v>
      </c>
      <c r="DE89" s="22">
        <f>[6]Dec!$AN$1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[4]Jan!$AN$1</f>
        <v>0</v>
      </c>
      <c r="DO89" s="22">
        <f>[5]Jan!$AN$1</f>
        <v>0</v>
      </c>
      <c r="DP89" s="22">
        <f>[6]Jan!$AN$1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[4]Feb!$AN$1</f>
        <v>0</v>
      </c>
      <c r="DZ89" s="22">
        <f>[5]Feb!$AN$1</f>
        <v>0</v>
      </c>
      <c r="EA89" s="22">
        <f>[6]Feb!$AN$1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[2]Apr!$AJ$1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[2]May!$AJ$1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[2]Jul!$AJ$1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[2]Aug!$AJ$1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[2]Sep!$AJ$1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[2]Oct!$AJ$1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[2]Nov!$AJ$1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[2]Dec!$AJ$1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[2]Jan!$AJ$1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[2]Feb!$AJ$1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45716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45716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45716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45716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45716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45352</v>
      </c>
      <c r="F5" s="392"/>
      <c r="G5" s="176" t="s">
        <v>550</v>
      </c>
      <c r="H5" s="434">
        <f>Admin!N7</f>
        <v>45716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334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45352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45716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[9]Mar!$M$1-C17</f>
        <v>0</v>
      </c>
      <c r="D4" s="22">
        <f>[9]Mar!$N$1-D17</f>
        <v>0</v>
      </c>
      <c r="E4" s="22">
        <f>[9]Mar!$O$1-E17</f>
        <v>0</v>
      </c>
      <c r="F4" s="22">
        <f>[9]Mar!$P$1+[9]Mar!$Q$1-F17</f>
        <v>0</v>
      </c>
      <c r="G4" s="22">
        <f t="shared" ref="G4:G9" si="0">C4-SUM(D4:F4)</f>
        <v>0</v>
      </c>
      <c r="H4" s="22">
        <f>[9]Mar!$T$1-H17</f>
        <v>0</v>
      </c>
      <c r="I4" s="22">
        <f>[9]Mar!$G$1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[9]Apr!$M$1-C18</f>
        <v>0</v>
      </c>
      <c r="D5" s="22">
        <f>[9]Apr!$N$1-D18</f>
        <v>0</v>
      </c>
      <c r="E5" s="22">
        <f>[9]Apr!$O$1-E18</f>
        <v>0</v>
      </c>
      <c r="F5" s="22">
        <f>[9]Apr!$P$1+[9]Apr!$Q$1-F18</f>
        <v>0</v>
      </c>
      <c r="G5" s="22">
        <f t="shared" si="0"/>
        <v>0</v>
      </c>
      <c r="H5" s="22">
        <f>[9]Apr!$T$1-H18</f>
        <v>0</v>
      </c>
      <c r="I5" s="22">
        <f>[9]Apr!$G$1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[9]May!$M$1-C19</f>
        <v>0</v>
      </c>
      <c r="D6" s="22">
        <f>[9]May!$N$1-D19</f>
        <v>0</v>
      </c>
      <c r="E6" s="22">
        <f>[9]May!$O$1-E19</f>
        <v>0</v>
      </c>
      <c r="F6" s="22">
        <f>[9]May!$P$1+[9]May!$Q$1-F19</f>
        <v>0</v>
      </c>
      <c r="G6" s="22">
        <f t="shared" si="0"/>
        <v>0</v>
      </c>
      <c r="H6" s="22">
        <f>[9]May!$T$1-H19</f>
        <v>0</v>
      </c>
      <c r="I6" s="22">
        <f>[9]May!$G$1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[9]Jun!$M$1-C20</f>
        <v>0</v>
      </c>
      <c r="D7" s="22">
        <f>[9]Jun!$N$1-D20</f>
        <v>0</v>
      </c>
      <c r="E7" s="22">
        <f>[9]Jun!$O$1-E20</f>
        <v>0</v>
      </c>
      <c r="F7" s="22">
        <f>[9]Jun!$P$1+[9]Jun!$Q$1-F20</f>
        <v>0</v>
      </c>
      <c r="G7" s="22">
        <f t="shared" si="0"/>
        <v>0</v>
      </c>
      <c r="H7" s="22">
        <f>[9]Jun!$T$1-H20</f>
        <v>0</v>
      </c>
      <c r="I7" s="22">
        <f>[9]Jun!$G$1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[9]Jul!$M$1-C21</f>
        <v>0</v>
      </c>
      <c r="D8" s="22">
        <f>[9]Jul!$N$1-D21</f>
        <v>0</v>
      </c>
      <c r="E8" s="22">
        <f>[9]Jul!$O$1-E21</f>
        <v>0</v>
      </c>
      <c r="F8" s="22">
        <f>[9]Jul!$P$1+[9]Jul!$Q$1-F21</f>
        <v>0</v>
      </c>
      <c r="G8" s="22">
        <f t="shared" si="0"/>
        <v>0</v>
      </c>
      <c r="H8" s="22">
        <f>[9]Jul!$T$1-H21</f>
        <v>0</v>
      </c>
      <c r="I8" s="22">
        <f>[9]Jul!$G$1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[9]Aug!$M$1-C22</f>
        <v>0</v>
      </c>
      <c r="D9" s="22">
        <f>[9]Aug!$N$1-D22</f>
        <v>0</v>
      </c>
      <c r="E9" s="22">
        <f>[9]Aug!$O$1-E22</f>
        <v>0</v>
      </c>
      <c r="F9" s="22">
        <f>[9]Aug!$P$1+[9]Aug!$Q$1-F22</f>
        <v>0</v>
      </c>
      <c r="G9" s="22">
        <f t="shared" si="0"/>
        <v>0</v>
      </c>
      <c r="H9" s="22">
        <f>[9]Aug!$T$1-H22</f>
        <v>0</v>
      </c>
      <c r="I9" s="22">
        <f>[9]Aug!$G$1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[9]Sep!$M$1-C23</f>
        <v>0</v>
      </c>
      <c r="D10" s="22">
        <f>[9]Sep!$N$1-D23</f>
        <v>0</v>
      </c>
      <c r="E10" s="22">
        <f>[9]Sep!$O$1-E23</f>
        <v>0</v>
      </c>
      <c r="F10" s="22">
        <f>[9]Sep!$P$1+[9]Sep!$Q$1-F23</f>
        <v>0</v>
      </c>
      <c r="G10" s="22">
        <f t="shared" ref="G10:G15" si="1">C10-SUM(D10:F10)</f>
        <v>0</v>
      </c>
      <c r="H10" s="22">
        <f>[9]Sep!$T$1-H23</f>
        <v>0</v>
      </c>
      <c r="I10" s="22">
        <f>[9]Sep!$G$1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[9]Oct!$M$1-C24</f>
        <v>0</v>
      </c>
      <c r="D11" s="22">
        <f>[9]Oct!$N$1-D24</f>
        <v>0</v>
      </c>
      <c r="E11" s="22">
        <f>[9]Oct!$O$1-E24</f>
        <v>0</v>
      </c>
      <c r="F11" s="22">
        <f>[9]Oct!$P$1+[9]Oct!$Q$1-F24</f>
        <v>0</v>
      </c>
      <c r="G11" s="22">
        <f t="shared" si="1"/>
        <v>0</v>
      </c>
      <c r="H11" s="22">
        <f>[9]Oct!$T$1-H24</f>
        <v>0</v>
      </c>
      <c r="I11" s="22">
        <f>[9]Oct!$G$1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[9]Nov!$M$1-C25</f>
        <v>0</v>
      </c>
      <c r="D12" s="22">
        <f>[9]Nov!$N$1-D25</f>
        <v>0</v>
      </c>
      <c r="E12" s="22">
        <f>[9]Nov!$O$1-E25</f>
        <v>0</v>
      </c>
      <c r="F12" s="22">
        <f>[9]Nov!$P$1+[9]Nov!$Q$1-F25</f>
        <v>0</v>
      </c>
      <c r="G12" s="22">
        <f t="shared" si="1"/>
        <v>0</v>
      </c>
      <c r="H12" s="22">
        <f>[9]Nov!$T$1-H25</f>
        <v>0</v>
      </c>
      <c r="I12" s="22">
        <f>[9]Nov!$G$1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[9]Dec!$M$1-C26</f>
        <v>0</v>
      </c>
      <c r="D13" s="22">
        <f>[9]Dec!$N$1-D26</f>
        <v>0</v>
      </c>
      <c r="E13" s="22">
        <f>[9]Dec!$O$1-E26</f>
        <v>0</v>
      </c>
      <c r="F13" s="22">
        <f>[9]Dec!$P$1+[9]Dec!$Q$1-F26</f>
        <v>0</v>
      </c>
      <c r="G13" s="22">
        <f t="shared" si="1"/>
        <v>0</v>
      </c>
      <c r="H13" s="22">
        <f>[9]Dec!$T$1-H26</f>
        <v>0</v>
      </c>
      <c r="I13" s="22">
        <f>[9]Dec!$G$1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[9]Jan!$M$1-C27</f>
        <v>0</v>
      </c>
      <c r="D14" s="22">
        <f>[9]Jan!$N$1-D27</f>
        <v>0</v>
      </c>
      <c r="E14" s="22">
        <f>[9]Jan!$O$1-E27</f>
        <v>0</v>
      </c>
      <c r="F14" s="22">
        <f>[9]Jan!$P$1+[9]Jan!$Q$1-F27</f>
        <v>0</v>
      </c>
      <c r="G14" s="22">
        <f t="shared" si="1"/>
        <v>0</v>
      </c>
      <c r="H14" s="22">
        <f>[9]Jan!$T$1-H27</f>
        <v>0</v>
      </c>
      <c r="I14" s="22">
        <f>[9]Jan!$G$1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[9]Feb!$M$1-C28</f>
        <v>0</v>
      </c>
      <c r="D15" s="22">
        <f>[9]Feb!$N$1-D28</f>
        <v>0</v>
      </c>
      <c r="E15" s="22">
        <f>[9]Feb!$O$1-E28</f>
        <v>0</v>
      </c>
      <c r="F15" s="22">
        <f>[9]Feb!$P$1+[9]Feb!$Q$1-F28</f>
        <v>0</v>
      </c>
      <c r="G15" s="22">
        <f t="shared" si="1"/>
        <v>0</v>
      </c>
      <c r="H15" s="22">
        <f>[9]Feb!$T$1-H28</f>
        <v>0</v>
      </c>
      <c r="I15" s="22">
        <f>[9]Feb!$G$1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[9]Mar!$M$2</f>
        <v>0</v>
      </c>
      <c r="D17" s="22">
        <f>[9]Mar!$N$2</f>
        <v>0</v>
      </c>
      <c r="E17" s="22">
        <f>[9]Mar!$O$2</f>
        <v>0</v>
      </c>
      <c r="F17" s="22">
        <f>[9]Mar!$P$2+[9]Mar!$Q$2</f>
        <v>0</v>
      </c>
      <c r="G17" s="22">
        <f t="shared" ref="G17:G28" si="2">C17-SUM(D17:F17)</f>
        <v>0</v>
      </c>
      <c r="H17" s="22">
        <f>[9]Mar!$T$2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[9]Apr!$M$2</f>
        <v>0</v>
      </c>
      <c r="D18" s="22">
        <f>[9]Apr!$N$2</f>
        <v>0</v>
      </c>
      <c r="E18" s="22">
        <f>[9]Apr!$O$2</f>
        <v>0</v>
      </c>
      <c r="F18" s="22">
        <f>[9]Apr!$P$2+[9]Apr!$Q$2</f>
        <v>0</v>
      </c>
      <c r="G18" s="22">
        <f t="shared" si="2"/>
        <v>0</v>
      </c>
      <c r="H18" s="22">
        <f>[9]Apr!$T$2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[9]May!$M$2</f>
        <v>0</v>
      </c>
      <c r="D19" s="22">
        <f>[9]May!$N$2</f>
        <v>0</v>
      </c>
      <c r="E19" s="22">
        <f>[9]May!$O$2</f>
        <v>0</v>
      </c>
      <c r="F19" s="22">
        <f>[9]May!$P$2+[9]May!$Q$2</f>
        <v>0</v>
      </c>
      <c r="G19" s="22">
        <f t="shared" si="2"/>
        <v>0</v>
      </c>
      <c r="H19" s="22">
        <f>[9]May!$T$2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[9]Jun!$M$2</f>
        <v>0</v>
      </c>
      <c r="D20" s="22">
        <f>[9]Jun!$N$2</f>
        <v>0</v>
      </c>
      <c r="E20" s="22">
        <f>[9]Jun!$O$2</f>
        <v>0</v>
      </c>
      <c r="F20" s="22">
        <f>[9]Jun!$P$2+[9]Jun!$Q$2</f>
        <v>0</v>
      </c>
      <c r="G20" s="22">
        <f t="shared" si="2"/>
        <v>0</v>
      </c>
      <c r="H20" s="22">
        <f>[9]Jun!$T$2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[9]Jul!$M$2</f>
        <v>0</v>
      </c>
      <c r="D21" s="22">
        <f>[9]Jul!$N$2</f>
        <v>0</v>
      </c>
      <c r="E21" s="22">
        <f>[9]Jul!$O$2</f>
        <v>0</v>
      </c>
      <c r="F21" s="22">
        <f>[9]Jul!$P$2+[9]Jul!$Q$2</f>
        <v>0</v>
      </c>
      <c r="G21" s="22">
        <f t="shared" si="2"/>
        <v>0</v>
      </c>
      <c r="H21" s="22">
        <f>[9]Jul!$T$2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[9]Aug!$M$2</f>
        <v>0</v>
      </c>
      <c r="D22" s="22">
        <f>[9]Aug!$N$2</f>
        <v>0</v>
      </c>
      <c r="E22" s="22">
        <f>[9]Aug!$O$2</f>
        <v>0</v>
      </c>
      <c r="F22" s="22">
        <f>[9]Aug!$P$2+[9]Aug!$Q$2</f>
        <v>0</v>
      </c>
      <c r="G22" s="22">
        <f t="shared" si="2"/>
        <v>0</v>
      </c>
      <c r="H22" s="22">
        <f>[9]Aug!$T$2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[9]Sep!$M$2</f>
        <v>0</v>
      </c>
      <c r="D23" s="22">
        <f>[9]Sep!$N$2</f>
        <v>0</v>
      </c>
      <c r="E23" s="22">
        <f>[9]Sep!$O$2</f>
        <v>0</v>
      </c>
      <c r="F23" s="22">
        <f>[9]Sep!$P$2+[9]Sep!$Q$2</f>
        <v>0</v>
      </c>
      <c r="G23" s="22">
        <f t="shared" si="2"/>
        <v>0</v>
      </c>
      <c r="H23" s="22">
        <f>[9]Sep!$T$2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[9]Oct!$M$2</f>
        <v>0</v>
      </c>
      <c r="D24" s="22">
        <f>[9]Oct!$N$2</f>
        <v>0</v>
      </c>
      <c r="E24" s="22">
        <f>[9]Oct!$O$2</f>
        <v>0</v>
      </c>
      <c r="F24" s="22">
        <f>[9]Oct!$P$2+[9]Oct!$Q$2</f>
        <v>0</v>
      </c>
      <c r="G24" s="22">
        <f t="shared" si="2"/>
        <v>0</v>
      </c>
      <c r="H24" s="22">
        <f>[9]Oct!$T$2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[9]Nov!$M$2</f>
        <v>0</v>
      </c>
      <c r="D25" s="22">
        <f>[9]Nov!$N$2</f>
        <v>0</v>
      </c>
      <c r="E25" s="22">
        <f>[9]Nov!$O$2</f>
        <v>0</v>
      </c>
      <c r="F25" s="22">
        <f>[9]Nov!$P$2+[9]Nov!$Q$2</f>
        <v>0</v>
      </c>
      <c r="G25" s="22">
        <f t="shared" si="2"/>
        <v>0</v>
      </c>
      <c r="H25" s="22">
        <f>[9]Nov!$T$2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[9]Dec!$M$2</f>
        <v>0</v>
      </c>
      <c r="D26" s="22">
        <f>[9]Dec!$N$2</f>
        <v>0</v>
      </c>
      <c r="E26" s="22">
        <f>[9]Dec!$O$2</f>
        <v>0</v>
      </c>
      <c r="F26" s="22">
        <f>[9]Dec!$P$2+[9]Dec!$Q$2</f>
        <v>0</v>
      </c>
      <c r="G26" s="22">
        <f t="shared" si="2"/>
        <v>0</v>
      </c>
      <c r="H26" s="22">
        <f>[9]Dec!$T$2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[9]Jan!$M$2</f>
        <v>0</v>
      </c>
      <c r="D27" s="22">
        <f>[9]Jan!$N$2</f>
        <v>0</v>
      </c>
      <c r="E27" s="22">
        <f>[9]Jan!$O$2</f>
        <v>0</v>
      </c>
      <c r="F27" s="22">
        <f>[9]Jan!$P$2+[9]Jan!$Q$2</f>
        <v>0</v>
      </c>
      <c r="G27" s="22">
        <f t="shared" si="2"/>
        <v>0</v>
      </c>
      <c r="H27" s="22">
        <f>[9]Jan!$T$2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[9]Feb!$M$2</f>
        <v>0</v>
      </c>
      <c r="D28" s="22">
        <f>[9]Feb!$N$2</f>
        <v>0</v>
      </c>
      <c r="E28" s="22">
        <f>[9]Feb!$O$2</f>
        <v>0</v>
      </c>
      <c r="F28" s="22">
        <f>[9]Feb!$P$2+[9]Feb!$Q$2</f>
        <v>0</v>
      </c>
      <c r="G28" s="22">
        <f t="shared" si="2"/>
        <v>0</v>
      </c>
      <c r="H28" s="22">
        <f>[9]Feb!$T$2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IF((H$4+N$4+T$4)=0,0,[2]Mar!O$1)</f>
        <v>0</v>
      </c>
      <c r="G8" s="97"/>
      <c r="H8" s="115">
        <f>H4</f>
        <v>0</v>
      </c>
      <c r="I8" s="97"/>
      <c r="J8" s="97">
        <f>[3]Mar!$O$1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IF((H$4+N$4+T$4)=0,0,[2]Apr!O$1)</f>
        <v>0</v>
      </c>
      <c r="G10" s="97"/>
      <c r="H10" s="115">
        <f>H8</f>
        <v>0</v>
      </c>
      <c r="I10" s="97"/>
      <c r="J10" s="97">
        <f>[3]Apr!$O$1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[3]Apr!$P$1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[3]Apr!$Q$1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IF((H$4+N$4+T$4)=0,0,[2]May!O$1)</f>
        <v>0</v>
      </c>
      <c r="G12" s="97"/>
      <c r="H12" s="115">
        <f>H10</f>
        <v>0</v>
      </c>
      <c r="I12" s="97"/>
      <c r="J12" s="97">
        <f>[3]May!$O$1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[3]May!$P$1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[3]May!$Q$1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IF((H$4+N$4+T$4)=0,0,[2]Jun!O$1)</f>
        <v>0</v>
      </c>
      <c r="G14" s="97"/>
      <c r="H14" s="115">
        <f>H12</f>
        <v>0</v>
      </c>
      <c r="I14" s="97"/>
      <c r="J14" s="97">
        <f>[3]Jun!$O$1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IF((H$4+N$4+T$4)=0,0,[2]Jul!O$1)</f>
        <v>0</v>
      </c>
      <c r="G16" s="97"/>
      <c r="H16" s="115">
        <f>H14</f>
        <v>0</v>
      </c>
      <c r="I16" s="97"/>
      <c r="J16" s="97">
        <f>[3]Jul!$O$1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[3]Jul!$P$1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[3]Jul!$Q$1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IF((H$4+N$4+T$4)=0,0,[2]Aug!O$1)</f>
        <v>0</v>
      </c>
      <c r="G18" s="97"/>
      <c r="H18" s="115">
        <f>H16</f>
        <v>0</v>
      </c>
      <c r="I18" s="97"/>
      <c r="J18" s="97">
        <f>[3]Aug!$O$1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[3]Aug!$P$1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[3]Aug!$Q$1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IF((H$4+N$4+T$4)=0,0,[2]Sep!O$1)</f>
        <v>0</v>
      </c>
      <c r="G20" s="97"/>
      <c r="H20" s="115">
        <f>H18</f>
        <v>0</v>
      </c>
      <c r="I20" s="97"/>
      <c r="J20" s="97">
        <f>[3]Sep!$O$1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[3]Sep!$P$1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[3]Sep!$Q$1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IF((H$4+N$4+T$4)=0,0,[2]Oct!O$1)</f>
        <v>0</v>
      </c>
      <c r="G22" s="97"/>
      <c r="H22" s="115">
        <f>H20</f>
        <v>0</v>
      </c>
      <c r="I22" s="97"/>
      <c r="J22" s="97">
        <f>[3]Oct!$O$1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[3]Oct!$P$1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[3]Oct!$Q$1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IF((H$4+N$4+T$4)=0,0,[2]Nov!O$1)</f>
        <v>0</v>
      </c>
      <c r="G24" s="97"/>
      <c r="H24" s="115">
        <f>H22</f>
        <v>0</v>
      </c>
      <c r="I24" s="97"/>
      <c r="J24" s="97">
        <f>[3]Nov!$O$1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[3]Nov!$P$1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[3]Nov!$Q$1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IF((H$4+N$4+T$4)=0,0,[2]Dec!O$1)</f>
        <v>0</v>
      </c>
      <c r="G26" s="97"/>
      <c r="H26" s="115">
        <f>H24</f>
        <v>0</v>
      </c>
      <c r="I26" s="97"/>
      <c r="J26" s="97">
        <f>[3]Dec!$O$1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[3]Dec!$P$1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[3]Dec!$Q$1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IF((H$4+N$4+T$4)=0,0,[2]Jan!O$1)</f>
        <v>0</v>
      </c>
      <c r="G28" s="97"/>
      <c r="H28" s="115">
        <f>H26</f>
        <v>0</v>
      </c>
      <c r="I28" s="97"/>
      <c r="J28" s="97">
        <f>[3]Jan!$O$1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[3]Jan!$P$1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[3]Jan!$Q$1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IF((H$4+N$4+T$4)=0,0,[2]Feb!O$1)</f>
        <v>0</v>
      </c>
      <c r="G30" s="97"/>
      <c r="H30" s="115">
        <f>H28</f>
        <v>0</v>
      </c>
      <c r="I30" s="97"/>
      <c r="J30" s="97">
        <f>[3]Feb!$O$1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[3]Feb!$P$1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[3]Feb!$Q$1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45260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45261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45291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45292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45322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45352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45323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45716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45351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45352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45382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45383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45412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45413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45443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45444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45473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45474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45504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45505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45535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45536</v>
      </c>
      <c r="C21" s="253"/>
      <c r="D21" s="9" t="s">
        <v>520</v>
      </c>
      <c r="E21" s="3"/>
      <c r="F21" s="328">
        <v>45716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45565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45566</v>
      </c>
      <c r="C23" s="253"/>
      <c r="F23" s="293"/>
    </row>
    <row r="24" spans="1:17" ht="12" customHeight="1" x14ac:dyDescent="0.15">
      <c r="A24" s="253"/>
      <c r="B24" s="330">
        <f>DATE(YEAR(B26),MONTH(B26),1)-1</f>
        <v>45596</v>
      </c>
      <c r="C24" s="253"/>
    </row>
    <row r="25" spans="1:17" ht="12" customHeight="1" x14ac:dyDescent="0.15">
      <c r="A25" s="253"/>
      <c r="B25" s="330">
        <f>DATE(YEAR(B26),MONTH(B26),1)</f>
        <v>45597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45626</v>
      </c>
      <c r="C26" s="253"/>
      <c r="G26" s="256"/>
    </row>
    <row r="27" spans="1:17" x14ac:dyDescent="0.15">
      <c r="A27" s="253"/>
      <c r="B27" s="330">
        <f>DATE(YEAR(B28),MONTH(B28),1)</f>
        <v>45627</v>
      </c>
      <c r="C27" s="253"/>
      <c r="G27" s="256"/>
    </row>
    <row r="28" spans="1:17" x14ac:dyDescent="0.15">
      <c r="A28" s="253"/>
      <c r="B28" s="330">
        <f>DATE(YEAR(B30),MONTH(B30),1)-1</f>
        <v>45657</v>
      </c>
      <c r="C28" s="253"/>
    </row>
    <row r="29" spans="1:17" x14ac:dyDescent="0.15">
      <c r="A29" s="253"/>
      <c r="B29" s="330">
        <f>DATE(YEAR(B30),MONTH(B30),1)</f>
        <v>45658</v>
      </c>
      <c r="C29" s="253"/>
    </row>
    <row r="30" spans="1:17" x14ac:dyDescent="0.15">
      <c r="A30" s="253"/>
      <c r="B30" s="330">
        <f>DATE(YEAR(B32),MONTH(B32),1)-1</f>
        <v>45688</v>
      </c>
      <c r="C30" s="253"/>
    </row>
    <row r="31" spans="1:17" x14ac:dyDescent="0.15">
      <c r="A31" s="253"/>
      <c r="B31" s="330">
        <f>DATE(YEAR(B32),MONTH(B32),1)</f>
        <v>45689</v>
      </c>
      <c r="C31" s="253"/>
    </row>
    <row r="32" spans="1:17" x14ac:dyDescent="0.15">
      <c r="A32" s="253"/>
      <c r="B32" s="331">
        <f>F21</f>
        <v>45716</v>
      </c>
      <c r="C32" s="253"/>
    </row>
    <row r="33" spans="1:3" x14ac:dyDescent="0.15">
      <c r="A33" s="253"/>
      <c r="B33" s="330">
        <f>DATE(YEAR(B34),MONTH(B34),1)</f>
        <v>45717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45747</v>
      </c>
      <c r="C34" s="253"/>
    </row>
    <row r="35" spans="1:3" x14ac:dyDescent="0.15">
      <c r="A35" s="253"/>
      <c r="B35" s="330">
        <f>DATE(YEAR(B36),MONTH(B36),1)</f>
        <v>45748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45777</v>
      </c>
      <c r="C36" s="253"/>
    </row>
    <row r="37" spans="1:3" x14ac:dyDescent="0.15">
      <c r="A37" s="253"/>
      <c r="B37" s="330">
        <f>DATE(YEAR(B38),MONTH(B38),1)</f>
        <v>45778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45808</v>
      </c>
      <c r="C38" s="253"/>
    </row>
    <row r="39" spans="1:3" x14ac:dyDescent="0.15">
      <c r="A39" s="253"/>
      <c r="B39" s="330">
        <f>DATE(YEAR(B40),MONTH(B40),1)</f>
        <v>45809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45838</v>
      </c>
      <c r="C40" s="253"/>
    </row>
    <row r="41" spans="1:3" x14ac:dyDescent="0.15">
      <c r="A41" s="253"/>
      <c r="B41" s="330">
        <f>DATE(YEAR(B42),MONTH(B42),1)</f>
        <v>45839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45869</v>
      </c>
      <c r="C42" s="253"/>
    </row>
    <row r="43" spans="1:3" x14ac:dyDescent="0.15">
      <c r="A43" s="253"/>
      <c r="B43" s="330">
        <f>DATE(YEAR(B44),MONTH(B44),1)</f>
        <v>45870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45900</v>
      </c>
      <c r="C44" s="253"/>
    </row>
    <row r="45" spans="1:3" x14ac:dyDescent="0.15">
      <c r="A45" s="253"/>
      <c r="B45" s="330">
        <f>DATE(YEAR(B46),MONTH(B46),1)</f>
        <v>45901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45930</v>
      </c>
      <c r="C46" s="253"/>
    </row>
    <row r="47" spans="1:3" x14ac:dyDescent="0.15">
      <c r="A47" s="253"/>
      <c r="B47" s="330">
        <f>DATE(YEAR(B48),MONTH(B48),1)</f>
        <v>45931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45961</v>
      </c>
      <c r="C48" s="253"/>
    </row>
    <row r="49" spans="1:3" x14ac:dyDescent="0.15">
      <c r="A49" s="253"/>
      <c r="B49" s="330">
        <f>DATE(YEAR(B50),MONTH(B50),1)</f>
        <v>45962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45991</v>
      </c>
      <c r="C50" s="253"/>
    </row>
    <row r="51" spans="1:3" x14ac:dyDescent="0.15">
      <c r="A51" s="253"/>
      <c r="B51" s="330">
        <f>DATE(YEAR(B52),MONTH(B52),1)</f>
        <v>45992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46022</v>
      </c>
      <c r="C52" s="253"/>
    </row>
    <row r="53" spans="1:3" x14ac:dyDescent="0.15">
      <c r="A53" s="253"/>
      <c r="B53" s="330">
        <f>DATE(YEAR(B54),MONTH(B54),1)</f>
        <v>46023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46053</v>
      </c>
      <c r="C54" s="253"/>
    </row>
    <row r="55" spans="1:3" x14ac:dyDescent="0.15">
      <c r="A55" s="253"/>
      <c r="B55" s="330">
        <f>DATE(YEAR(B56),MONTH(B56),1)</f>
        <v>46054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46081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