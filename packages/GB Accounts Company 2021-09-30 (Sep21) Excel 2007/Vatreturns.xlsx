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<sst xmlns="http://schemas.openxmlformats.org/spreadsheetml/2006/main" count="182" uniqueCount="45">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</sst>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44074</v>
          </cell>
        </row>
        <row r="8">
          <cell r="B8">
            <v>44104</v>
          </cell>
        </row>
        <row r="10">
          <cell r="B10">
            <v>44135</v>
          </cell>
        </row>
        <row r="12">
          <cell r="B12">
            <v>44165</v>
          </cell>
        </row>
        <row r="14">
          <cell r="B14">
            <v>44196</v>
          </cell>
        </row>
        <row r="16">
          <cell r="B16">
            <v>44227</v>
          </cell>
        </row>
        <row r="18">
          <cell r="B18">
            <v>44255</v>
          </cell>
        </row>
        <row r="20">
          <cell r="B20">
            <v>44286</v>
          </cell>
        </row>
        <row r="22">
          <cell r="B22">
            <v>44316</v>
          </cell>
        </row>
        <row r="24">
          <cell r="B24">
            <v>44347</v>
          </cell>
        </row>
        <row r="26">
          <cell r="B26">
            <v>44377</v>
          </cell>
        </row>
        <row r="28">
          <cell r="B28">
            <v>44408</v>
          </cell>
        </row>
        <row r="30">
          <cell r="B30">
            <v>44439</v>
          </cell>
        </row>
        <row r="32">
          <cell r="B32">
            <v>44469</v>
          </cell>
        </row>
        <row r="34">
          <cell r="B34">
            <v>44500</v>
          </cell>
        </row>
        <row r="36">
          <cell r="B36">
            <v>44530</v>
          </cell>
        </row>
        <row r="38">
          <cell r="B38">
            <v>44561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44196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44286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44377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44469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44135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44165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44196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44530</v>
      </c>
      <c r="H5" s="10"/>
      <c r="I5" s="13"/>
      <c r="K5" s="69">
        <f>Vatinterface!B9</f>
        <v>44227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44255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44286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44316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44347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44377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44408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44439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44469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44500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44530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44074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44104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44135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44165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44196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IF([2]Dec!$G$4&gt;0,[2]Dec!$G$4,0)</f>
        <v>0</v>
      </c>
      <c r="N8" s="57"/>
    </row>
    <row r="9" spans="1:14" x14ac:dyDescent="0.15">
      <c r="A9" s="56"/>
      <c r="B9" s="62">
        <f>[1]Admin!$B$16</f>
        <v>44227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IF([2]Jan!$G$4&gt;0,[2]Jan!$G$4,0)</f>
        <v>0</v>
      </c>
      <c r="N9" s="57"/>
    </row>
    <row r="10" spans="1:14" x14ac:dyDescent="0.15">
      <c r="A10" s="56"/>
      <c r="B10" s="62">
        <f>[1]Admin!$B$18</f>
        <v>44255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IF([2]Feb!$G$4&gt;0,[2]Feb!$G$4,0)</f>
        <v>0</v>
      </c>
      <c r="N10" s="57"/>
    </row>
    <row r="11" spans="1:14" x14ac:dyDescent="0.15">
      <c r="A11" s="56"/>
      <c r="B11" s="62">
        <f>[1]Admin!$B$20</f>
        <v>44286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IF([2]Mar!$G$4&gt;0,[2]Mar!$G$4,0)</f>
        <v>0</v>
      </c>
      <c r="N11" s="57"/>
    </row>
    <row r="12" spans="1:14" x14ac:dyDescent="0.15">
      <c r="A12" s="56"/>
      <c r="B12" s="62">
        <f>[1]Admin!$B$22</f>
        <v>44316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44347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IF([2]May!$G$4&gt;0,[2]May!$G$4,0)</f>
        <v>0</v>
      </c>
      <c r="N13" s="57"/>
    </row>
    <row r="14" spans="1:14" x14ac:dyDescent="0.15">
      <c r="A14" s="56"/>
      <c r="B14" s="62">
        <f>[1]Admin!$B$26</f>
        <v>44377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44408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[1]Admin!$B$30</f>
        <v>44439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IF([2]Aug!$G$4&gt;0,[2]Aug!$G$4,0)</f>
        <v>0</v>
      </c>
      <c r="N16" s="57"/>
    </row>
    <row r="17" spans="1:14" x14ac:dyDescent="0.15">
      <c r="A17" s="56"/>
      <c r="B17" s="62">
        <f>[1]Admin!$B$32</f>
        <v>44469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44500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44530</v>
      </c>
      <c r="C19" s="63">
        <f>[1]Admin!$B$38</f>
        <v>44561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